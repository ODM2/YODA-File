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comments5.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6.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3.xml" ContentType="application/vnd.openxmlformats-officedocument.spreadsheetml.table+xml"/>
  <Override PartName="/xl/comments7.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comments8.xml" ContentType="application/vnd.openxmlformats-officedocument.spreadsheetml.comment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workbookProtection workbookPassword="CA31" lockStructure="1"/>
  <bookViews>
    <workbookView xWindow="-120" yWindow="60" windowWidth="19320" windowHeight="3270"/>
  </bookViews>
  <sheets>
    <sheet name="Instructions" sheetId="14" r:id="rId1"/>
    <sheet name="People and Organizations" sheetId="7" r:id="rId2"/>
    <sheet name="Dataset Citation" sheetId="1" r:id="rId3"/>
    <sheet name="Sampling Features" sheetId="2" r:id="rId4"/>
    <sheet name="Spatial Offsets" sheetId="22" r:id="rId5"/>
    <sheet name="Related Features (optional)" sheetId="9" r:id="rId6"/>
    <sheet name="Methods" sheetId="8" r:id="rId7"/>
    <sheet name="Variables" sheetId="12" r:id="rId8"/>
    <sheet name="Processing Levels" sheetId="13" r:id="rId9"/>
    <sheet name="Taxonomic Classifiers" sheetId="20" r:id="rId10"/>
    <sheet name="Data Columns" sheetId="4" r:id="rId11"/>
    <sheet name="Data Values" sheetId="5" r:id="rId12"/>
    <sheet name="Specimen Column Finder" sheetId="21" r:id="rId13"/>
    <sheet name="Result Column Finder" sheetId="23" r:id="rId14"/>
    <sheet name="YODA Header Blocks" sheetId="11" state="hidden" r:id="rId15"/>
    <sheet name="YODA Generator" sheetId="15" state="hidden" r:id="rId16"/>
    <sheet name="YODA File" sheetId="16" r:id="rId17"/>
    <sheet name="Controlled Vocabularies" sheetId="3" state="hidden" r:id="rId18"/>
    <sheet name="Units" sheetId="19" state="hidden" r:id="rId19"/>
    <sheet name="SpatialReferences" sheetId="18" state="hidden" r:id="rId20"/>
    <sheet name="ExternalIdentifierSystems" sheetId="17" state="hidden" r:id="rId21"/>
  </sheets>
  <definedNames>
    <definedName name="_xlnm._FilterDatabase" localSheetId="16" hidden="1">'YODA File'!$A$1:$A$34</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ColumnLabels">INDEX(DataColumns[ColumnLabel],1,1):INDEX(DataColumns[ColumnLabel],COUNTA(DataColumns[ColumnLabel]))</definedName>
    <definedName name="ColumnTypes">INDEX(ControlledVocabularies[ColumnTypes],1,1):INDEX(ControlledVocabularies[ColumnTypes],COUNTA(ControlledVocabularies[ColumnTypes]))</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Features'!$B$9</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Features'!$B$10</definedName>
    <definedName name="LatLonDatumNames">INDEX(SpatialReferences[SRSName],1,1):INDEX(SpatialReferences[SRSName],COUNTA(SpatialReferences[SRSName]))</definedName>
    <definedName name="LengthHeader">'YODA Header Blocks'!$CD$4</definedName>
    <definedName name="ListOfVocabularies">'Controlled Vocabularies'!$1:$1</definedName>
    <definedName name="LongestBlock">'YODA Header Blocks'!$CD$3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Columns'!$V$6</definedName>
    <definedName name="NumDataValues">'YODA Header Blocks'!$CD$5</definedName>
    <definedName name="NumFileColumns">'Data Columns'!$V$3</definedName>
    <definedName name="NumIGSNs">'Sampling Features'!$I$10</definedName>
    <definedName name="NumMethods">Methods!$F$6</definedName>
    <definedName name="NumORCIDs">'People and Organizations'!$H$6</definedName>
    <definedName name="NumOrganizations">'People and Organizations'!$H$4</definedName>
    <definedName name="NumParentSamplingFeatures">'Sampling Features'!$I$9</definedName>
    <definedName name="NumParentSpecimens">'Sampling Features'!$S$9</definedName>
    <definedName name="NumPeople">'People and Organizations'!$H$5</definedName>
    <definedName name="NumPersonExternalIDs">'People and Organizations'!$H$6</definedName>
    <definedName name="NumProcessingLevels">'Processing Levels'!$E$7</definedName>
    <definedName name="NumRelatedFeatures">'Related Features (optional)'!$F$4</definedName>
    <definedName name="NumSites">'Sampling Features'!$N$9</definedName>
    <definedName name="NumSpecimens">'Data Columns'!$V$5</definedName>
    <definedName name="NumTaxClassifiers">'Taxonomic Classifiers'!$E$4</definedName>
    <definedName name="NumVariables">Variables!$F$5</definedName>
    <definedName name="OffsetCodes">INDEX(SpatialOffsets[Spatial Offset Code],1,1):INDEX(SpatialOffsets[Spatial Offset Code],COUNTA(SpatialOffsets[Spatial Offset Code]))</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ColumnNumber">'Data Columns'!$V$4</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INDEX(ControlledVocabularies[TaxonomicClassifierTypeCV],1,1):INDEX(ControlledVocabularies[TaxonomicClassifierTypeCV],COUNTA(ControlledVocabularies[TaxonomicClassifierTypeCV]))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YODAVersion">Instructions!$A$2</definedName>
  </definedNames>
  <calcPr calcId="145621"/>
</workbook>
</file>

<file path=xl/calcChain.xml><?xml version="1.0" encoding="utf-8"?>
<calcChain xmlns="http://schemas.openxmlformats.org/spreadsheetml/2006/main">
  <c r="AA8" i="11" l="1"/>
  <c r="L8" i="11"/>
  <c r="AA7" i="11"/>
  <c r="L7" i="11"/>
  <c r="AA6" i="11"/>
  <c r="L6" i="11"/>
  <c r="AA5" i="11"/>
  <c r="L5" i="11"/>
  <c r="AA4" i="11"/>
  <c r="M4" i="11"/>
  <c r="L4" i="11"/>
  <c r="K4" i="11"/>
  <c r="J4" i="11"/>
  <c r="C4" i="11"/>
  <c r="AA3" i="11"/>
  <c r="M3" i="11"/>
  <c r="L3" i="11"/>
  <c r="K3" i="11"/>
  <c r="J3" i="11"/>
  <c r="AB99" i="4"/>
  <c r="A99" i="4"/>
  <c r="AB98" i="4"/>
  <c r="A98" i="4"/>
  <c r="AB97" i="4"/>
  <c r="A97" i="4"/>
  <c r="AB96" i="4"/>
  <c r="A96" i="4"/>
  <c r="AB95" i="4"/>
  <c r="A95" i="4"/>
  <c r="AB94" i="4"/>
  <c r="A94" i="4"/>
  <c r="AB93" i="4"/>
  <c r="A93" i="4"/>
  <c r="AB92" i="4"/>
  <c r="A92" i="4"/>
  <c r="AB91" i="4"/>
  <c r="A91" i="4"/>
  <c r="AB90" i="4"/>
  <c r="A90" i="4"/>
  <c r="AB89" i="4"/>
  <c r="A89" i="4"/>
  <c r="AB88" i="4"/>
  <c r="A88" i="4"/>
  <c r="AB87" i="4"/>
  <c r="A87" i="4"/>
  <c r="AB86" i="4"/>
  <c r="A86" i="4"/>
  <c r="AB85" i="4"/>
  <c r="A85" i="4"/>
  <c r="AB84" i="4"/>
  <c r="A84" i="4"/>
  <c r="AB83" i="4"/>
  <c r="A83" i="4"/>
  <c r="AB82" i="4"/>
  <c r="A82" i="4"/>
  <c r="AB81" i="4"/>
  <c r="A81" i="4"/>
  <c r="AB80" i="4"/>
  <c r="A80" i="4"/>
  <c r="AB79" i="4"/>
  <c r="A79" i="4"/>
  <c r="AB78" i="4"/>
  <c r="A78" i="4"/>
  <c r="AB77" i="4"/>
  <c r="A77" i="4"/>
  <c r="AB76" i="4"/>
  <c r="A76" i="4"/>
  <c r="AB75" i="4"/>
  <c r="A75" i="4"/>
  <c r="AB74" i="4"/>
  <c r="A74" i="4"/>
  <c r="AB73" i="4"/>
  <c r="A73" i="4"/>
  <c r="AB72" i="4"/>
  <c r="A72" i="4"/>
  <c r="AB71" i="4"/>
  <c r="A71" i="4"/>
  <c r="AB70" i="4"/>
  <c r="A70" i="4"/>
  <c r="AB69" i="4"/>
  <c r="A69" i="4"/>
  <c r="AB68" i="4"/>
  <c r="A68" i="4"/>
  <c r="AB67" i="4"/>
  <c r="A67" i="4"/>
  <c r="AB66" i="4"/>
  <c r="A66" i="4"/>
  <c r="AB65" i="4"/>
  <c r="A65" i="4"/>
  <c r="AB64" i="4"/>
  <c r="A64" i="4"/>
  <c r="AB63" i="4"/>
  <c r="A63" i="4"/>
  <c r="AB62" i="4"/>
  <c r="A62" i="4"/>
  <c r="AB61" i="4"/>
  <c r="A61" i="4"/>
  <c r="AB60" i="4"/>
  <c r="A60" i="4"/>
  <c r="AB59" i="4"/>
  <c r="A59" i="4"/>
  <c r="AB58" i="4"/>
  <c r="A58" i="4"/>
  <c r="AB57" i="4"/>
  <c r="A57" i="4"/>
  <c r="AB56" i="4"/>
  <c r="A56" i="4"/>
  <c r="AB55" i="4"/>
  <c r="A55" i="4"/>
  <c r="AB54" i="4"/>
  <c r="A54" i="4"/>
  <c r="AB53" i="4"/>
  <c r="A53" i="4"/>
  <c r="AB52" i="4"/>
  <c r="A52" i="4"/>
  <c r="AB51" i="4"/>
  <c r="A51" i="4"/>
  <c r="AB50" i="4"/>
  <c r="A50" i="4"/>
  <c r="AB49" i="4"/>
  <c r="A49" i="4"/>
  <c r="AB48" i="4"/>
  <c r="A48" i="4"/>
  <c r="AB47" i="4"/>
  <c r="A47" i="4"/>
  <c r="AB46" i="4"/>
  <c r="A46" i="4"/>
  <c r="AB45" i="4"/>
  <c r="A45" i="4"/>
  <c r="AB44" i="4"/>
  <c r="A44" i="4"/>
  <c r="AB43" i="4"/>
  <c r="A43" i="4"/>
  <c r="AB42" i="4"/>
  <c r="A42" i="4"/>
  <c r="AB41" i="4"/>
  <c r="A41" i="4"/>
  <c r="AB40" i="4"/>
  <c r="A40" i="4"/>
  <c r="AB39" i="4"/>
  <c r="A39" i="4"/>
  <c r="AB38" i="4"/>
  <c r="A38" i="4"/>
  <c r="AB37" i="4"/>
  <c r="A37" i="4"/>
  <c r="AB36" i="4"/>
  <c r="A36" i="4"/>
  <c r="AB35" i="4"/>
  <c r="A35" i="4"/>
  <c r="AB34" i="4"/>
  <c r="A34" i="4"/>
  <c r="AB33" i="4"/>
  <c r="A33" i="4"/>
  <c r="AB32" i="4"/>
  <c r="A32" i="4"/>
  <c r="AB31" i="4"/>
  <c r="A31" i="4"/>
  <c r="AB30" i="4"/>
  <c r="A30" i="4"/>
  <c r="AB29" i="4"/>
  <c r="A29" i="4"/>
  <c r="AB28" i="4"/>
  <c r="AB27" i="4"/>
  <c r="AB26" i="4"/>
  <c r="AB19" i="4"/>
  <c r="AB18" i="4"/>
  <c r="AB17" i="4"/>
  <c r="AB16" i="4"/>
  <c r="AB15" i="4"/>
  <c r="AB14" i="4"/>
  <c r="AB13" i="4"/>
  <c r="A13" i="4"/>
  <c r="A14" i="4" s="1"/>
  <c r="Q62" i="2"/>
  <c r="L62" i="2"/>
  <c r="J62" i="2"/>
  <c r="Q61" i="2"/>
  <c r="L61" i="2"/>
  <c r="J61" i="2"/>
  <c r="Q60" i="2"/>
  <c r="L60" i="2"/>
  <c r="J60" i="2"/>
  <c r="Q59" i="2"/>
  <c r="L59" i="2"/>
  <c r="J59" i="2"/>
  <c r="Q58" i="2"/>
  <c r="L58" i="2"/>
  <c r="J58" i="2"/>
  <c r="Q57" i="2"/>
  <c r="L57" i="2"/>
  <c r="J57" i="2"/>
  <c r="Q56" i="2"/>
  <c r="L56" i="2"/>
  <c r="J56" i="2"/>
  <c r="Q55" i="2"/>
  <c r="L55" i="2"/>
  <c r="J55" i="2"/>
  <c r="Q54" i="2"/>
  <c r="L54" i="2"/>
  <c r="J54" i="2"/>
  <c r="Q53" i="2"/>
  <c r="L53" i="2"/>
  <c r="J53" i="2"/>
  <c r="Q52" i="2"/>
  <c r="L52" i="2"/>
  <c r="J52" i="2"/>
  <c r="Q51" i="2"/>
  <c r="L51" i="2"/>
  <c r="J51" i="2"/>
  <c r="Q50" i="2"/>
  <c r="L50" i="2"/>
  <c r="J50" i="2"/>
  <c r="Q49" i="2"/>
  <c r="L49" i="2"/>
  <c r="J49" i="2"/>
  <c r="Q48" i="2"/>
  <c r="L48" i="2"/>
  <c r="J48" i="2"/>
  <c r="Q47" i="2"/>
  <c r="L47" i="2"/>
  <c r="J47" i="2"/>
  <c r="Q46" i="2"/>
  <c r="L46" i="2"/>
  <c r="J46" i="2"/>
  <c r="Q45" i="2"/>
  <c r="L45" i="2"/>
  <c r="J45" i="2"/>
  <c r="Q44" i="2"/>
  <c r="L44" i="2"/>
  <c r="J44" i="2"/>
  <c r="Q43" i="2"/>
  <c r="L43" i="2"/>
  <c r="J43" i="2"/>
  <c r="Q42" i="2"/>
  <c r="L42" i="2"/>
  <c r="J42" i="2"/>
  <c r="Q41" i="2"/>
  <c r="L41" i="2"/>
  <c r="J41" i="2"/>
  <c r="Q40" i="2"/>
  <c r="L40" i="2"/>
  <c r="J40" i="2"/>
  <c r="Q39" i="2"/>
  <c r="L39" i="2"/>
  <c r="J39" i="2"/>
  <c r="Q38" i="2"/>
  <c r="L38" i="2"/>
  <c r="J38" i="2"/>
  <c r="Q37" i="2"/>
  <c r="L37" i="2"/>
  <c r="J37" i="2"/>
  <c r="Q36" i="2"/>
  <c r="L36" i="2"/>
  <c r="J36" i="2"/>
  <c r="Q35" i="2"/>
  <c r="L35" i="2"/>
  <c r="J35" i="2"/>
  <c r="Q34" i="2"/>
  <c r="L34" i="2"/>
  <c r="J34" i="2"/>
  <c r="Q33" i="2"/>
  <c r="L33" i="2"/>
  <c r="J33" i="2"/>
  <c r="Q32" i="2"/>
  <c r="L32" i="2"/>
  <c r="J32" i="2"/>
  <c r="Q31" i="2"/>
  <c r="L31" i="2"/>
  <c r="J31" i="2"/>
  <c r="Q30" i="2"/>
  <c r="L30" i="2"/>
  <c r="J30" i="2"/>
  <c r="Q29" i="2"/>
  <c r="L29" i="2"/>
  <c r="J29" i="2"/>
  <c r="Q28" i="2"/>
  <c r="L28" i="2"/>
  <c r="J28" i="2"/>
  <c r="Q27" i="2"/>
  <c r="L27" i="2"/>
  <c r="J27" i="2"/>
  <c r="Q26" i="2"/>
  <c r="L26" i="2"/>
  <c r="J26" i="2"/>
  <c r="Q25" i="2"/>
  <c r="L25" i="2"/>
  <c r="J25" i="2"/>
  <c r="Q24" i="2"/>
  <c r="L24" i="2"/>
  <c r="J24" i="2"/>
  <c r="Q23" i="2"/>
  <c r="L23" i="2"/>
  <c r="J23" i="2"/>
  <c r="Q22" i="2"/>
  <c r="L22" i="2"/>
  <c r="Q21" i="2"/>
  <c r="L21" i="2"/>
  <c r="Q20" i="2"/>
  <c r="L20" i="2"/>
  <c r="Q19" i="2"/>
  <c r="J19" i="2"/>
  <c r="Q18" i="2"/>
  <c r="J18" i="2"/>
  <c r="Q17" i="2"/>
  <c r="J17" i="2"/>
  <c r="Q16" i="2"/>
  <c r="J16" i="2"/>
  <c r="Q15" i="2"/>
  <c r="J15" i="2"/>
  <c r="Q14" i="2"/>
  <c r="J14" i="2"/>
  <c r="Q13" i="2"/>
  <c r="L13" i="2"/>
  <c r="L14" i="2" s="1"/>
  <c r="J13" i="2"/>
  <c r="I33" i="7"/>
  <c r="H33" i="7"/>
  <c r="I32" i="7"/>
  <c r="H32" i="7"/>
  <c r="I31" i="7"/>
  <c r="H31" i="7"/>
  <c r="I30" i="7"/>
  <c r="H30" i="7"/>
  <c r="I29" i="7"/>
  <c r="H29" i="7"/>
  <c r="I28" i="7"/>
  <c r="H28" i="7"/>
  <c r="I27" i="7"/>
  <c r="H27" i="7"/>
  <c r="I26" i="7"/>
  <c r="H26" i="7"/>
  <c r="I25" i="7"/>
  <c r="H25" i="7"/>
  <c r="I24" i="7"/>
  <c r="H24" i="7"/>
  <c r="L15" i="2" l="1"/>
  <c r="L16" i="2" s="1"/>
  <c r="AB20" i="4"/>
  <c r="AB21" i="4" s="1"/>
  <c r="AB22" i="4" s="1"/>
  <c r="A15" i="4"/>
  <c r="A16" i="4" s="1"/>
  <c r="AK4" i="11"/>
  <c r="AH4" i="11"/>
  <c r="AG4" i="11"/>
  <c r="G4" i="11"/>
  <c r="D4" i="11"/>
  <c r="N4" i="11"/>
  <c r="BR3" i="11"/>
  <c r="BQ3" i="11"/>
  <c r="BP3" i="11"/>
  <c r="BO3" i="11"/>
  <c r="BN3" i="11"/>
  <c r="BM3" i="11"/>
  <c r="BL3" i="11"/>
  <c r="BK3" i="11"/>
  <c r="BJ3" i="11"/>
  <c r="BI3" i="11"/>
  <c r="BH3" i="11"/>
  <c r="BG3" i="11"/>
  <c r="BF3" i="11"/>
  <c r="BE3" i="11"/>
  <c r="BD3" i="11"/>
  <c r="BB3" i="11"/>
  <c r="AZ3" i="11"/>
  <c r="AY3" i="11"/>
  <c r="AX3" i="11"/>
  <c r="AW3" i="11"/>
  <c r="AV3" i="11"/>
  <c r="AU3" i="11"/>
  <c r="AT3" i="11"/>
  <c r="AS3" i="11"/>
  <c r="AR3" i="11"/>
  <c r="AP3" i="11"/>
  <c r="AO3" i="11"/>
  <c r="AN3" i="11"/>
  <c r="AM3" i="11"/>
  <c r="AL3" i="11"/>
  <c r="AI3" i="11"/>
  <c r="AE3" i="11"/>
  <c r="AD3" i="11"/>
  <c r="AC3" i="11"/>
  <c r="AB3" i="11"/>
  <c r="V3" i="11"/>
  <c r="U3" i="11"/>
  <c r="T3" i="11"/>
  <c r="S3" i="11"/>
  <c r="R3" i="11"/>
  <c r="Q3" i="11"/>
  <c r="P3" i="11"/>
  <c r="O3" i="11"/>
  <c r="K2" i="11"/>
  <c r="A17" i="4" l="1"/>
  <c r="A18" i="4" s="1"/>
  <c r="A19" i="4" s="1"/>
  <c r="A20" i="4" s="1"/>
  <c r="L17" i="2"/>
  <c r="L18" i="2" s="1"/>
  <c r="L19" i="2" s="1"/>
  <c r="AB23" i="4"/>
  <c r="AB24" i="4" s="1"/>
  <c r="AB25" i="4" s="1"/>
  <c r="A21" i="4" l="1"/>
  <c r="A22" i="4" s="1"/>
  <c r="A23" i="4" s="1"/>
  <c r="Y3" i="11"/>
  <c r="A24" i="4" l="1"/>
  <c r="D2" i="15"/>
  <c r="A25" i="4" l="1"/>
  <c r="A26" i="4" s="1"/>
  <c r="G11" i="4"/>
  <c r="T11" i="4"/>
  <c r="S11" i="4"/>
  <c r="A27" i="4" l="1"/>
  <c r="A28" i="4" s="1"/>
  <c r="I9" i="2"/>
  <c r="AP6" i="11" l="1"/>
  <c r="AP7" i="11"/>
  <c r="AP8" i="11"/>
  <c r="AP5" i="11"/>
  <c r="AP4" i="11"/>
  <c r="F3" i="21"/>
  <c r="G3" i="21"/>
  <c r="H3" i="21"/>
  <c r="K3" i="21"/>
  <c r="N11" i="4"/>
  <c r="P11" i="4"/>
  <c r="H11" i="4"/>
  <c r="F11" i="4"/>
  <c r="J11" i="4"/>
  <c r="Z11" i="4"/>
  <c r="Y11" i="4"/>
  <c r="Q11" i="4"/>
  <c r="M11" i="4"/>
  <c r="I11" i="4"/>
  <c r="R11" i="4"/>
  <c r="U11" i="4"/>
  <c r="L11" i="4"/>
  <c r="O11" i="4"/>
  <c r="W11" i="4"/>
  <c r="AA11" i="4"/>
  <c r="K11" i="4"/>
  <c r="X11" i="4"/>
  <c r="V11" i="4"/>
  <c r="E11" i="4"/>
  <c r="AC99" i="4" l="1"/>
  <c r="AC98" i="4"/>
  <c r="AC97" i="4"/>
  <c r="AC96" i="4"/>
  <c r="AC95" i="4"/>
  <c r="AC94" i="4"/>
  <c r="AC93" i="4"/>
  <c r="AC92" i="4"/>
  <c r="AC91" i="4"/>
  <c r="AC90" i="4"/>
  <c r="AC89" i="4"/>
  <c r="AC88" i="4"/>
  <c r="AC87" i="4"/>
  <c r="AC86" i="4"/>
  <c r="AC85" i="4"/>
  <c r="AC84" i="4"/>
  <c r="AC83" i="4"/>
  <c r="AC82" i="4"/>
  <c r="AC81" i="4"/>
  <c r="AC80" i="4"/>
  <c r="AC79" i="4"/>
  <c r="AC78" i="4"/>
  <c r="AC77" i="4"/>
  <c r="AC76" i="4"/>
  <c r="AC75" i="4"/>
  <c r="AC74" i="4"/>
  <c r="AC73" i="4"/>
  <c r="AC72" i="4"/>
  <c r="AC71" i="4"/>
  <c r="AC70" i="4"/>
  <c r="AC69" i="4"/>
  <c r="AC68" i="4"/>
  <c r="AC67" i="4"/>
  <c r="AC66" i="4"/>
  <c r="AC65" i="4"/>
  <c r="AC64" i="4"/>
  <c r="AC63" i="4"/>
  <c r="AC62" i="4"/>
  <c r="AC61" i="4"/>
  <c r="AC60" i="4"/>
  <c r="AC59" i="4"/>
  <c r="AC58" i="4"/>
  <c r="AC57" i="4"/>
  <c r="AC56" i="4"/>
  <c r="AC55" i="4"/>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20" i="4"/>
  <c r="AC19" i="4"/>
  <c r="AC18" i="4"/>
  <c r="AC17" i="4"/>
  <c r="AC16" i="4"/>
  <c r="AC15" i="4"/>
  <c r="AC14" i="4"/>
  <c r="AC13" i="4"/>
  <c r="V6" i="4"/>
  <c r="A8" i="11"/>
  <c r="I2" i="23"/>
  <c r="I3" i="23"/>
  <c r="I4" i="23"/>
  <c r="I5" i="23"/>
  <c r="I6" i="23"/>
  <c r="I7" i="23"/>
  <c r="I8" i="23"/>
  <c r="I9" i="23"/>
  <c r="I10" i="23"/>
  <c r="I11" i="23"/>
  <c r="I12" i="23"/>
  <c r="I13" i="23"/>
  <c r="I14" i="23"/>
  <c r="I15" i="23"/>
  <c r="I16" i="23"/>
  <c r="I17" i="23"/>
  <c r="I18" i="23"/>
  <c r="I19" i="23"/>
  <c r="J2" i="23"/>
  <c r="J3" i="23"/>
  <c r="J4" i="23"/>
  <c r="J5" i="23"/>
  <c r="J6" i="23"/>
  <c r="J7" i="23"/>
  <c r="J8" i="23"/>
  <c r="J9" i="23"/>
  <c r="J10" i="23"/>
  <c r="J11" i="23"/>
  <c r="J12" i="23"/>
  <c r="J13" i="23"/>
  <c r="J14" i="23"/>
  <c r="J15" i="23"/>
  <c r="J16" i="23"/>
  <c r="J17" i="23"/>
  <c r="J18" i="23"/>
  <c r="J19" i="23"/>
  <c r="M2" i="23"/>
  <c r="M3" i="23"/>
  <c r="M4" i="23"/>
  <c r="M5" i="23"/>
  <c r="M6" i="23"/>
  <c r="M7" i="23"/>
  <c r="M8" i="23"/>
  <c r="M9" i="23"/>
  <c r="M10" i="23"/>
  <c r="M11" i="23"/>
  <c r="M12" i="23"/>
  <c r="M13" i="23"/>
  <c r="M14" i="23"/>
  <c r="M15" i="23"/>
  <c r="M16" i="23"/>
  <c r="M17" i="23"/>
  <c r="M18" i="23"/>
  <c r="H2" i="21"/>
  <c r="H6" i="21"/>
  <c r="H7" i="21"/>
  <c r="H8" i="21"/>
  <c r="H14" i="21"/>
  <c r="H15" i="21"/>
  <c r="H16" i="21"/>
  <c r="H10" i="21"/>
  <c r="H11" i="21"/>
  <c r="H12" i="21"/>
  <c r="H13" i="21"/>
  <c r="F7" i="21"/>
  <c r="G7" i="21"/>
  <c r="F8" i="21" l="1"/>
  <c r="G8" i="21"/>
  <c r="G8" i="23" l="1"/>
  <c r="K8" i="23" s="1"/>
  <c r="G19" i="23"/>
  <c r="K19" i="23" s="1"/>
  <c r="G10" i="23"/>
  <c r="K10" i="23" s="1"/>
  <c r="G3" i="23"/>
  <c r="K3" i="23" s="1"/>
  <c r="G5" i="23"/>
  <c r="K5" i="23" s="1"/>
  <c r="G4" i="23"/>
  <c r="K4" i="23" s="1"/>
  <c r="G11" i="23"/>
  <c r="K11" i="23" s="1"/>
  <c r="G2" i="23"/>
  <c r="K2" i="23" s="1"/>
  <c r="G16" i="23"/>
  <c r="K16" i="23" s="1"/>
  <c r="G7" i="23"/>
  <c r="G9" i="23"/>
  <c r="G15" i="23"/>
  <c r="K15" i="23" s="1"/>
  <c r="G13" i="23"/>
  <c r="G12" i="23"/>
  <c r="K12" i="23" s="1"/>
  <c r="G18" i="23"/>
  <c r="K18" i="23" s="1"/>
  <c r="G14" i="23"/>
  <c r="G17" i="23"/>
  <c r="G6" i="23"/>
  <c r="K6" i="23" s="1"/>
  <c r="F10" i="21"/>
  <c r="G10" i="21"/>
  <c r="F2" i="21"/>
  <c r="F14" i="21"/>
  <c r="F6" i="21"/>
  <c r="F11" i="21"/>
  <c r="F12" i="21"/>
  <c r="F5" i="21"/>
  <c r="F9" i="21"/>
  <c r="F4" i="21"/>
  <c r="F13" i="21"/>
  <c r="F15" i="21"/>
  <c r="F16" i="21"/>
  <c r="K10" i="21" l="1"/>
  <c r="AS4" i="11"/>
  <c r="H7" i="23"/>
  <c r="L7" i="23" s="1"/>
  <c r="K7" i="23"/>
  <c r="H14" i="23"/>
  <c r="L14" i="23" s="1"/>
  <c r="K14" i="23"/>
  <c r="H9" i="23"/>
  <c r="L9" i="23" s="1"/>
  <c r="K9" i="23"/>
  <c r="H17" i="23"/>
  <c r="L17" i="23" s="1"/>
  <c r="K17" i="23"/>
  <c r="H13" i="23"/>
  <c r="L13" i="23" s="1"/>
  <c r="K13" i="23"/>
  <c r="H10" i="23"/>
  <c r="L10" i="23" s="1"/>
  <c r="H18" i="23"/>
  <c r="L18" i="23" s="1"/>
  <c r="H12" i="23"/>
  <c r="L12" i="23" s="1"/>
  <c r="H5" i="23"/>
  <c r="L5" i="23" s="1"/>
  <c r="H8" i="23"/>
  <c r="L8" i="23" s="1"/>
  <c r="H4" i="23"/>
  <c r="L4" i="23" s="1"/>
  <c r="H11" i="23"/>
  <c r="L11" i="23" s="1"/>
  <c r="H19" i="23"/>
  <c r="L19" i="23" s="1"/>
  <c r="H16" i="23"/>
  <c r="L16" i="23" s="1"/>
  <c r="H15" i="23"/>
  <c r="L15" i="23" s="1"/>
  <c r="H3" i="23"/>
  <c r="L3" i="23" s="1"/>
  <c r="H6" i="23"/>
  <c r="L6" i="23" s="1"/>
  <c r="H2" i="23"/>
  <c r="L2" i="23" s="1"/>
  <c r="G5" i="21"/>
  <c r="G2" i="21"/>
  <c r="G14" i="21"/>
  <c r="G9" i="21"/>
  <c r="K9" i="21" s="1"/>
  <c r="G6" i="21"/>
  <c r="G4" i="21"/>
  <c r="K4" i="21" s="1"/>
  <c r="G13" i="21"/>
  <c r="K13" i="21" s="1"/>
  <c r="G15" i="21"/>
  <c r="G11" i="21"/>
  <c r="K11" i="21" s="1"/>
  <c r="G16" i="21"/>
  <c r="G12" i="21"/>
  <c r="K12" i="21" s="1"/>
  <c r="K5" i="21"/>
  <c r="K6" i="21"/>
  <c r="K2" i="21"/>
  <c r="K16" i="21"/>
  <c r="I5" i="21"/>
  <c r="O8" i="11" l="1"/>
  <c r="O5" i="11"/>
  <c r="O4" i="11"/>
  <c r="O6" i="11"/>
  <c r="O7" i="11"/>
  <c r="S7" i="11"/>
  <c r="S8" i="11"/>
  <c r="S5" i="11"/>
  <c r="S4" i="11"/>
  <c r="S6" i="11"/>
  <c r="Q5" i="11"/>
  <c r="Q4" i="11"/>
  <c r="Q6" i="11"/>
  <c r="Q7" i="11"/>
  <c r="Q8" i="11"/>
  <c r="R6" i="11"/>
  <c r="R7" i="11"/>
  <c r="R8" i="11"/>
  <c r="R5" i="11"/>
  <c r="R4" i="11"/>
  <c r="N2" i="23"/>
  <c r="O2" i="23" s="1"/>
  <c r="N8" i="23"/>
  <c r="O8" i="23" s="1"/>
  <c r="N17" i="23"/>
  <c r="O17" i="23" s="1"/>
  <c r="P17" i="23"/>
  <c r="N6" i="23"/>
  <c r="O6" i="23" s="1"/>
  <c r="N5" i="23"/>
  <c r="O5" i="23" s="1"/>
  <c r="N3" i="23"/>
  <c r="O3" i="23" s="1"/>
  <c r="N12" i="23"/>
  <c r="O12" i="23" s="1"/>
  <c r="N13" i="23"/>
  <c r="O13" i="23" s="1"/>
  <c r="N9" i="23"/>
  <c r="O9" i="23" s="1"/>
  <c r="N7" i="23"/>
  <c r="O7" i="23" s="1"/>
  <c r="N16" i="23"/>
  <c r="O16" i="23" s="1"/>
  <c r="N10" i="23"/>
  <c r="O10" i="23" s="1"/>
  <c r="N14" i="23"/>
  <c r="O14" i="23" s="1"/>
  <c r="N19" i="23"/>
  <c r="P19" i="23"/>
  <c r="N11" i="23"/>
  <c r="O11" i="23" s="1"/>
  <c r="N15" i="23"/>
  <c r="O15" i="23" s="1"/>
  <c r="P15" i="23"/>
  <c r="N4" i="23"/>
  <c r="O4" i="23" s="1"/>
  <c r="P18" i="23"/>
  <c r="BE4" i="11" s="1"/>
  <c r="N18" i="23"/>
  <c r="O18" i="23" s="1"/>
  <c r="AA2" i="11"/>
  <c r="P9" i="23"/>
  <c r="P16" i="23"/>
  <c r="L12" i="21"/>
  <c r="P13" i="23"/>
  <c r="P10" i="23"/>
  <c r="L5" i="21"/>
  <c r="AO8" i="11"/>
  <c r="L6" i="21"/>
  <c r="AM8" i="11"/>
  <c r="Q19" i="23"/>
  <c r="I2" i="21"/>
  <c r="P14" i="23"/>
  <c r="L10" i="21"/>
  <c r="L2" i="21"/>
  <c r="AO4" i="11"/>
  <c r="P4" i="11"/>
  <c r="L11" i="21"/>
  <c r="AM4" i="11"/>
  <c r="L16" i="21"/>
  <c r="I16" i="21"/>
  <c r="Q17" i="23"/>
  <c r="AN8" i="11"/>
  <c r="AO7" i="11"/>
  <c r="P6" i="11"/>
  <c r="P6" i="23"/>
  <c r="AO6" i="11"/>
  <c r="AN7" i="11"/>
  <c r="P7" i="11"/>
  <c r="AM7" i="11"/>
  <c r="P2" i="23"/>
  <c r="AO5" i="11"/>
  <c r="P7" i="23"/>
  <c r="L13" i="21"/>
  <c r="P3" i="23"/>
  <c r="AN6" i="11"/>
  <c r="AN5" i="11"/>
  <c r="I4" i="21"/>
  <c r="AM5" i="11"/>
  <c r="P4" i="23"/>
  <c r="P5" i="11"/>
  <c r="P5" i="23"/>
  <c r="P8" i="23"/>
  <c r="P12" i="23"/>
  <c r="I6" i="21"/>
  <c r="Q15" i="23"/>
  <c r="L4" i="21"/>
  <c r="AM6" i="11"/>
  <c r="P8" i="11"/>
  <c r="P11" i="23"/>
  <c r="L9" i="21"/>
  <c r="AN4" i="11"/>
  <c r="Q18" i="23"/>
  <c r="J2" i="21" l="1"/>
  <c r="J6" i="21"/>
  <c r="J16" i="21"/>
  <c r="AX4" i="11"/>
  <c r="BI4" i="11"/>
  <c r="S9" i="2"/>
  <c r="BH4" i="11"/>
  <c r="BG4" i="11"/>
  <c r="AU4" i="11"/>
  <c r="Q11" i="23"/>
  <c r="T4" i="11"/>
  <c r="Q14" i="23"/>
  <c r="Q8" i="23"/>
  <c r="BF4" i="11"/>
  <c r="Q9" i="23"/>
  <c r="Q5" i="23"/>
  <c r="CD5" i="11"/>
  <c r="BO4" i="11"/>
  <c r="T7" i="11"/>
  <c r="Q7" i="23"/>
  <c r="Q10" i="23"/>
  <c r="Q16" i="23"/>
  <c r="T8" i="11"/>
  <c r="Q6" i="23"/>
  <c r="T5" i="11"/>
  <c r="Q12" i="23"/>
  <c r="Q3" i="23"/>
  <c r="Q13" i="23"/>
  <c r="Q2" i="23"/>
  <c r="Q4" i="23"/>
  <c r="T6" i="11"/>
  <c r="BX4" i="11" l="1"/>
  <c r="BW4" i="11"/>
  <c r="M2" i="11"/>
  <c r="J2" i="11"/>
  <c r="B5" i="11"/>
  <c r="BR4" i="11"/>
  <c r="BP4" i="11"/>
  <c r="BQ4" i="11"/>
  <c r="BN4" i="11"/>
  <c r="E4" i="20" l="1"/>
  <c r="AJ8" i="11" l="1"/>
  <c r="AJ7" i="11"/>
  <c r="AJ6" i="11"/>
  <c r="AJ5" i="11"/>
  <c r="AJ4" i="11"/>
  <c r="AJ3" i="11"/>
  <c r="AJ2" i="11"/>
  <c r="V4" i="4" l="1"/>
  <c r="L3" i="21"/>
  <c r="I9" i="21"/>
  <c r="I14" i="21" l="1"/>
  <c r="J14" i="21" s="1"/>
  <c r="I13" i="21"/>
  <c r="J13" i="21" s="1"/>
  <c r="I8" i="21"/>
  <c r="J8" i="21" s="1"/>
  <c r="I10" i="21"/>
  <c r="J10" i="21" s="1"/>
  <c r="I15" i="21"/>
  <c r="J15" i="21" s="1"/>
  <c r="I12" i="21"/>
  <c r="J12" i="21" s="1"/>
  <c r="I11" i="21"/>
  <c r="J11" i="21" s="1"/>
  <c r="A7" i="11"/>
  <c r="A6" i="11"/>
  <c r="A5" i="11"/>
  <c r="A4" i="11"/>
  <c r="A3" i="11"/>
  <c r="I7" i="21"/>
  <c r="AL8" i="11"/>
  <c r="K15" i="21"/>
  <c r="K8" i="21"/>
  <c r="I3" i="21"/>
  <c r="AL5" i="11"/>
  <c r="V5" i="4"/>
  <c r="BK4" i="11"/>
  <c r="K14" i="21"/>
  <c r="AW4" i="11"/>
  <c r="AL7" i="11"/>
  <c r="AV4" i="11"/>
  <c r="AL4" i="11"/>
  <c r="K7" i="21"/>
  <c r="BL4" i="11"/>
  <c r="AL6" i="11"/>
  <c r="BJ4" i="11"/>
  <c r="AT4" i="11"/>
  <c r="AE8" i="11" l="1"/>
  <c r="AE5" i="11"/>
  <c r="AE4" i="11"/>
  <c r="AE6" i="11"/>
  <c r="AE7" i="11"/>
  <c r="BT4" i="11"/>
  <c r="BV4" i="11"/>
  <c r="BA8" i="11"/>
  <c r="W8" i="11"/>
  <c r="BC6" i="11"/>
  <c r="AQ6" i="11"/>
  <c r="BA4" i="11"/>
  <c r="BA6" i="11"/>
  <c r="W6" i="11"/>
  <c r="BA7" i="11"/>
  <c r="W7" i="11"/>
  <c r="BC7" i="11"/>
  <c r="AQ7" i="11"/>
  <c r="BA5" i="11"/>
  <c r="W5" i="11"/>
  <c r="BD4" i="11"/>
  <c r="AZ4" i="11"/>
  <c r="W4" i="11"/>
  <c r="BC8" i="11"/>
  <c r="AQ8" i="11"/>
  <c r="BC4" i="11"/>
  <c r="AQ4" i="11"/>
  <c r="BC5" i="11"/>
  <c r="AQ5" i="11"/>
  <c r="AC7" i="11"/>
  <c r="AC8" i="11"/>
  <c r="AC4" i="11"/>
  <c r="AC5" i="11"/>
  <c r="AC6" i="11"/>
  <c r="BU4" i="11"/>
  <c r="BT2" i="11"/>
  <c r="AZ2" i="11"/>
  <c r="BS2" i="11"/>
  <c r="BB2" i="11"/>
  <c r="BD2" i="11"/>
  <c r="BA2" i="11"/>
  <c r="BC2" i="11"/>
  <c r="AQ2" i="11"/>
  <c r="AY4" i="11"/>
  <c r="BB4" i="11" s="1"/>
  <c r="Z2" i="11"/>
  <c r="J7" i="21"/>
  <c r="J3" i="21"/>
  <c r="H5" i="7"/>
  <c r="U7" i="11"/>
  <c r="U8" i="11"/>
  <c r="U6" i="11"/>
  <c r="L15" i="21"/>
  <c r="L7" i="21"/>
  <c r="U4" i="11"/>
  <c r="U5" i="11"/>
  <c r="G8" i="11" l="1"/>
  <c r="G7" i="11"/>
  <c r="G6" i="11"/>
  <c r="G5" i="11"/>
  <c r="I8" i="11"/>
  <c r="I7" i="11"/>
  <c r="I6" i="11"/>
  <c r="I5" i="11"/>
  <c r="I4" i="11"/>
  <c r="G2" i="11"/>
  <c r="H6" i="7"/>
  <c r="V6" i="11"/>
  <c r="V7" i="11"/>
  <c r="V4" i="11"/>
  <c r="V8" i="11"/>
  <c r="V5" i="11"/>
  <c r="L8" i="21"/>
  <c r="L14" i="21"/>
  <c r="H4" i="11" l="1"/>
  <c r="H8" i="11"/>
  <c r="H7" i="11"/>
  <c r="H6" i="11"/>
  <c r="H5" i="11"/>
  <c r="H3" i="11"/>
  <c r="Z5" i="11"/>
  <c r="Z4" i="11"/>
  <c r="Z8" i="11"/>
  <c r="Z7" i="11"/>
  <c r="Z6" i="11"/>
  <c r="H2" i="11"/>
  <c r="H4" i="7"/>
  <c r="D8" i="11" l="1"/>
  <c r="D7" i="11"/>
  <c r="D6" i="11"/>
  <c r="D5" i="11"/>
  <c r="F6" i="11"/>
  <c r="F5" i="11"/>
  <c r="F4" i="11"/>
  <c r="D2" i="11"/>
  <c r="I2" i="11"/>
  <c r="I10" i="2" l="1"/>
  <c r="BM4" i="11"/>
  <c r="X8" i="11" l="1"/>
  <c r="X7" i="11"/>
  <c r="X6" i="11"/>
  <c r="X5" i="11"/>
  <c r="X3" i="11"/>
  <c r="X4" i="11"/>
  <c r="F3" i="11"/>
  <c r="E5" i="11"/>
  <c r="E4" i="11"/>
  <c r="E3" i="11"/>
  <c r="BS4" i="11"/>
  <c r="F2" i="11"/>
  <c r="E2" i="11"/>
  <c r="AR5" i="11"/>
  <c r="M19" i="23"/>
  <c r="O19" i="23" s="1"/>
  <c r="H5" i="21"/>
  <c r="J5" i="21" s="1"/>
  <c r="H9" i="21"/>
  <c r="J9" i="21" s="1"/>
  <c r="H4" i="21"/>
  <c r="J4" i="21" s="1"/>
  <c r="B2" i="15"/>
  <c r="BK5" i="11"/>
  <c r="BL5" i="11"/>
  <c r="AX5" i="11" l="1"/>
  <c r="BI5" i="11"/>
  <c r="BE5" i="11"/>
  <c r="AY5" i="11"/>
  <c r="AS5" i="11"/>
  <c r="AR6" i="11"/>
  <c r="E7" i="13"/>
  <c r="F5" i="12"/>
  <c r="F6" i="8"/>
  <c r="F4" i="9"/>
  <c r="AF3" i="11" s="1"/>
  <c r="E22" i="1"/>
  <c r="AD8" i="11"/>
  <c r="AD5" i="11"/>
  <c r="BM5" i="11"/>
  <c r="AW5" i="11"/>
  <c r="AU5" i="11"/>
  <c r="AT5" i="11"/>
  <c r="BH5" i="11"/>
  <c r="AD6" i="11"/>
  <c r="BK6" i="11"/>
  <c r="BG5" i="11"/>
  <c r="BJ5" i="11"/>
  <c r="AD4" i="11"/>
  <c r="AV5" i="11"/>
  <c r="AD7" i="11"/>
  <c r="BL6" i="11"/>
  <c r="AG8" i="11" l="1"/>
  <c r="AG7" i="11"/>
  <c r="AG6" i="11"/>
  <c r="AG5" i="11"/>
  <c r="AH8" i="11"/>
  <c r="AH7" i="11"/>
  <c r="AH6" i="11"/>
  <c r="AH5" i="11"/>
  <c r="AK8" i="11"/>
  <c r="AK7" i="11"/>
  <c r="AK6" i="11"/>
  <c r="AK5" i="11"/>
  <c r="AX6" i="11"/>
  <c r="BI6" i="11"/>
  <c r="BT5" i="11"/>
  <c r="AZ5" i="11"/>
  <c r="BB5" i="11"/>
  <c r="BD5" i="11"/>
  <c r="BE6" i="11"/>
  <c r="AB4" i="11"/>
  <c r="AF4" i="11" s="1"/>
  <c r="AY6" i="11"/>
  <c r="AB8" i="11"/>
  <c r="AF8" i="11" s="1"/>
  <c r="AB7" i="11"/>
  <c r="AF7" i="11" s="1"/>
  <c r="AB6" i="11"/>
  <c r="AF6" i="11" s="1"/>
  <c r="AB5" i="11"/>
  <c r="AF5" i="11" s="1"/>
  <c r="AF2" i="11"/>
  <c r="X2" i="11"/>
  <c r="W2" i="11"/>
  <c r="AS6" i="11"/>
  <c r="AR7" i="11"/>
  <c r="AH2" i="11"/>
  <c r="AK2" i="11"/>
  <c r="L2" i="11"/>
  <c r="AG2" i="11"/>
  <c r="BM6" i="11"/>
  <c r="BH6" i="11"/>
  <c r="AU6" i="11"/>
  <c r="C3" i="15"/>
  <c r="BF5" i="11"/>
  <c r="BF6" i="11"/>
  <c r="BJ6" i="11"/>
  <c r="BO6" i="11"/>
  <c r="BG6" i="11"/>
  <c r="AT6" i="11"/>
  <c r="AW6" i="11"/>
  <c r="AV6" i="11"/>
  <c r="BK7" i="11"/>
  <c r="BO5" i="11"/>
  <c r="A3" i="15"/>
  <c r="BL7" i="11"/>
  <c r="D3" i="15" l="1"/>
  <c r="BI7" i="11"/>
  <c r="AX7" i="11"/>
  <c r="BW6" i="11"/>
  <c r="BV6" i="11"/>
  <c r="BX6" i="11"/>
  <c r="BS6" i="11"/>
  <c r="BT6" i="11"/>
  <c r="BD6" i="11"/>
  <c r="BB6" i="11"/>
  <c r="AZ6" i="11"/>
  <c r="BX5" i="11"/>
  <c r="BW5" i="11"/>
  <c r="BV5" i="11"/>
  <c r="BS5" i="11"/>
  <c r="BE7" i="11"/>
  <c r="AY7" i="11"/>
  <c r="B3" i="15"/>
  <c r="AS7" i="11"/>
  <c r="AR8" i="11"/>
  <c r="N9" i="2"/>
  <c r="BP6" i="11"/>
  <c r="AU7" i="11"/>
  <c r="BG7" i="11"/>
  <c r="BR6" i="11"/>
  <c r="BH7" i="11"/>
  <c r="AT7" i="11"/>
  <c r="BN6" i="11"/>
  <c r="BQ5" i="11"/>
  <c r="BM7" i="11"/>
  <c r="BR5" i="11"/>
  <c r="AW7" i="11"/>
  <c r="BP5" i="11"/>
  <c r="BQ6" i="11"/>
  <c r="BL8" i="11"/>
  <c r="BK8" i="11"/>
  <c r="AV7" i="11"/>
  <c r="BN5" i="11"/>
  <c r="BF7" i="11"/>
  <c r="BO7" i="11"/>
  <c r="BJ7" i="11"/>
  <c r="Y4" i="11" l="1"/>
  <c r="Y8" i="11"/>
  <c r="Y7" i="11"/>
  <c r="Y6" i="11"/>
  <c r="Y5" i="11"/>
  <c r="AX8" i="11"/>
  <c r="BI8" i="11"/>
  <c r="BS7" i="11"/>
  <c r="BB7" i="11"/>
  <c r="BD7" i="11"/>
  <c r="AZ7" i="11"/>
  <c r="BT7" i="11"/>
  <c r="BU6" i="11"/>
  <c r="BV7" i="11"/>
  <c r="BW7" i="11"/>
  <c r="BX7" i="11"/>
  <c r="BU5" i="11"/>
  <c r="BE8" i="11"/>
  <c r="AY8" i="11"/>
  <c r="AS8" i="11"/>
  <c r="Y2" i="11"/>
  <c r="BN7" i="11"/>
  <c r="BO8" i="11"/>
  <c r="BH8" i="11"/>
  <c r="BJ8" i="11"/>
  <c r="BG8" i="11"/>
  <c r="AV8" i="11"/>
  <c r="BF8" i="11"/>
  <c r="AU8" i="11"/>
  <c r="AT8" i="11"/>
  <c r="BQ7" i="11"/>
  <c r="BR7" i="11"/>
  <c r="AW8" i="11"/>
  <c r="BP7" i="11"/>
  <c r="BM8" i="11"/>
  <c r="BW8" i="11" l="1"/>
  <c r="BV8" i="11"/>
  <c r="BX8" i="11"/>
  <c r="BS8" i="11"/>
  <c r="BD8" i="11"/>
  <c r="AZ8" i="11"/>
  <c r="BT8" i="11"/>
  <c r="BB8" i="11"/>
  <c r="BU7" i="11"/>
  <c r="V3" i="4"/>
  <c r="BQ8" i="11"/>
  <c r="BR8" i="11"/>
  <c r="BN8" i="11"/>
  <c r="BP8" i="11"/>
  <c r="BU8" i="11" l="1"/>
  <c r="BU2" i="11" l="1"/>
  <c r="BX2" i="11" l="1"/>
  <c r="BU3" i="11"/>
  <c r="BW3" i="11"/>
  <c r="BV2" i="11"/>
  <c r="BV3" i="11"/>
  <c r="BX3" i="11"/>
  <c r="BW2" i="11"/>
  <c r="CD4" i="11" l="1"/>
  <c r="CD3"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B7" authorId="0">
      <text>
        <r>
          <rPr>
            <sz val="9"/>
            <color indexed="81"/>
            <rFont val="Tahoma"/>
            <family val="2"/>
          </rPr>
          <t>This field is mandatory if you want to include any offset information!</t>
        </r>
      </text>
    </comment>
    <comment ref="C7" authorId="0">
      <text>
        <r>
          <rPr>
            <sz val="9"/>
            <color indexed="81"/>
            <rFont val="Tahoma"/>
            <family val="2"/>
          </rPr>
          <t>This field is mandatory if you want to include any offset information!</t>
        </r>
      </text>
    </comment>
    <comment ref="D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A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8" authorId="0">
      <text>
        <r>
          <rPr>
            <sz val="9"/>
            <color indexed="81"/>
            <rFont val="Tahoma"/>
            <family val="2"/>
          </rPr>
          <t>This field is mandatory if you want to include any offset information!</t>
        </r>
      </text>
    </comment>
  </commentList>
</comments>
</file>

<file path=xl/comments6.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7.xml><?xml version="1.0" encoding="utf-8"?>
<comments xmlns="http://schemas.openxmlformats.org/spreadsheetml/2006/main">
  <authors>
    <author>Sara Geleskie Damiano</author>
  </authors>
  <commentList>
    <comment ref="O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R12" authorId="0">
      <text>
        <r>
          <rPr>
            <sz val="9"/>
            <color indexed="81"/>
            <rFont val="Tahoma"/>
            <family val="2"/>
          </rPr>
          <t>This is the person who actually deployed the sensor or collected the data in the collumn.</t>
        </r>
      </text>
    </comment>
    <comment ref="T12" authorId="0">
      <text>
        <r>
          <rPr>
            <sz val="9"/>
            <color indexed="81"/>
            <rFont val="Tahoma"/>
            <family val="2"/>
          </rPr>
          <t>These must first be entered in the methods worksheet.  If they still don't appear on this drop down list, make sure you don't have any blank rows between methods in the table.</t>
        </r>
      </text>
    </comment>
    <comment ref="U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8.xml><?xml version="1.0" encoding="utf-8"?>
<comments xmlns="http://schemas.openxmlformats.org/spreadsheetml/2006/main">
  <authors>
    <author>Sara Geleskie Damiano</author>
  </authors>
  <commentList>
    <comment ref="O1" authorId="0">
      <text>
        <r>
          <rPr>
            <b/>
            <sz val="9"/>
            <color indexed="81"/>
            <rFont val="Tahoma"/>
            <family val="2"/>
          </rPr>
          <t>Sara Geleskie Damiano:</t>
        </r>
        <r>
          <rPr>
            <sz val="9"/>
            <color indexed="81"/>
            <rFont val="Tahoma"/>
            <family val="2"/>
          </rPr>
          <t xml:space="preserve">
This is not actually a chunk of YAML just a helper column.</t>
        </r>
      </text>
    </comment>
    <comment ref="P1" authorId="0">
      <text>
        <r>
          <rPr>
            <b/>
            <sz val="9"/>
            <color indexed="81"/>
            <rFont val="Tahoma"/>
            <family val="2"/>
          </rPr>
          <t>Sara Geleskie Damiano:</t>
        </r>
        <r>
          <rPr>
            <sz val="9"/>
            <color indexed="81"/>
            <rFont val="Tahoma"/>
            <family val="2"/>
          </rPr>
          <t xml:space="preserve">
This is not actually a chunk of YAML just a helper column.</t>
        </r>
      </text>
    </comment>
    <comment ref="Q1" authorId="0">
      <text>
        <r>
          <rPr>
            <b/>
            <sz val="9"/>
            <color indexed="81"/>
            <rFont val="Tahoma"/>
            <family val="2"/>
          </rPr>
          <t>Sara Geleskie Damiano:</t>
        </r>
        <r>
          <rPr>
            <sz val="9"/>
            <color indexed="81"/>
            <rFont val="Tahoma"/>
            <family val="2"/>
          </rPr>
          <t xml:space="preserve">
This is not actually a chunk of YAML just a helper column.</t>
        </r>
      </text>
    </comment>
    <comment ref="R1" authorId="0">
      <text>
        <r>
          <rPr>
            <b/>
            <sz val="9"/>
            <color indexed="81"/>
            <rFont val="Tahoma"/>
            <family val="2"/>
          </rPr>
          <t>Sara Geleskie Damiano:</t>
        </r>
        <r>
          <rPr>
            <sz val="9"/>
            <color indexed="81"/>
            <rFont val="Tahoma"/>
            <family val="2"/>
          </rPr>
          <t xml:space="preserve">
This is not actually a chunk of YAML just a helper column.</t>
        </r>
      </text>
    </comment>
    <comment ref="S1" authorId="0">
      <text>
        <r>
          <rPr>
            <b/>
            <sz val="9"/>
            <color indexed="81"/>
            <rFont val="Tahoma"/>
            <family val="2"/>
          </rPr>
          <t>Sara Geleskie Damiano:</t>
        </r>
        <r>
          <rPr>
            <sz val="9"/>
            <color indexed="81"/>
            <rFont val="Tahoma"/>
            <family val="2"/>
          </rPr>
          <t xml:space="preserve">
This is not actually a chunk of YAML just a helper column.</t>
        </r>
      </text>
    </comment>
    <comment ref="T1" authorId="0">
      <text>
        <r>
          <rPr>
            <b/>
            <sz val="9"/>
            <color indexed="81"/>
            <rFont val="Tahoma"/>
            <family val="2"/>
          </rPr>
          <t>Sara Geleskie Damiano:</t>
        </r>
        <r>
          <rPr>
            <sz val="9"/>
            <color indexed="81"/>
            <rFont val="Tahoma"/>
            <family val="2"/>
          </rPr>
          <t xml:space="preserve">
This is not actually a chunk of YAML just a helper column.</t>
        </r>
      </text>
    </comment>
    <comment ref="U1" authorId="0">
      <text>
        <r>
          <rPr>
            <b/>
            <sz val="9"/>
            <color indexed="81"/>
            <rFont val="Tahoma"/>
            <family val="2"/>
          </rPr>
          <t>Sara Geleskie Damiano:</t>
        </r>
        <r>
          <rPr>
            <sz val="9"/>
            <color indexed="81"/>
            <rFont val="Tahoma"/>
            <family val="2"/>
          </rPr>
          <t xml:space="preserve">
This is not actually a chunk of YAML just a helper column.</t>
        </r>
      </text>
    </comment>
    <comment ref="V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 ref="AC1" authorId="0">
      <text>
        <r>
          <rPr>
            <b/>
            <sz val="9"/>
            <color indexed="81"/>
            <rFont val="Tahoma"/>
            <family val="2"/>
          </rPr>
          <t>Sara Geleskie Damiano:</t>
        </r>
        <r>
          <rPr>
            <sz val="9"/>
            <color indexed="81"/>
            <rFont val="Tahoma"/>
            <family val="2"/>
          </rPr>
          <t xml:space="preserve">
This is not actually a chunk of YAML just a helper column.</t>
        </r>
      </text>
    </comment>
    <comment ref="AD1" authorId="0">
      <text>
        <r>
          <rPr>
            <b/>
            <sz val="9"/>
            <color indexed="81"/>
            <rFont val="Tahoma"/>
            <family val="2"/>
          </rPr>
          <t>Sara Geleskie Damiano:</t>
        </r>
        <r>
          <rPr>
            <sz val="9"/>
            <color indexed="81"/>
            <rFont val="Tahoma"/>
            <family val="2"/>
          </rPr>
          <t xml:space="preserve">
This is not actually a chunk of YAML just a helper column.</t>
        </r>
      </text>
    </commen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L1" authorId="0">
      <text>
        <r>
          <rPr>
            <b/>
            <sz val="9"/>
            <color indexed="81"/>
            <rFont val="Tahoma"/>
            <family val="2"/>
          </rPr>
          <t>Sara Geleskie Damiano:</t>
        </r>
        <r>
          <rPr>
            <sz val="9"/>
            <color indexed="81"/>
            <rFont val="Tahoma"/>
            <family val="2"/>
          </rPr>
          <t xml:space="preserve">
This is not actually a chunk of YAML just a helper column.</t>
        </r>
      </text>
    </comment>
    <comment ref="AM1" authorId="0">
      <text>
        <r>
          <rPr>
            <b/>
            <sz val="9"/>
            <color indexed="81"/>
            <rFont val="Tahoma"/>
            <family val="2"/>
          </rPr>
          <t>Sara Geleskie Damiano:</t>
        </r>
        <r>
          <rPr>
            <sz val="9"/>
            <color indexed="81"/>
            <rFont val="Tahoma"/>
            <family val="2"/>
          </rPr>
          <t xml:space="preserve">
This is not actually a chunk of YAML just a helper column.</t>
        </r>
      </text>
    </comment>
    <comment ref="AN1" authorId="0">
      <text>
        <r>
          <rPr>
            <b/>
            <sz val="9"/>
            <color indexed="81"/>
            <rFont val="Tahoma"/>
            <family val="2"/>
          </rPr>
          <t>Sara Geleskie Damiano:</t>
        </r>
        <r>
          <rPr>
            <sz val="9"/>
            <color indexed="81"/>
            <rFont val="Tahoma"/>
            <family val="2"/>
          </rPr>
          <t xml:space="preserve">
This is not actually a chunk of YAML just a helper column.</t>
        </r>
      </text>
    </comment>
    <comment ref="AO1" authorId="0">
      <text>
        <r>
          <rPr>
            <b/>
            <sz val="9"/>
            <color indexed="81"/>
            <rFont val="Tahoma"/>
            <family val="2"/>
          </rPr>
          <t>Sara Geleskie Damiano:</t>
        </r>
        <r>
          <rPr>
            <sz val="9"/>
            <color indexed="81"/>
            <rFont val="Tahoma"/>
            <family val="2"/>
          </rPr>
          <t xml:space="preserve">
This is not actually a chunk of YAML just a helper column.</t>
        </r>
      </text>
    </comment>
    <comment ref="AP1" authorId="0">
      <text>
        <r>
          <rPr>
            <b/>
            <sz val="9"/>
            <color indexed="81"/>
            <rFont val="Tahoma"/>
            <family val="2"/>
          </rPr>
          <t>Sara Geleskie Damiano:</t>
        </r>
        <r>
          <rPr>
            <sz val="9"/>
            <color indexed="81"/>
            <rFont val="Tahoma"/>
            <family val="2"/>
          </rPr>
          <t xml:space="preserve">
This is not actually a chunk of YAML just a helper column.</t>
        </r>
      </text>
    </comment>
    <comment ref="AT1" authorId="0">
      <text>
        <r>
          <rPr>
            <b/>
            <sz val="9"/>
            <color indexed="81"/>
            <rFont val="Tahoma"/>
            <family val="2"/>
          </rPr>
          <t>Sara Geleskie Damiano:</t>
        </r>
        <r>
          <rPr>
            <sz val="9"/>
            <color indexed="81"/>
            <rFont val="Tahoma"/>
            <family val="2"/>
          </rPr>
          <t xml:space="preserve">
This is not actually a chunk of YAML just a helper column.</t>
        </r>
      </text>
    </comment>
    <comment ref="AU1" authorId="0">
      <text>
        <r>
          <rPr>
            <b/>
            <sz val="9"/>
            <color indexed="81"/>
            <rFont val="Tahoma"/>
            <family val="2"/>
          </rPr>
          <t>Sara Geleskie Damiano:</t>
        </r>
        <r>
          <rPr>
            <sz val="9"/>
            <color indexed="81"/>
            <rFont val="Tahoma"/>
            <family val="2"/>
          </rPr>
          <t xml:space="preserve">
This is not actually a chunk of YAML just a helper column.</t>
        </r>
      </text>
    </comment>
    <comment ref="AV1" authorId="0">
      <text>
        <r>
          <rPr>
            <b/>
            <sz val="9"/>
            <color indexed="81"/>
            <rFont val="Tahoma"/>
            <family val="2"/>
          </rPr>
          <t>Sara Geleskie Damiano:</t>
        </r>
        <r>
          <rPr>
            <sz val="9"/>
            <color indexed="81"/>
            <rFont val="Tahoma"/>
            <family val="2"/>
          </rPr>
          <t xml:space="preserve">
This is not actually a chunk of YAML just a helper column.</t>
        </r>
      </text>
    </comment>
    <comment ref="AW1" authorId="0">
      <text>
        <r>
          <rPr>
            <b/>
            <sz val="9"/>
            <color indexed="81"/>
            <rFont val="Tahoma"/>
            <family val="2"/>
          </rPr>
          <t>Sara Geleskie Damiano:</t>
        </r>
        <r>
          <rPr>
            <sz val="9"/>
            <color indexed="81"/>
            <rFont val="Tahoma"/>
            <family val="2"/>
          </rPr>
          <t xml:space="preserve">
This is not actually a chunk of YAML just a helper column.</t>
        </r>
      </text>
    </comment>
    <comment ref="AX1" authorId="0">
      <text>
        <r>
          <rPr>
            <b/>
            <sz val="9"/>
            <color indexed="81"/>
            <rFont val="Tahoma"/>
            <family val="2"/>
          </rPr>
          <t>Sara Geleskie Damiano:</t>
        </r>
        <r>
          <rPr>
            <sz val="9"/>
            <color indexed="81"/>
            <rFont val="Tahoma"/>
            <family val="2"/>
          </rPr>
          <t xml:space="preserve">
This is not actually a chunk of YAML just a helper column.</t>
        </r>
      </text>
    </comment>
    <comment ref="AY1" authorId="0">
      <text>
        <r>
          <rPr>
            <b/>
            <sz val="9"/>
            <color indexed="81"/>
            <rFont val="Tahoma"/>
            <family val="2"/>
          </rPr>
          <t>Sara Geleskie Damiano:</t>
        </r>
        <r>
          <rPr>
            <sz val="9"/>
            <color indexed="81"/>
            <rFont val="Tahoma"/>
            <family val="2"/>
          </rPr>
          <t xml:space="preserve">
This is not actually a chunk of YAML just a helper column.</t>
        </r>
      </text>
    </comment>
    <comment ref="BE1" authorId="0">
      <text>
        <r>
          <rPr>
            <b/>
            <sz val="9"/>
            <color indexed="81"/>
            <rFont val="Tahoma"/>
            <family val="2"/>
          </rPr>
          <t>Sara Geleskie Damiano:</t>
        </r>
        <r>
          <rPr>
            <sz val="9"/>
            <color indexed="81"/>
            <rFont val="Tahoma"/>
            <family val="2"/>
          </rPr>
          <t xml:space="preserve">
This is not actually a chunk of YAML just a helper column.</t>
        </r>
      </text>
    </comment>
    <comment ref="BF1" authorId="0">
      <text>
        <r>
          <rPr>
            <b/>
            <sz val="9"/>
            <color indexed="81"/>
            <rFont val="Tahoma"/>
            <family val="2"/>
          </rPr>
          <t>Sara Geleskie Damiano:</t>
        </r>
        <r>
          <rPr>
            <sz val="9"/>
            <color indexed="81"/>
            <rFont val="Tahoma"/>
            <family val="2"/>
          </rPr>
          <t xml:space="preserve">
This is not actually a chunk of YAML just a helper column.</t>
        </r>
      </text>
    </comment>
    <comment ref="BG1" authorId="0">
      <text>
        <r>
          <rPr>
            <b/>
            <sz val="9"/>
            <color indexed="81"/>
            <rFont val="Tahoma"/>
            <family val="2"/>
          </rPr>
          <t>Sara Geleskie Damiano:</t>
        </r>
        <r>
          <rPr>
            <sz val="9"/>
            <color indexed="81"/>
            <rFont val="Tahoma"/>
            <family val="2"/>
          </rPr>
          <t xml:space="preserve">
This is not actually a chunk of YAML just a helper column.</t>
        </r>
      </text>
    </comment>
    <comment ref="BH1" authorId="0">
      <text>
        <r>
          <rPr>
            <b/>
            <sz val="9"/>
            <color indexed="81"/>
            <rFont val="Tahoma"/>
            <family val="2"/>
          </rPr>
          <t>Sara Geleskie Damiano:</t>
        </r>
        <r>
          <rPr>
            <sz val="9"/>
            <color indexed="81"/>
            <rFont val="Tahoma"/>
            <family val="2"/>
          </rPr>
          <t xml:space="preserve">
This is not actually a chunk of YAML just a helper column.</t>
        </r>
      </text>
    </comment>
    <comment ref="BI1" authorId="0">
      <text>
        <r>
          <rPr>
            <b/>
            <sz val="9"/>
            <color indexed="81"/>
            <rFont val="Tahoma"/>
            <family val="2"/>
          </rPr>
          <t>Sara Geleskie Damiano:</t>
        </r>
        <r>
          <rPr>
            <sz val="9"/>
            <color indexed="81"/>
            <rFont val="Tahoma"/>
            <family val="2"/>
          </rPr>
          <t xml:space="preserve">
This is not actually a chunk of YAML just a helper column.</t>
        </r>
      </text>
    </comment>
    <comment ref="BJ1" authorId="0">
      <text>
        <r>
          <rPr>
            <b/>
            <sz val="9"/>
            <color indexed="81"/>
            <rFont val="Tahoma"/>
            <family val="2"/>
          </rPr>
          <t>Sara Geleskie Damiano:</t>
        </r>
        <r>
          <rPr>
            <sz val="9"/>
            <color indexed="81"/>
            <rFont val="Tahoma"/>
            <family val="2"/>
          </rPr>
          <t xml:space="preserve">
This is not actually a chunk of YAML just a helper column.</t>
        </r>
      </text>
    </comment>
    <comment ref="BK1" authorId="0">
      <text>
        <r>
          <rPr>
            <b/>
            <sz val="9"/>
            <color indexed="81"/>
            <rFont val="Tahoma"/>
            <family val="2"/>
          </rPr>
          <t>Sara Geleskie Damiano:</t>
        </r>
        <r>
          <rPr>
            <sz val="9"/>
            <color indexed="81"/>
            <rFont val="Tahoma"/>
            <family val="2"/>
          </rPr>
          <t xml:space="preserve">
This is not actually a chunk of YAML just a helper column.</t>
        </r>
      </text>
    </comment>
    <comment ref="BL1" authorId="0">
      <text>
        <r>
          <rPr>
            <b/>
            <sz val="9"/>
            <color indexed="81"/>
            <rFont val="Tahoma"/>
            <family val="2"/>
          </rPr>
          <t>Sara Geleskie Damiano:</t>
        </r>
        <r>
          <rPr>
            <sz val="9"/>
            <color indexed="81"/>
            <rFont val="Tahoma"/>
            <family val="2"/>
          </rPr>
          <t xml:space="preserve">
This is not actually a chunk of YAML just a helper column.</t>
        </r>
      </text>
    </comment>
    <comment ref="BM1" authorId="0">
      <text>
        <r>
          <rPr>
            <b/>
            <sz val="9"/>
            <color indexed="81"/>
            <rFont val="Tahoma"/>
            <family val="2"/>
          </rPr>
          <t>Sara Geleskie Damiano:</t>
        </r>
        <r>
          <rPr>
            <sz val="9"/>
            <color indexed="81"/>
            <rFont val="Tahoma"/>
            <family val="2"/>
          </rPr>
          <t xml:space="preserve">
This is not actually a chunk of YAML just a helper column.</t>
        </r>
      </text>
    </comment>
    <comment ref="BN1" authorId="0">
      <text>
        <r>
          <rPr>
            <b/>
            <sz val="9"/>
            <color indexed="81"/>
            <rFont val="Tahoma"/>
            <family val="2"/>
          </rPr>
          <t>Sara Geleskie Damiano:</t>
        </r>
        <r>
          <rPr>
            <sz val="9"/>
            <color indexed="81"/>
            <rFont val="Tahoma"/>
            <family val="2"/>
          </rPr>
          <t xml:space="preserve">
This is not actually a chunk of YAML just a helper column.</t>
        </r>
      </text>
    </comment>
    <comment ref="BO1" authorId="0">
      <text>
        <r>
          <rPr>
            <b/>
            <sz val="9"/>
            <color indexed="81"/>
            <rFont val="Tahoma"/>
            <family val="2"/>
          </rPr>
          <t>Sara Geleskie Damiano:</t>
        </r>
        <r>
          <rPr>
            <sz val="9"/>
            <color indexed="81"/>
            <rFont val="Tahoma"/>
            <family val="2"/>
          </rPr>
          <t xml:space="preserve">
This is not actually a chunk of YAML just a helper column.</t>
        </r>
      </text>
    </comment>
    <comment ref="BP1" authorId="0">
      <text>
        <r>
          <rPr>
            <b/>
            <sz val="9"/>
            <color indexed="81"/>
            <rFont val="Tahoma"/>
            <family val="2"/>
          </rPr>
          <t>Sara Geleskie Damiano:</t>
        </r>
        <r>
          <rPr>
            <sz val="9"/>
            <color indexed="81"/>
            <rFont val="Tahoma"/>
            <family val="2"/>
          </rPr>
          <t xml:space="preserve">
This is not actually a chunk of YAML just a helper column.</t>
        </r>
      </text>
    </comment>
    <comment ref="BQ1" authorId="0">
      <text>
        <r>
          <rPr>
            <b/>
            <sz val="9"/>
            <color indexed="81"/>
            <rFont val="Tahoma"/>
            <family val="2"/>
          </rPr>
          <t>Sara Geleskie Damiano:</t>
        </r>
        <r>
          <rPr>
            <sz val="9"/>
            <color indexed="81"/>
            <rFont val="Tahoma"/>
            <family val="2"/>
          </rPr>
          <t xml:space="preserve">
This is not actually a chunk of YAML just a helper column.</t>
        </r>
      </text>
    </comment>
    <comment ref="BR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<sst xmlns="http://schemas.openxmlformats.org/spreadsheetml/2006/main" count="1761" uniqueCount="1498">
  <si>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</si>
  <si>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</si>
  <si>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</si>
  <si>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</si>
  <si>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</si>
  <si>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</si>
  <si>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</si>
  <si>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</si>
  <si>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</si>
  <si>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</si>
  <si>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</si>
  <si>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</si>
  <si>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</si>
  <si>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</si>
  <si>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</si>
  <si>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</si>
  <si>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</si>
  <si>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</si>
  <si>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</si>
  <si>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</si>
  <si>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</si>
  <si>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</si>
  <si>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</si>
  <si>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</si>
  <si>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</si>
  <si>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</si>
  <si>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</si>
  <si>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</si>
  <si>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</si>
  <si>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</si>
  <si>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</si>
  <si>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</si>
  <si>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</si>
  <si>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</si>
  <si>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</si>
  <si>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</si>
  <si>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</si>
  <si>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</si>
  <si>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</si>
  <si>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</si>
  <si>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</si>
  <si>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</si>
  <si>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</si>
  <si>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</si>
  <si>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</si>
  <si>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</si>
  <si>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</si>
  <si>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</si>
  <si>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</si>
  <si>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</si>
  <si>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</si>
  <si>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</si>
  <si>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</si>
  <si>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</si>
  <si>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</si>
  <si>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</si>
  <si>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</si>
  <si>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</si>
  <si>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</si>
  <si>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</si>
  <si>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</si>
  <si>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</si>
  <si>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</si>
  <si>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</si>
  <si>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</si>
  <si>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</si>
  <si>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</si>
  <si>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</si>
  <si>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</si>
  <si>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</si>
  <si>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</si>
  <si>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</si>
  <si>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</si>
  <si>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</si>
  <si>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</si>
  <si>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</si>
  <si>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</si>
  <si>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</si>
  <si>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</si>
  <si>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</si>
  <si>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</si>
  <si>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</si>
  <si>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</si>
  <si>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</si>
  <si>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</si>
  <si>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</si>
  <si>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</si>
  <si>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</si>
  <si>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</si>
  <si>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</si>
  <si>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</si>
  <si>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</si>
  <si>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</si>
  <si>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</si>
  <si>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</si>
  <si>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</si>
  <si>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</si>
  <si>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</si>
  <si>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</si>
  <si>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</si>
  <si>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</si>
  <si>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</si>
  <si>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</si>
  <si>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</si>
  <si>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</si>
  <si>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</si>
  <si>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</si>
  <si>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</si>
  <si>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</si>
  <si>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</si>
  <si>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</si>
  <si>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</si>
  <si>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</si>
  <si>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</si>
  <si>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</si>
  <si>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</si>
  <si>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</si>
  <si>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</si>
  <si>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</si>
  <si>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</si>
  <si>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</si>
  <si>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</si>
  <si>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</si>
  <si>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</si>
  <si>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</si>
  <si>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</si>
  <si>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</si>
  <si>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</si>
  <si>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</si>
  <si>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</si>
  <si>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</si>
  <si>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</si>
  <si>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</si>
  <si>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</si>
  <si>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</si>
  <si>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</si>
  <si>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Variable Name</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</si>
  <si>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</si>
  <si>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</si>
  <si>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</si>
  <si>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</si>
  <si>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</si>
  <si>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</si>
  <si>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</si>
  <si>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</si>
  <si>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</si>
  <si>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</si>
  <si>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</si>
  <si>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</si>
  <si>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</si>
  <si>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</si>
  <si>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</si>
  <si>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</si>
  <si>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</si>
  <si>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</si>
  <si>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</si>
  <si>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</si>
  <si>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</si>
  <si>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</si>
  <si>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</si>
  <si>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</si>
  <si>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</si>
  <si>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</si>
  <si>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</si>
  <si>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</si>
  <si>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</si>
  <si>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</si>
  <si>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</si>
  <si>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</si>
  <si>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</si>
  <si>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</si>
  <si>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</si>
  <si>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</si>
  <si>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</si>
  <si>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</si>
  <si>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</si>
  <si>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</si>
  <si>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</si>
  <si>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</si>
  <si>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</si>
  <si>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</si>
  <si>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</si>
  <si>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</si>
  <si>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</si>
  <si>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</si>
  <si>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</si>
  <si>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</si>
  <si>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</si>
  <si>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Boolean</t>
  </si>
  <si>
    <t>Feature Name</t>
  </si>
  <si>
    <t>Feature Description</t>
  </si>
  <si>
    <t>Feature Code</t>
  </si>
  <si>
    <t>Feature Geometry</t>
  </si>
  <si>
    <t>OrganizationTypeCV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</si>
  <si>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</si>
  <si>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</si>
  <si>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</si>
  <si>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</si>
  <si>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</si>
  <si>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</si>
  <si>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</si>
  <si>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</si>
  <si>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</si>
  <si>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</si>
  <si>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</si>
  <si>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</si>
  <si>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</si>
  <si>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</si>
  <si>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</si>
  <si>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</si>
  <si>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</si>
  <si>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</si>
  <si>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</si>
  <si>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</si>
  <si>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</si>
  <si>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</si>
  <si>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</si>
  <si>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</si>
  <si>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</si>
  <si>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</si>
  <si>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</si>
  <si>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</si>
  <si>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</si>
  <si>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</si>
  <si>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</si>
  <si>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</si>
  <si>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</si>
  <si>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</si>
  <si>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</si>
  <si>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</si>
  <si>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</si>
  <si>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</si>
  <si>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</si>
  <si>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</si>
  <si>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</si>
  <si>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</si>
  <si>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</si>
  <si>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</si>
  <si>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</si>
  <si>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</si>
  <si>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</si>
  <si>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</si>
  <si>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</si>
  <si>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</si>
  <si>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</si>
  <si>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</si>
  <si>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</si>
  <si>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</si>
  <si>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</si>
  <si>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</si>
  <si>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</si>
  <si>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</si>
  <si>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</si>
  <si>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</si>
  <si>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</si>
  <si>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</si>
  <si>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</si>
  <si>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</si>
  <si>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</si>
  <si>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</si>
  <si>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</si>
  <si>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</si>
  <si>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</si>
  <si>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</si>
  <si>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</si>
  <si>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</si>
  <si>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</si>
  <si>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</si>
  <si>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</si>
  <si>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</si>
  <si>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</si>
  <si>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</si>
  <si>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</si>
  <si>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</si>
  <si>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</si>
  <si>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</si>
  <si>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</si>
  <si>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</si>
  <si>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</si>
  <si>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</si>
  <si>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</si>
  <si>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</si>
  <si>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</si>
  <si>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</si>
  <si>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</si>
  <si>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</si>
  <si>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</si>
  <si>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</si>
  <si>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</si>
  <si>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</si>
  <si>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</si>
  <si>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</si>
  <si>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</si>
  <si>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</si>
  <si>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</si>
  <si>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</si>
  <si>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</si>
  <si>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</si>
  <si>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</si>
  <si>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</si>
  <si>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</si>
  <si>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</si>
  <si>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</si>
  <si>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</si>
  <si>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</si>
  <si>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</si>
  <si>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</si>
  <si>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</si>
  <si>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</si>
  <si>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</si>
  <si>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</si>
  <si>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</si>
  <si>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</si>
  <si>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</si>
  <si>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</si>
  <si>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</si>
  <si>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</si>
  <si>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</si>
  <si>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</si>
  <si>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</si>
  <si>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</si>
  <si>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</si>
  <si>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</si>
  <si>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</si>
  <si>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</si>
  <si>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</si>
  <si>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</si>
  <si>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</si>
  <si>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</si>
  <si>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</si>
  <si>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</si>
  <si>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</si>
  <si>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</si>
  <si>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</si>
  <si>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</si>
  <si>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</si>
  <si>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</si>
  <si>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</si>
  <si>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</si>
  <si>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</si>
  <si>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</si>
  <si>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</si>
  <si>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</si>
  <si>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</si>
  <si>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</si>
  <si>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</si>
  <si>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</si>
  <si>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</si>
  <si>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</si>
  <si>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</si>
  <si>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</si>
  <si>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</si>
  <si>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</si>
  <si>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</si>
  <si>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</si>
  <si>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</si>
  <si>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</si>
  <si>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</si>
  <si>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</si>
  <si>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</si>
  <si>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</si>
  <si>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</si>
  <si>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</si>
  <si>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</si>
  <si>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</si>
  <si>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</si>
  <si>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</si>
  <si>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</si>
  <si>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</si>
  <si>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</si>
  <si>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</si>
  <si>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</si>
  <si>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</si>
  <si>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</si>
  <si>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</si>
  <si>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</si>
  <si>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</si>
  <si>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</si>
  <si>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</si>
  <si>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</si>
  <si>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</si>
  <si>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</si>
  <si>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</si>
  <si>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</si>
  <si>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</si>
  <si>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</si>
  <si>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</si>
  <si>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</si>
  <si>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</si>
  <si>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</si>
  <si>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</si>
  <si>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</si>
  <si>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</si>
  <si>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</si>
  <si>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</si>
  <si>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</si>
  <si>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</si>
  <si>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</si>
  <si>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</si>
  <si>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</si>
  <si>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</si>
  <si>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</si>
  <si>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</si>
  <si>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</si>
  <si>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</si>
  <si>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</si>
  <si>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</si>
  <si>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</si>
  <si>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</si>
  <si>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</si>
  <si>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</si>
  <si>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</si>
  <si>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</si>
  <si>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</si>
  <si>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</si>
  <si>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</si>
  <si>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</si>
  <si>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</si>
  <si>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</si>
  <si>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</si>
  <si>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</si>
  <si>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</si>
  <si>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</si>
  <si>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</si>
  <si>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</si>
  <si>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</si>
  <si>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</si>
  <si>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</si>
  <si>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</si>
  <si>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</si>
  <si>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</si>
  <si>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</si>
  <si>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</si>
  <si>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</si>
  <si>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</si>
  <si>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</si>
  <si>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</si>
  <si>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</si>
  <si>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</si>
  <si>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</si>
  <si>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</si>
  <si>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</si>
  <si>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</si>
  <si>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</si>
  <si>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</si>
  <si>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</si>
  <si>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</si>
  <si>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</si>
  <si>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</si>
  <si>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</si>
  <si>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</si>
  <si>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</si>
  <si>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</si>
  <si>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</si>
  <si>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</si>
  <si>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</si>
  <si>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</si>
  <si>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</si>
  <si>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</si>
  <si>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</si>
  <si>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</si>
  <si>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</si>
  <si>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</si>
  <si>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</si>
  <si>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</si>
  <si>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</si>
  <si>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</si>
  <si>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</si>
  <si>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</si>
  <si>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</si>
  <si>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</si>
  <si>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</si>
  <si>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</si>
  <si>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</si>
  <si>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</si>
  <si>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</si>
  <si>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</si>
  <si>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</si>
  <si>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</si>
  <si>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</si>
  <si>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</si>
  <si>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</si>
  <si>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</si>
  <si>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</si>
  <si>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</si>
  <si>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</si>
  <si>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</si>
  <si>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</si>
  <si>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</si>
  <si>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</si>
  <si>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</si>
  <si>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</si>
  <si>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</si>
  <si>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</si>
  <si>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</si>
  <si>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</si>
  <si>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</si>
  <si>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</si>
  <si>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</si>
  <si>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</si>
  <si>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</si>
  <si>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</si>
  <si>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</si>
  <si>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</si>
  <si>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</si>
  <si>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</si>
  <si>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</si>
  <si>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</si>
  <si>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</si>
  <si>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</si>
  <si>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</si>
  <si>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</si>
  <si>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</si>
  <si>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</si>
  <si>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</si>
  <si>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</si>
  <si>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</si>
  <si>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</si>
  <si>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</si>
  <si>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</si>
  <si>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</si>
  <si>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</si>
  <si>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</si>
  <si>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</si>
  <si>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</si>
  <si>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</si>
  <si>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</si>
  <si>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</si>
  <si>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</si>
  <si>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</si>
  <si>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</si>
  <si>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</si>
  <si>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</si>
  <si>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</si>
  <si>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</si>
  <si>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</si>
  <si>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</si>
  <si>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</si>
  <si>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</si>
  <si>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</si>
  <si>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</si>
  <si>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</si>
  <si>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</si>
  <si>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</si>
  <si>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</si>
  <si>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</si>
  <si>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</si>
  <si>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</si>
  <si>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</si>
  <si>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</si>
  <si>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</si>
  <si>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</si>
  <si>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</si>
  <si>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</si>
  <si>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</si>
  <si>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</si>
  <si>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</si>
  <si>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</si>
  <si>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</si>
  <si>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</si>
  <si>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</si>
  <si>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</si>
  <si>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</si>
  <si>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</si>
  <si>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</si>
  <si>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</si>
  <si>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</si>
  <si>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</si>
  <si>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</si>
  <si>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</si>
  <si>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</si>
  <si>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</si>
  <si>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</si>
  <si>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</si>
  <si>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</si>
  <si>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</si>
  <si>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</si>
  <si>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</si>
  <si>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</si>
  <si>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</si>
  <si>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</si>
  <si>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</si>
  <si>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</si>
  <si>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</si>
  <si>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</si>
  <si>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</si>
  <si>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</si>
  <si>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</si>
  <si>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</si>
  <si>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</si>
  <si>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</si>
  <si>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</si>
  <si>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</si>
  <si>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</si>
  <si>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</si>
  <si>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</si>
  <si>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</si>
  <si>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</si>
  <si>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</si>
  <si>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</si>
  <si>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</si>
  <si>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</si>
  <si>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</si>
  <si>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</si>
  <si>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</si>
  <si>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</si>
  <si>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</si>
  <si>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</si>
  <si>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</si>
  <si>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</si>
  <si>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</si>
  <si>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</si>
  <si>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</si>
  <si>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</si>
  <si>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</si>
  <si>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</si>
  <si>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</si>
  <si>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</si>
  <si>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</si>
  <si>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</si>
  <si>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</si>
  <si>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</si>
  <si>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</si>
  <si>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</si>
  <si>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</si>
  <si>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</si>
  <si>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</si>
  <si>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</si>
  <si>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</si>
  <si>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</si>
  <si>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</si>
  <si>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</si>
  <si>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</si>
  <si>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</si>
  <si>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</si>
  <si>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</si>
  <si>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</si>
  <si>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</si>
  <si>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</si>
  <si>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</si>
  <si>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</si>
  <si>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</si>
  <si>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</si>
  <si>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</si>
  <si>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</si>
  <si>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</si>
  <si>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</si>
  <si>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</si>
  <si>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</si>
  <si>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</si>
  <si>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</si>
  <si>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</si>
  <si>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</si>
  <si>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</si>
  <si>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</si>
  <si>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</si>
  <si>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</si>
  <si>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</si>
  <si>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</si>
  <si>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</si>
  <si>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</si>
  <si>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</si>
  <si>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</si>
  <si>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</si>
  <si>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</si>
  <si>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</si>
  <si>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</si>
  <si>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</si>
  <si>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</si>
  <si>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</si>
  <si>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</si>
  <si>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</si>
  <si>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</si>
  <si>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</si>
  <si>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</si>
  <si>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</si>
  <si>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</si>
  <si>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</si>
  <si>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</si>
  <si>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</si>
  <si>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</si>
  <si>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</si>
  <si>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</si>
  <si>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</si>
  <si>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</si>
  <si>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</si>
  <si>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</si>
  <si>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</si>
  <si>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</si>
  <si>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</si>
  <si>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</si>
  <si>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</si>
  <si>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</si>
  <si>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</si>
  <si>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</si>
  <si>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</si>
  <si>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</si>
  <si>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</si>
  <si>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</si>
  <si>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</si>
  <si>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</si>
  <si>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</si>
  <si>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</si>
  <si>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</si>
  <si>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</si>
  <si>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</si>
  <si>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</si>
  <si>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</si>
  <si>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</si>
  <si>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</si>
  <si>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</si>
  <si>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</si>
  <si>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</si>
  <si>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</si>
  <si>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</si>
  <si>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</si>
  <si>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</si>
  <si>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</si>
  <si>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</si>
  <si>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</si>
  <si>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</si>
  <si>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</si>
  <si>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</si>
  <si>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</si>
  <si>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</si>
  <si>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</si>
  <si>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</si>
  <si>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</si>
  <si>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</si>
  <si>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</si>
  <si>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</si>
  <si>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</si>
  <si>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</si>
  <si>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</si>
  <si>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</si>
  <si>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</si>
  <si>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</si>
  <si>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</si>
  <si>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</si>
  <si>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</si>
  <si>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</si>
  <si>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</si>
  <si>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</si>
  <si>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</si>
  <si>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</si>
  <si>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</si>
  <si>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</si>
  <si>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</si>
  <si>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</si>
  <si>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</si>
  <si>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</si>
  <si>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</si>
  <si>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</si>
  <si>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</si>
  <si>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</si>
  <si>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</si>
  <si>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</si>
  <si>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</si>
  <si>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</si>
  <si>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</si>
  <si>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</si>
  <si>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</si>
  <si>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</si>
  <si>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</si>
  <si>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</si>
  <si>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</si>
  <si>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</si>
  <si>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</si>
  <si>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</si>
  <si>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</si>
  <si>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</si>
  <si>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</si>
  <si>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</si>
  <si>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</si>
  <si>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</si>
  <si>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</si>
  <si>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</si>
  <si>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</si>
  <si>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</si>
  <si>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</si>
  <si>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</si>
  <si>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</si>
  <si>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</si>
  <si>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</si>
  <si>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</si>
  <si>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</si>
  <si>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</si>
  <si>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</si>
  <si>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</si>
  <si>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</si>
  <si>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</si>
  <si>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</si>
  <si>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</si>
  <si>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</si>
  <si>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</si>
  <si>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</si>
  <si>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</si>
  <si>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</si>
  <si>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</si>
  <si>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</si>
  <si>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</si>
  <si>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</si>
  <si>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</si>
  <si>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</si>
  <si>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</si>
  <si>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</si>
  <si>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</si>
  <si>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</si>
  <si>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</si>
  <si>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</si>
  <si>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</si>
  <si>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</si>
  <si>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</si>
  <si>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</si>
  <si>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</si>
  <si>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</si>
  <si>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</si>
  <si>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</si>
  <si>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</si>
  <si>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</si>
  <si>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</si>
  <si>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</si>
  <si>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</si>
  <si>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</si>
  <si>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</si>
  <si>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</si>
  <si>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</si>
  <si>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</si>
  <si>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</si>
  <si>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</si>
  <si>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</si>
  <si>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</si>
  <si>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</si>
  <si>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</si>
  <si>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</si>
  <si>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</si>
  <si>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</si>
  <si>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</si>
  <si>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</si>
  <si>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</si>
  <si>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</si>
  <si>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</si>
  <si>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</si>
  <si>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</si>
  <si>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</si>
  <si>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</si>
  <si>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</si>
  <si>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</si>
  <si>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</si>
  <si>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</si>
  <si>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</si>
  <si>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</si>
  <si>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</si>
  <si>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</si>
  <si>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</si>
  <si>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</si>
  <si>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</si>
  <si>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</si>
  <si>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</si>
  <si>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</si>
  <si>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</si>
  <si>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</si>
  <si>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</si>
  <si>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</si>
  <si>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</si>
  <si>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</si>
  <si>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</si>
  <si>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</si>
  <si>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</si>
  <si>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</si>
  <si>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</si>
  <si>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</si>
  <si>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</si>
  <si>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</si>
  <si>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</si>
  <si>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</si>
  <si>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</si>
  <si>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</si>
  <si>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</si>
  <si>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</si>
  <si>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</si>
  <si>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</si>
  <si>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</si>
  <si>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</si>
  <si>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</si>
  <si>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</si>
  <si>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</si>
  <si>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</si>
  <si>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</si>
  <si>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</si>
  <si>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</si>
  <si>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</si>
  <si>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</si>
  <si>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</si>
  <si>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</si>
  <si>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</si>
  <si>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</si>
  <si>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</si>
  <si>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</si>
  <si>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</si>
  <si>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</si>
  <si>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</si>
  <si>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</si>
  <si>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</si>
  <si>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</si>
  <si>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</si>
  <si>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</si>
  <si>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</si>
  <si>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</si>
  <si>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</si>
  <si>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</si>
  <si>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</si>
  <si>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</si>
  <si>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</si>
  <si>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</si>
  <si>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</si>
  <si>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</si>
  <si>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</si>
  <si>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</si>
  <si>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</si>
  <si>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</si>
  <si>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</si>
  <si>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</si>
  <si>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</si>
  <si>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</si>
  <si>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</si>
  <si>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</si>
  <si>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</si>
  <si>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</si>
  <si>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</si>
  <si>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</si>
  <si>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</si>
  <si>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</si>
  <si>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</si>
  <si>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</si>
  <si>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</si>
  <si>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</si>
  <si>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</si>
  <si>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</si>
  <si>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</si>
  <si>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</si>
  <si>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</si>
  <si>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</si>
  <si>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</si>
  <si>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</si>
  <si>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</si>
  <si>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</si>
  <si>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</si>
  <si>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</si>
  <si>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</si>
  <si>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</si>
  <si>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</si>
  <si>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</si>
  <si>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</si>
  <si>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</si>
  <si>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</si>
  <si>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</si>
  <si>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</si>
  <si>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</si>
  <si>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</si>
  <si>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</si>
  <si>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</si>
  <si>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</si>
  <si>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</si>
  <si>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</si>
  <si>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</si>
  <si>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</si>
  <si>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</si>
  <si>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</si>
  <si>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</si>
  <si>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</si>
  <si>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</si>
  <si>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</si>
  <si>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</si>
  <si>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</si>
  <si>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</si>
  <si>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</si>
  <si>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</si>
  <si>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</si>
  <si>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</si>
  <si>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</si>
  <si>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</si>
  <si>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</si>
  <si>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</si>
  <si>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</si>
  <si>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</si>
  <si>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</si>
  <si>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</si>
  <si>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</si>
  <si>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</si>
  <si>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</si>
  <si>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</si>
  <si>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</si>
  <si>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</si>
  <si>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</si>
  <si>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</si>
  <si>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</si>
  <si>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</si>
  <si>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</si>
  <si>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</si>
  <si>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</si>
  <si>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</si>
  <si>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</si>
  <si>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</si>
  <si>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</si>
  <si>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</si>
  <si>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</si>
  <si>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</si>
  <si>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</si>
  <si>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</si>
  <si>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</si>
  <si>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</si>
  <si>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</si>
  <si>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</si>
  <si>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</si>
  <si>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</si>
  <si>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</si>
  <si>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</si>
  <si>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</si>
  <si>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</si>
  <si>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</si>
  <si>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</si>
  <si>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</si>
  <si>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</si>
  <si>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</si>
  <si>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</si>
  <si>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</si>
  <si>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</si>
  <si>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</si>
  <si>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</si>
  <si>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</si>
  <si>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</si>
  <si>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</si>
  <si>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</si>
  <si>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</si>
  <si>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</si>
  <si>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</si>
  <si>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</si>
  <si>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</si>
  <si>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</si>
  <si>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</si>
  <si>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</si>
  <si>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</si>
  <si>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</si>
  <si>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</si>
  <si>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</si>
  <si>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</si>
  <si>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</si>
  <si>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</si>
  <si>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</si>
  <si>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</si>
  <si>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</si>
  <si>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</si>
  <si>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</si>
  <si>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</si>
  <si>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</si>
  <si>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</si>
  <si>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</si>
  <si>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</si>
  <si>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</si>
  <si>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</si>
  <si>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</si>
  <si>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</si>
  <si>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</si>
  <si>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</si>
  <si>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</si>
  <si>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</si>
  <si>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</si>
  <si>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</si>
  <si>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</si>
  <si>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</si>
  <si>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</si>
  <si>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</si>
  <si>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</si>
  <si>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</si>
  <si>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</si>
  <si>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</si>
  <si>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</si>
  <si>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</si>
  <si>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</si>
  <si>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</si>
  <si>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</si>
  <si>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</si>
  <si>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</si>
  <si>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</si>
  <si>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</si>
  <si>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</si>
  <si>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</si>
  <si>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</si>
  <si>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</si>
  <si>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</si>
  <si>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</si>
  <si>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</si>
  <si>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</si>
  <si>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</si>
  <si>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</si>
  <si>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</si>
  <si>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</si>
  <si>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</si>
  <si>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</si>
  <si>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</si>
  <si>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</si>
  <si>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</si>
  <si>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</si>
  <si>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</si>
  <si>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</si>
  <si>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</si>
  <si>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</si>
  <si>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</si>
  <si>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</si>
  <si>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</si>
  <si>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</si>
  <si>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</si>
  <si>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</si>
  <si>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</si>
  <si>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</si>
  <si>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</si>
  <si>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</si>
  <si>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</si>
  <si>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</si>
  <si>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</si>
  <si>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</si>
  <si>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</si>
  <si>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</si>
  <si>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</si>
  <si>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</si>
  <si>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</si>
  <si>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</si>
  <si>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</si>
  <si>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</si>
  <si>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</si>
  <si>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</si>
  <si>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</si>
  <si>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</si>
  <si>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</si>
  <si>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</si>
  <si>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</si>
  <si>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ResultUUID</t>
  </si>
  <si>
    <t>ResultTypeCV</t>
  </si>
  <si>
    <t>Measurement</t>
  </si>
  <si>
    <t>Count observation</t>
  </si>
  <si>
    <t>Truth observation</t>
  </si>
  <si>
    <t>Category observation</t>
  </si>
  <si>
    <t>CensorCodeCV</t>
  </si>
  <si>
    <t>QualityCodeCV</t>
  </si>
  <si>
    <t>Greater than</t>
  </si>
  <si>
    <t>Less than</t>
  </si>
  <si>
    <t>Not censored</t>
  </si>
  <si>
    <t>Non-detect</t>
  </si>
  <si>
    <t>Present but not quantified</t>
  </si>
  <si>
    <t>None</t>
  </si>
  <si>
    <t>Good</t>
  </si>
  <si>
    <t>Marginal</t>
  </si>
  <si>
    <t>Bad</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</si>
  <si>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</si>
  <si>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</si>
  <si>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</si>
  <si>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</si>
  <si>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</si>
  <si>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</si>
  <si>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</si>
  <si>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</si>
  <si>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</si>
  <si>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</si>
  <si>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</si>
  <si>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</si>
  <si>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</si>
  <si>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</si>
  <si>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</si>
  <si>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StatusCV</t>
  </si>
  <si>
    <t>Complete</t>
  </si>
  <si>
    <t>Ongoing</t>
  </si>
  <si>
    <t>Planned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</si>
  <si>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</si>
  <si>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</si>
  <si>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</si>
  <si>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</si>
  <si>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</si>
  <si>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</si>
  <si>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Actions</t>
  </si>
  <si>
    <t>Feature IGSN</t>
  </si>
  <si>
    <t>Actions:</t>
  </si>
  <si>
    <t>ActionTypeCV</t>
  </si>
  <si>
    <t>FeatureActions:</t>
  </si>
  <si>
    <t>Results</t>
  </si>
  <si>
    <t>Results:</t>
  </si>
  <si>
    <t>Measurement Results</t>
  </si>
  <si>
    <t>Measurement Result Values</t>
  </si>
  <si>
    <t>How to use this template:</t>
  </si>
  <si>
    <t>Purpose of this template:</t>
  </si>
  <si>
    <t>Limitations of this template:</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</si>
  <si>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</si>
  <si>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</si>
  <si>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</si>
  <si>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</si>
  <si>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</si>
  <si>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</si>
  <si>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</si>
  <si>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</si>
  <si>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</si>
  <si>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</si>
  <si>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</si>
  <si>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</si>
  <si>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</si>
  <si>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</si>
  <si>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</si>
  <si>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</si>
  <si>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</si>
  <si>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</si>
  <si>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</si>
  <si>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</si>
  <si>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</si>
  <si>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</si>
  <si>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</si>
  <si>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</si>
  <si>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</si>
  <si>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</si>
  <si>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</si>
  <si>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</si>
  <si>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</si>
  <si>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</si>
  <si>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</si>
  <si>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</si>
  <si>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</si>
  <si>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</si>
  <si>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</si>
  <si>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</si>
  <si>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</si>
  <si>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</si>
  <si>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</si>
  <si>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</si>
  <si>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</si>
  <si>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</si>
  <si>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</si>
  <si>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</si>
  <si>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</si>
  <si>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</si>
  <si>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</si>
  <si>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</si>
  <si>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</si>
  <si>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</si>
  <si>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</si>
  <si>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</si>
  <si>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</si>
  <si>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</si>
  <si>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</si>
  <si>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</si>
  <si>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</si>
  <si>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</si>
  <si>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</si>
  <si>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</si>
  <si>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</si>
  <si>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</si>
  <si>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</si>
  <si>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</si>
  <si>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</si>
  <si>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</si>
  <si>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</si>
  <si>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</si>
  <si>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</si>
  <si>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</si>
  <si>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</si>
  <si>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</si>
  <si>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</si>
  <si>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</si>
  <si>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</si>
  <si>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</si>
  <si>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</si>
  <si>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</si>
  <si>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</si>
  <si>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</si>
  <si>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</si>
  <si>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</si>
  <si>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</si>
  <si>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</si>
  <si>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</si>
  <si>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</si>
  <si>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</si>
  <si>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</si>
  <si>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</si>
  <si>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</si>
  <si>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</si>
  <si>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</si>
  <si>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</si>
  <si>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</si>
  <si>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</si>
  <si>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</si>
  <si>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</si>
  <si>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</si>
  <si>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</si>
  <si>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</si>
  <si>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</si>
  <si>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</si>
  <si>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Fill in information in the yellow boxes on each of the worksheets.</t>
  </si>
  <si>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</si>
  <si>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Paler yellow columns are optional.  If they are left empty, NULL values will be put in their place in the YODA file.</t>
  </si>
  <si>
    <t>Template version:</t>
  </si>
  <si>
    <t>1.0.0</t>
  </si>
  <si>
    <t>Template Profile:</t>
  </si>
  <si>
    <t>YODA Specification Version:</t>
  </si>
  <si>
    <t>Datasets</t>
  </si>
  <si>
    <t>ActionBy:</t>
  </si>
  <si>
    <t>YODA:</t>
  </si>
  <si>
    <t>ColumnTypes</t>
  </si>
  <si>
    <t>TimeAggregationInterval</t>
  </si>
  <si>
    <t>TimeAggregationIntervalUnitCode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</si>
  <si>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</si>
  <si>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</si>
  <si>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</si>
  <si>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</si>
  <si>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</si>
  <si>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</si>
  <si>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</si>
  <si>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</si>
  <si>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</si>
  <si>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</si>
  <si>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TaxonomicClassifierTypeCV</t>
  </si>
  <si>
    <t>Biology</t>
  </si>
  <si>
    <t>Lithology</t>
  </si>
  <si>
    <t>Soil horizon</t>
  </si>
  <si>
    <t>Soil color</t>
  </si>
  <si>
    <t>Soil texture</t>
  </si>
  <si>
    <t>Soil structure</t>
  </si>
  <si>
    <t>TaxonomicClassifierName</t>
  </si>
  <si>
    <t>REQUIRED</t>
  </si>
  <si>
    <t>NOTE:  This template also does not allow for inputting any information about Valid date/times, and continuing statuses.  To include these, you must generate your YODA file in some other way.</t>
  </si>
  <si>
    <t>SpecimenMediumCV</t>
  </si>
  <si>
    <t>NOTE:  This template also does not allow for value-by-value annotations.  To include these, you must generate your YODA file in some other way.</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</si>
  <si>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data values.</t>
    </r>
  </si>
  <si>
    <t># Specimens</t>
  </si>
  <si>
    <t>Specimen Column</t>
  </si>
  <si>
    <t>SpecimenIGSN</t>
  </si>
  <si>
    <t>SpecimenUUID</t>
  </si>
  <si>
    <t># Data Columns</t>
  </si>
  <si>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</si>
  <si>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Do NOT leave any empty rows between rows of data.</t>
  </si>
  <si>
    <t>Any invalidly entered data or required data left blank will be highlighted in red.</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</si>
  <si>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</si>
  <si>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</si>
  <si>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t>External data set citations include publications in peer-reviewed journals or any other permanent data repository.</t>
  </si>
  <si>
    <t>Authors must first have been entered in the "People and Organizations" tab.</t>
  </si>
  <si>
    <t>Dataset Information</t>
  </si>
  <si>
    <t>External Citation Information</t>
  </si>
  <si>
    <t>Author Information (These apply to the CITATION only!   Do not fill out unless you fill in the citation block above.)</t>
  </si>
  <si>
    <t>These fields apply only to Sites</t>
  </si>
  <si>
    <t>To include more sampling features,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</si>
  <si>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</si>
  <si>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</si>
  <si>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</si>
  <si>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methods, simply begin typing in the next row below the yellow block.  The table will automatically extend.</t>
  </si>
  <si>
    <t>NOTE:  The methods listed here should be the methods used by the instrument or sensor to actually produce the numeric result, NOT the method by which the sensor was deployed.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</si>
  <si>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</si>
  <si>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</si>
  <si>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</si>
  <si>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processing levels, simply begin typing in the next row below the yellow block.  The table will automatically extend.</t>
  </si>
  <si>
    <t>To view the historic controlled vocabulary see: http://sv.criticalzone.org/edit.aspx?id=517576882&amp;tbl=DataLevel&amp;</t>
  </si>
  <si>
    <t>NOTE:  Historically (in ODM1.1.1) the processing levels were called "data levels" and maintained as a  controlled vocabulary.  This is no longer the case.  You must supply your own processing level codes.</t>
  </si>
  <si>
    <t>CollectorFullName</t>
  </si>
  <si>
    <t>SpecimenName</t>
  </si>
  <si>
    <t>SpecimenDescription</t>
  </si>
  <si>
    <t>CollectionDateTime</t>
  </si>
  <si>
    <t>CollectionDateTimeUTCOffset</t>
  </si>
  <si>
    <t>AnalysisDateTime</t>
  </si>
  <si>
    <t>AnalysisDateTimeUTCOffset</t>
  </si>
  <si>
    <t>ValueAnnotation</t>
  </si>
  <si>
    <t>Either</t>
  </si>
  <si>
    <t>Value-By-Value</t>
  </si>
  <si>
    <t>ActionBy</t>
  </si>
  <si>
    <t>MeasurementResults</t>
  </si>
  <si>
    <t>ResultValues</t>
  </si>
  <si>
    <t>SamplingFeatures</t>
  </si>
  <si>
    <t>MeasurementResultsValueAnnotations</t>
  </si>
  <si>
    <t>Optional</t>
  </si>
  <si>
    <t>CV Name</t>
  </si>
  <si>
    <t>PeopleNames</t>
  </si>
  <si>
    <t>ProcessingLevelCodes</t>
  </si>
  <si>
    <t>FeatureCodes</t>
  </si>
  <si>
    <t>TaxClassifiers</t>
  </si>
  <si>
    <t>MethodCodes</t>
  </si>
  <si>
    <t>VariableCodes</t>
  </si>
  <si>
    <t>UnitName</t>
  </si>
  <si>
    <t>VariableCode</t>
  </si>
  <si>
    <t>DataType</t>
  </si>
  <si>
    <t>Col#</t>
  </si>
  <si>
    <t>ColumnLabel</t>
  </si>
  <si>
    <t>ColumnType</t>
  </si>
  <si>
    <t>Data Values Column Number</t>
  </si>
  <si>
    <t>IsFieldSpecimen</t>
  </si>
  <si>
    <t>AppliesToColumn</t>
  </si>
  <si>
    <t>Fields Absolutely REQUIRED for ALL Columns</t>
  </si>
  <si>
    <t>Fields Describing the SPECIMEN</t>
  </si>
  <si>
    <t>Fields Describing the RESULTS - May be entered here to apply the same value to all results in a column or selected for each value as a column type</t>
  </si>
  <si>
    <t>SpecimenCollector</t>
  </si>
  <si>
    <t>ResultAnalyst</t>
  </si>
  <si>
    <t>Spatial Offset Code</t>
  </si>
  <si>
    <t>Only include relationships between the parent sampling features to those listed in the data values table!  DO NOT include any sampling features listed in the data values table!</t>
  </si>
  <si>
    <t>Do NOT leave any empty rows between rows of data in the sampling features block.  Blank rows are acceptible in the sites and specimens block.</t>
  </si>
  <si>
    <t>Only include parent sampling features to those listed in the data values table!  DO NOT include any sampling features listed in the data values table!</t>
  </si>
  <si>
    <t># Specimens:</t>
  </si>
  <si>
    <t>These fields apply only to Specimens</t>
  </si>
  <si>
    <t>SpecimenID</t>
  </si>
  <si>
    <t>Specimen Type</t>
  </si>
  <si>
    <t>Specimen Medium</t>
  </si>
  <si>
    <t>Is Field Specimen?</t>
  </si>
  <si>
    <r>
      <rPr>
        <b/>
        <i/>
        <u/>
        <sz val="11"/>
        <color theme="1"/>
        <rFont val="Calibri"/>
        <family val="2"/>
        <scheme val="minor"/>
      </rPr>
      <t>Instructions:</t>
    </r>
    <r>
      <rPr>
        <sz val="11"/>
        <color theme="1"/>
        <rFont val="Calibri"/>
        <family val="2"/>
        <scheme val="minor"/>
      </rPr>
      <t xml:space="preserve">  In the yellow boxes, enter the information about spatial offsets between parent and child sampling features.  Darker yellow columns are mandatory; paler yellow is optional.</t>
    </r>
  </si>
  <si>
    <r>
      <t xml:space="preserve">NOTE:  Offset codes </t>
    </r>
    <r>
      <rPr>
        <b/>
        <sz val="11"/>
        <color theme="1"/>
        <rFont val="Calibri"/>
        <family val="2"/>
        <scheme val="minor"/>
      </rPr>
      <t>MUST</t>
    </r>
    <r>
      <rPr>
        <sz val="11"/>
        <color theme="1"/>
        <rFont val="Calibri"/>
        <family val="2"/>
        <scheme val="minor"/>
      </rPr>
      <t xml:space="preserve"> be unique within this template.  The offset codes are unique to this spreadsheet and do not have any place in ODM2's data structure.</t>
    </r>
  </si>
  <si>
    <t>To include more offsets, simply begin typing in the next row below the yellow block.  The table will automatically extend.</t>
  </si>
  <si>
    <t>Specimens:</t>
  </si>
  <si>
    <t>ParentSamplingFeatureCode</t>
  </si>
  <si>
    <t>SpatialOffsetCode</t>
  </si>
  <si>
    <t>Related Features</t>
  </si>
  <si>
    <t>OffsetCodes</t>
  </si>
  <si>
    <t>Error?</t>
  </si>
  <si>
    <t>VBV or Column</t>
  </si>
  <si>
    <t>ODM Table</t>
  </si>
  <si>
    <t>Data Columns Input Column</t>
  </si>
  <si>
    <t>Actions, MeasurementResults</t>
  </si>
  <si>
    <t>Num Required</t>
  </si>
  <si>
    <t>Num Given</t>
  </si>
  <si>
    <t>First Value</t>
  </si>
  <si>
    <t>Data Columns'!R15C8</t>
  </si>
  <si>
    <t>Related: 1st Feature</t>
  </si>
  <si>
    <t>Related: Relation Type</t>
  </si>
  <si>
    <t>Related: 2nd Feature</t>
  </si>
  <si>
    <t>Related: Offset</t>
  </si>
  <si>
    <t>NOTE:  Relationships between taxonomic classifiers may not be specified in this template.  To do so, please generate your YODA file in some other way.</t>
  </si>
  <si>
    <t>Taxonomic Classifiers</t>
  </si>
  <si>
    <t>ProcessingLevels:</t>
  </si>
  <si>
    <t>DVNum</t>
  </si>
  <si>
    <t>Data Value Label</t>
  </si>
  <si>
    <t>DV Num</t>
  </si>
  <si>
    <t>Concat</t>
  </si>
  <si>
    <t>Data Values Input Row</t>
  </si>
  <si>
    <t>First Value Address</t>
  </si>
  <si>
    <t>ResultParmNum</t>
  </si>
  <si>
    <t>Concat2</t>
  </si>
  <si>
    <t>ResultType</t>
  </si>
  <si>
    <t>ResultParmLabel</t>
  </si>
  <si>
    <t>ResultVariable</t>
  </si>
  <si>
    <t>ResultUnits</t>
  </si>
  <si>
    <t>ResultTax</t>
  </si>
  <si>
    <t>ResultProcessingLevel</t>
  </si>
  <si>
    <t>ResultD/T</t>
  </si>
  <si>
    <t>ResultUTC</t>
  </si>
  <si>
    <t>ResultMedium</t>
  </si>
  <si>
    <t>ResultValue</t>
  </si>
  <si>
    <t>Categorical Results</t>
  </si>
  <si>
    <t>Categorical Result Values</t>
  </si>
  <si>
    <t>ResultCensorCode</t>
  </si>
  <si>
    <t>ResultQualityCode</t>
  </si>
  <si>
    <t>ResultAggregationStatistic</t>
  </si>
  <si>
    <t>ResultAggregationInterval</t>
  </si>
  <si>
    <t>ResultAggregationUnits</t>
  </si>
  <si>
    <t>CollectionMethodCode</t>
  </si>
  <si>
    <t>AnalysisMethodCode</t>
  </si>
  <si>
    <t>CollectionAct: MethodID</t>
  </si>
  <si>
    <t>CollectionAct: D/T</t>
  </si>
  <si>
    <t>CollectionAct: UTCOffset</t>
  </si>
  <si>
    <t>AnalysisAct: MethodID</t>
  </si>
  <si>
    <t>AnalysisAct: D/T</t>
  </si>
  <si>
    <t>AnalysisAct: UTCOffset</t>
  </si>
  <si>
    <t>CollectionAct: FeatureObj</t>
  </si>
  <si>
    <t>AnalysisAct: FeatureObj</t>
  </si>
  <si>
    <t>SpecimenCode</t>
  </si>
  <si>
    <t>SpecimenType</t>
  </si>
  <si>
    <t>SpecimenMedium</t>
  </si>
  <si>
    <t>Actions (Collection)</t>
  </si>
  <si>
    <t>Actions (Analysis)</t>
  </si>
  <si>
    <t>Feature Actions (Collection)</t>
  </si>
  <si>
    <t>Feature Actions (Analysis)</t>
  </si>
  <si>
    <t>Action By (Collection)</t>
  </si>
  <si>
    <t>Action By (Analysis)</t>
  </si>
  <si>
    <t>AnalysisAct: AffiliationObj</t>
  </si>
  <si>
    <t>CollectionAct: AffiliationObj</t>
  </si>
  <si>
    <t>Data</t>
  </si>
  <si>
    <t>Annotations</t>
  </si>
  <si>
    <t>Meas. Result Annotations</t>
  </si>
  <si>
    <t>Categorical Results Annotations</t>
  </si>
  <si>
    <t>NOTE:  This template does not allow for inputs of details about Actions and Feature actions.  All actions will be coded as an "Specimen Collection" or "Specimen Analysis" of the given sampling feature.  To include more details, you must generate your YODA file in some other way.</t>
  </si>
  <si>
    <t>After clicking the button, a macro will run.  For large Datasets, the macro could take some time, please be patient!  Once it is finished, the previously blank "YODA File" worksheet should be filled in.</t>
  </si>
  <si>
    <t>Related citation and related Datasets cannot be included in this template.</t>
  </si>
  <si>
    <t>DatasetsResults:</t>
  </si>
  <si>
    <t>Instructions:  In the yellow boxes, enter the metadata for all of the PARENT sampling features (sites, specimens, etc) included in this Dataset.  Darker yellow columns are mandatory; paler yellow is optional.</t>
  </si>
  <si>
    <t>Datasets Results</t>
  </si>
  <si>
    <t>DatasetTypeCV</t>
  </si>
  <si>
    <t xml:space="preserve">  - {Version: "1.0.0", Profile: "Specimen", CreationTool: "Excel Template v1.0.0", DateCreated: "2015-04-20", DateUpdated: "2015-04-20"}</t>
  </si>
  <si>
    <t>SamplingFeatureExternalIdentifiers</t>
  </si>
  <si>
    <t>PLEASE FILL IN AT LEAST ONE ORGANIZATION WITH TYPE, CODE, AND NAME</t>
  </si>
  <si>
    <t>PLEASE FILL IN AT LEAST ONE PERSON WITH FIRST, MIDDLE AND LAST NAME</t>
  </si>
  <si>
    <t>PLEASE FILL IN A VALID LAT/LONG DATUM</t>
  </si>
  <si>
    <t>PLEASE FILL IN AT LEAST ONE METHOD</t>
  </si>
  <si>
    <t>PLEASE FILL IN AT LEAST ONE VARIABLE</t>
  </si>
  <si>
    <t>PLEASE FILL IN AT LEAST ONE PROCESSING LEVEL</t>
  </si>
  <si>
    <t xml:space="preserve">  - &amp;FeatureActionID00001 {SamplingFeatureObj:  *SamplingFeatureID00001, ActionObj:  *ActionID00001}</t>
  </si>
  <si>
    <t>PLEASE SELECT AT LEAST 1 COLUMN OF RESULT VALUES</t>
  </si>
  <si>
    <t>THERE MUST BE AT LEAST ONE COLUMN OF DATA VALUES</t>
  </si>
  <si>
    <t xml:space="preserve">  - &amp;DatasetID00001 {DatasetUUID:  NULL PLEASE FILL IN THE Dataset TYPE IN THE Dataset CITATION TAB PLEASE FILL IN THE Dataset CODE IN THE Dataset CITATION TAB PLEASE FILL IN THE Dataset TITLE IN THE Dataset CITATION TAB,  DatasetAbstract:  }</t>
  </si>
  <si>
    <t xml:space="preserve">  - &amp;SamplingFeatureID00001 {SamplingFeatureUUID:  NULL, SamplingFeatureTypeCV:  "Specimen", SamplingFeatureCode:  "PLEASE SPECIFY WHICH COLUMN HAS THE SPECIMEN CODES!!!", SamplingFeatureName:  NULL, SamplingFeatureDescription:  NULL, SamplingFeatureGeotypeCV:  Point, FeatureGeometry:  NULL, Elevation_m:  NULL, ElevationDatumCV:  NULL}</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</si>
</sst>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
      <b/>
      <i/>
      <sz val="11"/>
      <color theme="0"/>
      <name val="Calibri"/>
      <family val="2"/>
      <scheme val="minor"/>
    </font>
    <font>
      <b/>
      <sz val="10"/>
      <color theme="0" tint="-0.249977111117893"/>
      <name val="Calibri"/>
      <family val="2"/>
      <scheme val="minor"/>
    </font>
    <font>
      <b/>
      <sz val="11"/>
      <color theme="0"/>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82">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thin">
        <color theme="4" tint="0.39997558519241921"/>
      </top>
      <bottom style="thin">
        <color theme="4" tint="0.39997558519241921"/>
      </bottom>
      <diagonal/>
    </border>
    <border>
      <left/>
      <right style="thin">
        <color auto="1"/>
      </right>
      <top style="thin">
        <color auto="1"/>
      </top>
      <bottom style="medium">
        <color auto="1"/>
      </bottom>
      <diagonal/>
    </border>
    <border>
      <left/>
      <right style="medium">
        <color auto="1"/>
      </right>
      <top/>
      <bottom style="double">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theme="4" tint="0.39997558519241921"/>
      </bottom>
      <diagonal/>
    </border>
    <border>
      <left/>
      <right style="thin">
        <color auto="1"/>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style="thin">
        <color auto="1"/>
      </right>
      <top style="thin">
        <color theme="4" tint="0.39997558519241921"/>
      </top>
      <bottom/>
      <diagonal/>
    </border>
    <border>
      <left style="thin">
        <color auto="1"/>
      </left>
      <right style="thin">
        <color auto="1"/>
      </right>
      <top style="thin">
        <color theme="4" tint="0.39997558519241921"/>
      </top>
      <bottom/>
      <diagonal/>
    </border>
    <border>
      <left style="thin">
        <color auto="1"/>
      </left>
      <right/>
      <top style="thin">
        <color theme="4" tint="0.39997558519241921"/>
      </top>
      <bottom/>
      <diagonal/>
    </border>
    <border>
      <left/>
      <right/>
      <top/>
      <bottom style="thin">
        <color theme="4" tint="0.3999755851924192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40">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1" xfId="0" applyFont="1" applyBorder="1" applyProtection="1"/>
    <xf numFmtId="0" fontId="11" fillId="0" borderId="52"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6" xfId="0" applyFont="1" applyFill="1" applyBorder="1" applyProtection="1"/>
    <xf numFmtId="0" fontId="11" fillId="0" borderId="39" xfId="0" applyFont="1" applyFill="1" applyBorder="1" applyProtection="1"/>
    <xf numFmtId="0" fontId="11" fillId="0" borderId="37" xfId="0" applyFont="1" applyFill="1" applyBorder="1" applyProtection="1"/>
    <xf numFmtId="0" fontId="11" fillId="0" borderId="35" xfId="0" applyFont="1" applyFill="1" applyBorder="1" applyProtection="1"/>
    <xf numFmtId="0" fontId="11" fillId="0" borderId="38" xfId="0" applyFont="1" applyFill="1" applyBorder="1" applyProtection="1"/>
    <xf numFmtId="0" fontId="11" fillId="0" borderId="52"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3"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5"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6" xfId="0" applyFill="1" applyBorder="1" applyProtection="1">
      <protection locked="0"/>
    </xf>
    <xf numFmtId="0" fontId="0" fillId="2" borderId="47" xfId="0" applyFill="1" applyBorder="1" applyProtection="1">
      <protection locked="0"/>
    </xf>
    <xf numFmtId="0" fontId="0" fillId="2" borderId="48" xfId="0" applyFill="1" applyBorder="1" applyProtection="1">
      <protection locked="0"/>
    </xf>
    <xf numFmtId="0" fontId="0" fillId="3" borderId="49" xfId="0" applyFill="1" applyBorder="1" applyProtection="1">
      <protection locked="0"/>
    </xf>
    <xf numFmtId="0" fontId="1" fillId="0" borderId="44"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0" xfId="0" applyFill="1" applyBorder="1" applyProtection="1">
      <protection locked="0"/>
    </xf>
    <xf numFmtId="0" fontId="0" fillId="3" borderId="41" xfId="0" applyFill="1" applyBorder="1" applyProtection="1">
      <protection locked="0"/>
    </xf>
    <xf numFmtId="0" fontId="0" fillId="3" borderId="42"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50" xfId="0" applyFont="1" applyFill="1" applyBorder="1" applyProtection="1"/>
    <xf numFmtId="0" fontId="11" fillId="0" borderId="51"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3" xfId="0" applyFill="1" applyBorder="1"/>
    <xf numFmtId="0" fontId="0" fillId="3" borderId="54" xfId="0" applyFill="1" applyBorder="1"/>
    <xf numFmtId="0" fontId="0" fillId="3" borderId="1" xfId="0" applyFill="1" applyBorder="1"/>
    <xf numFmtId="0" fontId="0" fillId="3" borderId="2" xfId="0" applyFill="1" applyBorder="1"/>
    <xf numFmtId="0" fontId="0" fillId="3" borderId="3" xfId="0" applyFill="1" applyBorder="1"/>
    <xf numFmtId="0" fontId="0" fillId="2" borderId="55" xfId="0" applyFill="1" applyBorder="1"/>
    <xf numFmtId="0" fontId="0" fillId="3" borderId="55"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5" xfId="0" applyFill="1" applyBorder="1" applyProtection="1">
      <protection locked="0"/>
    </xf>
    <xf numFmtId="0" fontId="0" fillId="3" borderId="55"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4"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5" xfId="0" applyFont="1" applyFill="1" applyBorder="1" applyProtection="1"/>
    <xf numFmtId="0" fontId="11" fillId="0" borderId="62" xfId="0" applyFont="1" applyFill="1" applyBorder="1" applyProtection="1"/>
    <xf numFmtId="0" fontId="11" fillId="0" borderId="54"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3"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4"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15" fillId="0" borderId="0" xfId="0" applyFont="1"/>
    <xf numFmtId="0" fontId="1" fillId="0" borderId="34" xfId="0" applyFont="1" applyBorder="1" applyProtection="1"/>
    <xf numFmtId="0" fontId="0" fillId="3" borderId="55" xfId="0" applyFill="1" applyBorder="1" applyProtection="1">
      <protection locked="0"/>
    </xf>
    <xf numFmtId="22" fontId="0" fillId="0" borderId="0" xfId="0" applyNumberFormat="1"/>
    <xf numFmtId="0" fontId="12" fillId="0" borderId="25" xfId="0" applyFont="1" applyBorder="1"/>
    <xf numFmtId="0" fontId="12" fillId="0" borderId="26" xfId="0" applyFont="1" applyBorder="1"/>
    <xf numFmtId="0" fontId="0" fillId="3" borderId="1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0" fillId="0" borderId="0" xfId="0" applyBorder="1" applyAlignment="1" applyProtection="1">
      <protection locked="0"/>
    </xf>
    <xf numFmtId="0" fontId="11" fillId="0" borderId="0" xfId="0" applyFont="1" applyBorder="1" applyProtection="1"/>
    <xf numFmtId="22" fontId="0" fillId="0" borderId="0" xfId="0" applyNumberFormat="1" applyFont="1" applyFill="1" applyBorder="1"/>
    <xf numFmtId="0" fontId="0" fillId="2" borderId="29" xfId="0" applyFill="1" applyBorder="1" applyProtection="1">
      <protection locked="0"/>
    </xf>
    <xf numFmtId="0" fontId="0" fillId="2" borderId="70" xfId="0" applyFill="1" applyBorder="1" applyProtection="1">
      <protection locked="0"/>
    </xf>
    <xf numFmtId="0" fontId="1" fillId="0" borderId="71" xfId="0" applyFont="1" applyBorder="1" applyProtection="1"/>
    <xf numFmtId="0" fontId="0" fillId="2" borderId="72" xfId="0" applyFill="1" applyBorder="1" applyProtection="1">
      <protection locked="0"/>
    </xf>
    <xf numFmtId="0" fontId="0" fillId="2" borderId="73" xfId="0" applyFill="1" applyBorder="1" applyProtection="1">
      <protection locked="0"/>
    </xf>
    <xf numFmtId="0" fontId="0" fillId="2" borderId="74" xfId="0" applyFill="1" applyBorder="1" applyProtection="1">
      <protection locked="0"/>
    </xf>
    <xf numFmtId="0" fontId="0" fillId="2" borderId="30" xfId="0" applyFill="1" applyBorder="1" applyProtection="1">
      <protection locked="0"/>
    </xf>
    <xf numFmtId="0" fontId="0" fillId="2" borderId="68" xfId="0" applyFill="1" applyBorder="1" applyProtection="1">
      <protection locked="0"/>
    </xf>
    <xf numFmtId="0" fontId="0" fillId="0" borderId="0" xfId="0" applyNumberFormat="1"/>
    <xf numFmtId="0" fontId="0" fillId="3" borderId="53" xfId="0"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54" xfId="0" applyFill="1" applyBorder="1" applyProtection="1">
      <protection locked="0"/>
    </xf>
    <xf numFmtId="0" fontId="0" fillId="0" borderId="0" xfId="0" applyAlignment="1" applyProtection="1">
      <alignment wrapText="1"/>
    </xf>
    <xf numFmtId="0" fontId="16" fillId="0" borderId="11" xfId="0" applyFont="1" applyBorder="1" applyAlignment="1" applyProtection="1">
      <alignment horizontal="center"/>
    </xf>
    <xf numFmtId="0" fontId="16" fillId="0" borderId="0" xfId="0" applyFont="1" applyBorder="1" applyAlignment="1" applyProtection="1">
      <alignment horizontal="center"/>
    </xf>
    <xf numFmtId="0" fontId="16" fillId="0" borderId="63" xfId="0" applyFont="1" applyBorder="1" applyAlignment="1" applyProtection="1">
      <alignment horizontal="center"/>
    </xf>
    <xf numFmtId="0" fontId="16" fillId="0" borderId="0" xfId="0" applyFont="1" applyBorder="1" applyProtection="1"/>
    <xf numFmtId="0" fontId="18" fillId="0" borderId="0" xfId="0" applyFont="1" applyBorder="1" applyProtection="1"/>
    <xf numFmtId="0" fontId="16" fillId="0" borderId="0" xfId="0" applyFont="1" applyProtection="1"/>
    <xf numFmtId="0" fontId="1" fillId="0" borderId="0" xfId="0" applyFont="1" applyAlignment="1">
      <alignment wrapText="1"/>
    </xf>
    <xf numFmtId="0" fontId="0" fillId="3" borderId="29" xfId="0" applyFill="1" applyBorder="1" applyProtection="1">
      <protection locked="0"/>
    </xf>
    <xf numFmtId="0" fontId="0" fillId="3" borderId="70" xfId="0" applyFill="1" applyBorder="1" applyProtection="1">
      <protection locked="0"/>
    </xf>
    <xf numFmtId="0" fontId="19" fillId="4" borderId="81" xfId="0" applyFont="1" applyFill="1" applyBorder="1" applyAlignment="1">
      <alignment wrapText="1"/>
    </xf>
    <xf numFmtId="0" fontId="0" fillId="0" borderId="0" xfId="0" applyFill="1" applyProtection="1"/>
    <xf numFmtId="0" fontId="16" fillId="0" borderId="63" xfId="0" applyFont="1" applyFill="1" applyBorder="1" applyProtection="1"/>
    <xf numFmtId="0" fontId="11" fillId="0" borderId="25" xfId="0" applyFont="1" applyFill="1" applyBorder="1" applyProtection="1"/>
    <xf numFmtId="0" fontId="11" fillId="0" borderId="34" xfId="0" applyFont="1" applyFill="1" applyBorder="1" applyProtection="1"/>
    <xf numFmtId="0" fontId="11" fillId="0" borderId="30" xfId="0" applyFont="1" applyFill="1" applyBorder="1" applyProtection="1"/>
    <xf numFmtId="0" fontId="11" fillId="0" borderId="21" xfId="0" applyFont="1" applyFill="1" applyBorder="1" applyProtection="1"/>
    <xf numFmtId="0" fontId="11" fillId="0" borderId="68" xfId="0" applyFont="1" applyFill="1" applyBorder="1" applyProtection="1"/>
    <xf numFmtId="0" fontId="0" fillId="2" borderId="75" xfId="0" applyFont="1" applyFill="1" applyBorder="1" applyProtection="1">
      <protection locked="0"/>
    </xf>
    <xf numFmtId="0" fontId="0" fillId="2" borderId="69" xfId="0" applyFont="1" applyFill="1" applyBorder="1" applyProtection="1">
      <protection locked="0"/>
    </xf>
    <xf numFmtId="0" fontId="0" fillId="3" borderId="69" xfId="0" applyFont="1" applyFill="1" applyBorder="1" applyProtection="1">
      <protection locked="0"/>
    </xf>
    <xf numFmtId="0" fontId="0" fillId="3" borderId="77" xfId="0" applyFont="1" applyFill="1" applyBorder="1" applyProtection="1">
      <protection locked="0"/>
    </xf>
    <xf numFmtId="0" fontId="0" fillId="2" borderId="76" xfId="0" applyFont="1" applyFill="1" applyBorder="1" applyProtection="1">
      <protection locked="0"/>
    </xf>
    <xf numFmtId="0" fontId="0" fillId="2" borderId="78" xfId="0" applyFont="1" applyFill="1" applyBorder="1" applyProtection="1">
      <protection locked="0"/>
    </xf>
    <xf numFmtId="0" fontId="0" fillId="2" borderId="79" xfId="0" applyFont="1" applyFill="1" applyBorder="1" applyProtection="1">
      <protection locked="0"/>
    </xf>
    <xf numFmtId="0" fontId="0" fillId="3" borderId="79" xfId="0" applyFont="1" applyFill="1" applyBorder="1" applyProtection="1">
      <protection locked="0"/>
    </xf>
    <xf numFmtId="0" fontId="0" fillId="3" borderId="80" xfId="0" applyFont="1" applyFill="1" applyBorder="1" applyProtection="1">
      <protection locked="0"/>
    </xf>
    <xf numFmtId="0" fontId="0" fillId="0" borderId="24" xfId="0" applyBorder="1" applyProtection="1"/>
    <xf numFmtId="0" fontId="17" fillId="4" borderId="25" xfId="0" applyFont="1" applyFill="1" applyBorder="1" applyProtection="1"/>
    <xf numFmtId="0" fontId="17" fillId="4" borderId="26" xfId="0" applyFont="1" applyFill="1" applyBorder="1" applyProtection="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6" xfId="0" applyFont="1" applyBorder="1" applyAlignment="1">
      <alignment horizontal="center"/>
    </xf>
    <xf numFmtId="0" fontId="1" fillId="0" borderId="67" xfId="0" applyFont="1" applyBorder="1" applyAlignment="1">
      <alignment horizontal="center"/>
    </xf>
    <xf numFmtId="0" fontId="1" fillId="0" borderId="0"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64" xfId="0" applyFont="1" applyBorder="1" applyAlignment="1">
      <alignment horizontal="center"/>
    </xf>
    <xf numFmtId="0" fontId="1" fillId="0" borderId="65" xfId="0" applyFont="1" applyBorder="1" applyAlignment="1">
      <alignment horizontal="center"/>
    </xf>
    <xf numFmtId="0" fontId="1" fillId="0" borderId="62" xfId="0" applyFont="1" applyBorder="1" applyAlignment="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pplyProtection="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61" xfId="0" applyFont="1" applyBorder="1" applyAlignment="1">
      <alignment horizontal="center"/>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288">
    <dxf>
      <font>
        <b/>
        <i/>
        <color rgb="FFFF0000"/>
      </font>
      <fill>
        <patternFill>
          <bgColor rgb="FFFFC000"/>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ont>
        <b val="0"/>
        <i/>
        <strike/>
      </font>
    </dxf>
    <dxf>
      <font>
        <b/>
        <i/>
        <color rgb="FFFFC000"/>
      </font>
      <fill>
        <patternFill>
          <bgColor rgb="FFFF0000"/>
        </patternFill>
      </fill>
    </dxf>
    <dxf>
      <font>
        <b/>
        <i/>
        <color theme="1"/>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right style="medium">
          <color auto="1"/>
        </right>
        <top/>
        <bottom/>
        <vertical/>
        <horizontal/>
      </border>
      <protection locked="1"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condense val="0"/>
        <extend val="0"/>
        <outline val="0"/>
        <shadow val="0"/>
        <u val="none"/>
        <vertAlign val="baseline"/>
        <sz val="11"/>
        <color theme="0" tint="-0.499984740745262"/>
        <name val="Calibri"/>
        <scheme val="minor"/>
      </font>
      <fill>
        <patternFill patternType="none">
          <fgColor indexed="64"/>
          <bgColor indexed="65"/>
        </patternFill>
      </fill>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top/>
        <bottom/>
        <vertical/>
        <horizontal/>
      </border>
      <protection locked="1" hidden="0"/>
    </dxf>
    <dxf>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1"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right style="thin">
          <color auto="1"/>
        </right>
        <top style="thin">
          <color theme="4" tint="0.39997558519241921"/>
        </top>
        <bottom style="thin">
          <color theme="4" tint="0.39997558519241921"/>
        </bottom>
        <vertical/>
        <horizontal/>
      </border>
      <protection locked="0" hidden="0"/>
    </dxf>
    <dxf>
      <border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1"/>
        <color theme="1"/>
        <name val="Calibri"/>
        <scheme val="minor"/>
      </font>
      <fill>
        <patternFill patternType="solid">
          <fgColor indexed="64"/>
          <bgColor rgb="FFFFFF99"/>
        </patternFill>
      </fill>
      <protection locked="0" hidden="0"/>
    </dxf>
    <dxf>
      <border outline="0">
        <bottom style="double">
          <color auto="1"/>
        </bottom>
      </border>
    </dxf>
    <dxf>
      <font>
        <b/>
        <i/>
        <strike val="0"/>
        <condense val="0"/>
        <extend val="0"/>
        <outline val="0"/>
        <shadow val="0"/>
        <u val="none"/>
        <vertAlign val="baseline"/>
        <sz val="11"/>
        <color theme="0"/>
        <name val="Calibri"/>
        <scheme val="minor"/>
      </font>
      <fill>
        <patternFill patternType="solid">
          <fgColor theme="4"/>
          <bgColor theme="4"/>
        </patternFill>
      </fill>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66"/>
      <color rgb="FFFFFF99"/>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207479</xdr:colOff>
          <xdr:row>2</xdr:row>
          <xdr:rowOff>38100</xdr:rowOff>
        </xdr:from>
        <xdr:to>
          <xdr:col>9</xdr:col>
          <xdr:colOff>995570</xdr:colOff>
          <xdr:row>4</xdr:row>
          <xdr:rowOff>95250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87" dataDxfId="286" tableBorderDxfId="285">
  <tableColumns count="5">
    <tableColumn id="1" name="Organization Type [CV]" dataDxfId="284"/>
    <tableColumn id="2" name="Organization Code" dataDxfId="283"/>
    <tableColumn id="3" name="Organization Name" dataDxfId="282"/>
    <tableColumn id="4" name="Organization Description" dataDxfId="281"/>
    <tableColumn id="5" name="Organization Link" dataDxfId="280"/>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79" dataDxfId="277" headerRowBorderDxfId="278" tableBorderDxfId="276">
  <tableColumns count="9">
    <tableColumn id="1" name="First Name" dataDxfId="275"/>
    <tableColumn id="2" name="Middle Name" dataDxfId="274"/>
    <tableColumn id="3" name="Last Name" dataDxfId="273"/>
    <tableColumn id="5" name="Organization Name" dataDxfId="272"/>
    <tableColumn id="6" name="Primary Email" dataDxfId="271"/>
    <tableColumn id="7" name="Primary Address" dataDxfId="270"/>
    <tableColumn id="10" name="Person OrcID" dataDxfId="269"/>
    <tableColumn id="8" name="Full Name" dataDxfId="268">
      <calculatedColumnFormula>CONCATENATE(People[[#This Row],[First Name]],IF(People[[#This Row],[Middle Name]]="",""," "),People[[#This Row],[Middle Name]]," ",People[[#This Row],[Last Name]])</calculatedColumnFormula>
    </tableColumn>
    <tableColumn id="9" name="ExternalIDNum" dataDxfId="267">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66" dataDxfId="264" headerRowBorderDxfId="265" tableBorderDxfId="263">
  <tableColumns count="2">
    <tableColumn id="1" name="Author Number" dataDxfId="262"/>
    <tableColumn id="2" name="Author Name" dataDxfId="261"/>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2:J62" totalsRowShown="0" headerRowDxfId="260" dataDxfId="258" headerRowBorderDxfId="259" tableBorderDxfId="257">
  <tableColumns count="10">
    <tableColumn id="1" name="Sampling Feature UUID" dataDxfId="256"/>
    <tableColumn id="2" name="Sampling Feature Type" dataDxfId="255"/>
    <tableColumn id="3" name="Feature Geo Type" dataDxfId="254"/>
    <tableColumn id="4" name="Feature Code" dataDxfId="253"/>
    <tableColumn id="5" name="Feature Name" dataDxfId="252"/>
    <tableColumn id="6" name="Feature Description" dataDxfId="251"/>
    <tableColumn id="7" name="Feature Geometry" dataDxfId="250"/>
    <tableColumn id="8" name="Elevation_m" dataDxfId="249"/>
    <tableColumn id="9" name="Feature IGSN" dataDxfId="248"/>
    <tableColumn id="10" name="IGSNID" dataDxfId="247">
      <calculatedColumnFormula>IF(SamplingFeatures[[#This Row],[Feature IGSN]]&lt;&gt;"",MAX(J$12:J12)+1,"")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2:O62" totalsRowShown="0" headerRowDxfId="246" dataDxfId="244" headerRowBorderDxfId="245" tableBorderDxfId="243">
  <tableColumns count="4">
    <tableColumn id="4" name="SiteID" dataDxfId="242">
      <calculatedColumnFormula>IF(SamplingFeatures[[#This Row],[Sampling Feature Type]]="Site",MAX(L$12:L12)+1,"")</calculatedColumnFormula>
    </tableColumn>
    <tableColumn id="1" name="Site Type" dataDxfId="241"/>
    <tableColumn id="2" name="Latitude" dataDxfId="240"/>
    <tableColumn id="3" name="Longitude" dataDxfId="239"/>
  </tableColumns>
  <tableStyleInfo name="TableStyleMedium2" showFirstColumn="0" showLastColumn="0" showRowStripes="1" showColumnStripes="0"/>
</table>
</file>

<file path=xl/tables/table6.xml><?xml version="1.0" encoding="utf-8"?>
<table xmlns="http://schemas.openxmlformats.org/spreadsheetml/2006/main" id="15" name="Specimens" displayName="Specimens" ref="Q12:T62" totalsRowShown="0" headerRowDxfId="238" dataDxfId="236" headerRowBorderDxfId="237" tableBorderDxfId="235">
  <tableColumns count="4">
    <tableColumn id="4" name="SpecimenID" dataDxfId="234">
      <calculatedColumnFormula>IF(SamplingFeatures[[#This Row],[Sampling Feature Type]]="Specimen",MAX(Q$12:Q12)+1,"")</calculatedColumnFormula>
    </tableColumn>
    <tableColumn id="1" name="Specimen Type" dataDxfId="233"/>
    <tableColumn id="2" name="Specimen Medium" dataDxfId="232"/>
    <tableColumn id="3" name="Is Field Specimen?" dataDxfId="231"/>
  </tableColumns>
  <tableStyleInfo name="TableStyleMedium2" showFirstColumn="0" showLastColumn="0" showRowStripes="1" showColumnStripes="0"/>
</table>
</file>

<file path=xl/tables/table7.xml><?xml version="1.0" encoding="utf-8"?>
<table xmlns="http://schemas.openxmlformats.org/spreadsheetml/2006/main" id="18" name="SpatialOffsets" displayName="SpatialOffsets" ref="A7:H39" totalsRowShown="0" headerRowDxfId="230" dataDxfId="228" headerRowBorderDxfId="229" tableBorderDxfId="227">
  <tableColumns count="8">
    <tableColumn id="1" name="Spatial Offset Code" dataDxfId="226"/>
    <tableColumn id="2" name="Spatial Offset Type" dataDxfId="225"/>
    <tableColumn id="3" name="Offset 1 Value" dataDxfId="224"/>
    <tableColumn id="4" name="Offset 1 Unit" dataDxfId="223"/>
    <tableColumn id="5" name="Offset 2 Value" dataDxfId="222"/>
    <tableColumn id="6" name="Offset 2 Unit" dataDxfId="221"/>
    <tableColumn id="7" name="Offset 3 Value" dataDxfId="220"/>
    <tableColumn id="8" name="Offset 3 Unit" dataDxfId="219"/>
  </tableColumns>
  <tableStyleInfo name="TableStyleMedium2" showFirstColumn="0" showLastColumn="0" showRowStripes="1" showColumnStripes="0"/>
</table>
</file>

<file path=xl/tables/table8.xml><?xml version="1.0" encoding="utf-8"?>
<table xmlns="http://schemas.openxmlformats.org/spreadsheetml/2006/main" id="9" name="RelatedFeatures" displayName="RelatedFeatures" ref="A8:D40" totalsRowShown="0" headerRowDxfId="218" dataDxfId="216" headerRowBorderDxfId="217" tableBorderDxfId="215">
  <tableColumns count="4">
    <tableColumn id="1" name="First Sampling Feature Code" dataDxfId="214"/>
    <tableColumn id="2" name="Relationship Type" dataDxfId="213"/>
    <tableColumn id="3" name="Second Sampling Feature Code" dataDxfId="212"/>
    <tableColumn id="5" name="Spatial Offset Code" dataDxfId="211"/>
  </tableColumns>
  <tableStyleInfo name="TableStyleMedium2" showFirstColumn="0" showLastColumn="0" showRowStripes="1" showColumnStripes="0"/>
</table>
</file>

<file path=xl/tables/table9.xml><?xml version="1.0" encoding="utf-8"?>
<table xmlns="http://schemas.openxmlformats.org/spreadsheetml/2006/main" id="10" name="Methods" displayName="Methods" ref="A9:F30" totalsRowShown="0" headerRowDxfId="210" dataDxfId="208" headerRowBorderDxfId="209" tableBorderDxfId="207">
  <tableColumns count="6">
    <tableColumn id="1" name="Method Type" dataDxfId="206"/>
    <tableColumn id="2" name="Method Code" dataDxfId="205"/>
    <tableColumn id="3" name="Method Name" dataDxfId="204"/>
    <tableColumn id="4" name="Method Description" dataDxfId="203"/>
    <tableColumn id="5" name="Method Link" dataDxfId="202"/>
    <tableColumn id="6" name="Organization Name" dataDxfId="201"/>
  </tableColumns>
  <tableStyleInfo name="TableStyleMedium2" showFirstColumn="0" showLastColumn="0" showRowStripes="1" showColumnStripes="0"/>
</table>
</file>

<file path=xl/tables/table10.xml><?xml version="1.0" encoding="utf-8"?>
<table xmlns="http://schemas.openxmlformats.org/spreadsheetml/2006/main" id="11" name="Variables" displayName="Variables" ref="A8:F27" totalsRowShown="0" headerRowDxfId="200" dataDxfId="198" headerRowBorderDxfId="199" tableBorderDxfId="197">
  <tableColumns count="6">
    <tableColumn id="1" name="Variable Type" dataDxfId="196"/>
    <tableColumn id="2" name="Variable Code" dataDxfId="195"/>
    <tableColumn id="3" name="Variable Name" dataDxfId="194"/>
    <tableColumn id="4" name="Variable Definition" dataDxfId="193"/>
    <tableColumn id="5" name="Speciation" dataDxfId="192"/>
    <tableColumn id="6" name="No Data Value" dataDxfId="191"/>
  </tableColumns>
  <tableStyleInfo name="TableStyleMedium2" showFirstColumn="0" showLastColumn="0" showRowStripes="1" showColumnStripes="0"/>
</table>
</file>

<file path=xl/tables/table11.xml><?xml version="1.0" encoding="utf-8"?>
<table xmlns="http://schemas.openxmlformats.org/spreadsheetml/2006/main" id="13" name="ProcessingLevels" displayName="ProcessingLevels" ref="A10:C28" totalsRowShown="0" headerRowDxfId="190" dataDxfId="188" headerRowBorderDxfId="189" tableBorderDxfId="187">
  <tableColumns count="3">
    <tableColumn id="1" name="Processing Level Code" dataDxfId="186"/>
    <tableColumn id="2" name="Definition" dataDxfId="185"/>
    <tableColumn id="3" name="Explanation" dataDxfId="184"/>
  </tableColumns>
  <tableStyleInfo name="TableStyleMedium2" showFirstColumn="0" showLastColumn="0" showRowStripes="1" showColumnStripes="0"/>
</table>
</file>

<file path=xl/tables/table12.xml><?xml version="1.0" encoding="utf-8"?>
<table xmlns="http://schemas.openxmlformats.org/spreadsheetml/2006/main" id="14" name="TaxonomicClassifiers" displayName="TaxonomicClassifiers" ref="A7:D26" totalsRowShown="0" dataDxfId="182" headerRowBorderDxfId="183" tableBorderDxfId="181">
  <tableColumns count="4">
    <tableColumn id="1" name="Taxonomic Classifier Type" dataDxfId="180"/>
    <tableColumn id="2" name="Taxonomic Classifier Name" dataDxfId="179"/>
    <tableColumn id="3" name="Taxonomic Classifier Common Name" dataDxfId="178"/>
    <tableColumn id="4" name="Taxonomic Classifier Description" dataDxfId="177"/>
  </tableColumns>
  <tableStyleInfo name="TableStyleMedium2" showFirstColumn="0" showLastColumn="0" showRowStripes="1" showColumnStripes="0"/>
</table>
</file>

<file path=xl/tables/table13.xml><?xml version="1.0" encoding="utf-8"?>
<table xmlns="http://schemas.openxmlformats.org/spreadsheetml/2006/main" id="12" name="DataColumns" displayName="DataColumns" ref="A12:AC99" headerRowDxfId="176" dataDxfId="174" totalsRowDxfId="172" headerRowBorderDxfId="175" tableBorderDxfId="173">
  <tableColumns count="29">
    <tableColumn id="1" name="Col#" totalsRowLabel="Total" dataDxfId="171" totalsRowDxfId="170">
      <calculatedColumnFormula>IF(COUNTA(DataColumns[[#This Row],[ColumnLabel]:[QualityCodeCV]])&gt;0,IF(MAX(A$12:A12)=0,1,MAX(A$12:A12)+1),"")</calculatedColumnFormula>
    </tableColumn>
    <tableColumn id="2" name="ColumnLabel" dataDxfId="169" totalsRowDxfId="168"/>
    <tableColumn id="17" name="ColumnType" dataDxfId="167" totalsRowDxfId="166"/>
    <tableColumn id="22" name="AppliesToColumn" dataDxfId="165" totalsRowDxfId="164"/>
    <tableColumn id="18" name="ParentSamplingFeatureCode" dataDxfId="163" totalsRowDxfId="162"/>
    <tableColumn id="24" name="RelationshipTypeCV" dataDxfId="161" totalsRowDxfId="160"/>
    <tableColumn id="28" name="CollectionDateTimeUTCOffset" dataDxfId="159" totalsRowDxfId="158"/>
    <tableColumn id="3" name="SpecimenCollector" dataDxfId="157" totalsRowDxfId="156"/>
    <tableColumn id="27" name="CollectionMethodCode" dataDxfId="155" totalsRowDxfId="154"/>
    <tableColumn id="20" name="SpecimenMediumCV" dataDxfId="153" totalsRowDxfId="152"/>
    <tableColumn id="21" name="SpecimenTypeCV" dataDxfId="151" totalsRowDxfId="150"/>
    <tableColumn id="4" name="IsFieldSpecimen" dataDxfId="149" totalsRowDxfId="148"/>
    <tableColumn id="23" name="SpatialOffsetCode" dataDxfId="147" totalsRowDxfId="146"/>
    <tableColumn id="6" name="ResultTypeCV" dataDxfId="145" totalsRowDxfId="144"/>
    <tableColumn id="7" name="VariableCode" dataDxfId="143" totalsRowDxfId="142"/>
    <tableColumn id="8" name="UnitName" dataDxfId="141" totalsRowDxfId="140"/>
    <tableColumn id="11" name="SampledMediumCV" dataDxfId="139" totalsRowDxfId="138"/>
    <tableColumn id="10" name="ResultAnalyst" dataDxfId="137" totalsRowDxfId="136"/>
    <tableColumn id="29" name="AnalysisDateTimeUTCOffset" dataDxfId="135" totalsRowDxfId="134"/>
    <tableColumn id="5" name="AnalysisMethodCode" dataDxfId="133" totalsRowDxfId="132"/>
    <tableColumn id="9" name="ProcessingLevelCode" dataDxfId="131" totalsRowDxfId="130"/>
    <tableColumn id="15" name="CensorCodeCV" dataDxfId="129" totalsRowDxfId="128"/>
    <tableColumn id="16" name="QualityCodeCV" dataDxfId="127" totalsRowDxfId="126"/>
    <tableColumn id="19" name="TaxonomicClassifierName" dataDxfId="125" totalsRowDxfId="124"/>
    <tableColumn id="12" name="TimeAggregationInterval" dataDxfId="123" totalsRowDxfId="122"/>
    <tableColumn id="13" name="TimeAggregationIntervalUnitCode" dataDxfId="121" totalsRowDxfId="120"/>
    <tableColumn id="14" name="AggregationStatisticCV" totalsRowFunction="count" dataDxfId="119" totalsRowDxfId="118"/>
    <tableColumn id="25" name="DVNum" dataDxfId="117" totalsRowDxfId="116">
      <calculatedColumnFormula>IF(DataColumns[[#This Row],[ColumnType]]="DataValue",IF(MAX(AB$12:AB12)=0,1,MAX(AB$12:AB12)+1),"")</calculatedColumnFormula>
    </tableColumn>
    <tableColumn id="26" name="Concat" dataDxfId="115" totalsRowDxfId="114">
      <calculatedColumnFormula>IF(DataColumns[[#This Row],[ColumnType]]="DataValue",CONCATENATE(DataColumns[[#This Row],[ColumnType]],DataColumns[[#This Row],[ColumnLabel]]),CONCATENATE(DataColumns[[#This Row],[ColumnType]],DataColumns[[#This Row],[AppliesToColumn]]))</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7" name="SpecimenColumnFinder" displayName="SpecimenColumnFinder" ref="A1:L16" totalsRowShown="0" headerRowDxfId="113">
  <sortState ref="A2:L16">
    <sortCondition ref="B1"/>
  </sortState>
  <tableColumns count="12">
    <tableColumn id="1" name="DataType"/>
    <tableColumn id="2" name="ODM Table"/>
    <tableColumn id="5" name="CV Name"/>
    <tableColumn id="3" name="REQUIRED"/>
    <tableColumn id="4" name="VBV or Column"/>
    <tableColumn id="12" name="Data Columns Input Column" dataDxfId="112">
      <calculatedColumnFormula>MATCH(SpecimenColumnFinder[[#This Row],[DataType]],DataColumns[#Headers],0)</calculatedColumnFormula>
    </tableColumn>
    <tableColumn id="6" name="Data Values Column Number" dataDxfId="111">
      <calculatedColumnFormula>MATCH(SpecimenColumnFinder[[#This Row],[DataType]],DataColumns[ColumnType],0)</calculatedColumnFormula>
    </tableColumn>
    <tableColumn id="9" name="Num Required" dataDxfId="110">
      <calculatedColumnFormula>IF(SpecimenColumnFinder[[#This Row],[REQUIRED]]="Optional",0,
IF(SpecimenColumnFinder[[#This Row],[VBV or Column]]="Value-By-Value",NumSpecimens,
1))</calculatedColumnFormula>
    </tableColumn>
    <tableColumn id="7" name="Num Given" dataDxfId="109">
      <calculatedColumnFormula>IF(ISERROR(SpecimenColumnFinder[[#This Row],[Data Values Column Number]]),
IF(ISERROR(INDEX(DataColumns[],SpecimenColumnNumber,SpecimenColumnFinder[[#This Row],[Data Columns Input Column]])),
0,
1),
COUNTA(INDIRECT(CONCATENATE("'Data Values'!C",SpecimenColumnFinder[[#This Row],[Data Values Column Number]]),FALSE))-1)</calculatedColumnFormula>
    </tableColumn>
    <tableColumn id="10" name="Error?" dataDxfId="108">
      <calculatedColumnFormula>IF(SpecimenColumnFinder[[#This Row],[Num Given]]&lt;SpecimenColumnFinder[[#This Row],[Num Required]],
"MISSING",
"OK")</calculatedColumnFormula>
    </tableColumn>
    <tableColumn id="11" name="First Value Address" dataDxfId="107">
      <calculatedColumnFormula>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calculatedColumnFormula>
    </tableColumn>
    <tableColumn id="13" name="First Value" dataDxfId="106">
      <calculatedColumnFormula>INDIRECT(SpecimenColumnFinder[[#This Row],[First Value Address]],FALSE)</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9" name="ResultColumnFinder" displayName="ResultColumnFinder" ref="A1:Q19" totalsRowShown="0" headerRowDxfId="105" headerRowBorderDxfId="104" tableBorderDxfId="103" totalsRowBorderDxfId="102">
  <tableColumns count="17">
    <tableColumn id="1" name="DataType"/>
    <tableColumn id="2" name="ODM Table"/>
    <tableColumn id="3" name="CV Name"/>
    <tableColumn id="5" name="REQUIRED"/>
    <tableColumn id="6" name="VBV or Column"/>
    <tableColumn id="14" name="DV Num"/>
    <tableColumn id="15" name="Data Value Label" dataDxfId="101">
      <calculatedColumnFormula>INDEX(DataColumns[ColumnLabel],MATCH(ResultColumnFinder[[#This Row],[DV Num]],DataColumns[DVNum],0))</calculatedColumnFormula>
    </tableColumn>
    <tableColumn id="20" name="Concat" dataDxfId="100">
      <calculatedColumnFormula>CONCATENATE(ResultColumnFinder[[#This Row],[DataType]],ResultColumnFinder[[#This Row],[Data Value Label]])</calculatedColumnFormula>
    </tableColumn>
    <tableColumn id="22" name="Concat2" dataDxfId="99">
      <calculatedColumnFormula>CONCATENATE(ResultColumnFinder[[#This Row],[DataType]],ResultColumnFinder[[#This Row],[DV Num]])</calculatedColumnFormula>
    </tableColumn>
    <tableColumn id="7" name="Data Columns Input Column" dataDxfId="98">
      <calculatedColumnFormula>MATCH(ResultColumnFinder[[#This Row],[DataType]],DataColumns[#Headers],0)</calculatedColumnFormula>
    </tableColumn>
    <tableColumn id="21" name="Data Values Input Row" dataDxfId="97">
      <calculatedColumnFormula>MATCH(CONCATENATE("ResultValue",ResultColumnFinder[[#This Row],[Data Value Label]]),DataColumns[Concat],0)</calculatedColumnFormula>
    </tableColumn>
    <tableColumn id="8" name="Data Values Column Number">
      <calculatedColumnFormula>MATCH(ResultColumnFinder[[#This Row],[Concat]],DataColumns[Concat],0)</calculatedColumnFormula>
    </tableColumn>
    <tableColumn id="9" name="Num Required" dataDxfId="96">
      <calculatedColumnFormula>IF(ResultColumnFinder[[#This Row],[REQUIRED]]="Optional",0,
IF(ResultColumnFinder[[#This Row],[VBV or Column]]="Value-By-Value",NumSpecimens,
1))</calculatedColumnFormula>
    </tableColumn>
    <tableColumn id="10" name="Num Given" dataDxfId="95">
      <calculatedColumnFormula>IF(ISERROR(ResultColumnFinder[[#This Row],[Data Values Column Number]]),
IF(ISERROR(ResultColumnFinder[[#This Row],[Data Columns Input Column]]),
0,
IF(INDEX(DataColumns[],ResultColumnFinder[[#This Row],[Data Values Input Row]],ResultColumnFinder[[#This Row],[Data Columns Input Column]])="",
0,
1)),
1)</calculatedColumnFormula>
    </tableColumn>
    <tableColumn id="11" name="Error?" dataDxfId="94">
      <calculatedColumnFormula>IF(ResultColumnFinder[[#This Row],[Num Given]]&lt;ResultColumnFinder[[#This Row],[Num Required]],
"MISSING",
"OK")</calculatedColumnFormula>
    </tableColumn>
    <tableColumn id="12" name="First Value Address" dataDxfId="93">
      <calculatedColumnFormula>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calculatedColumnFormula>
    </tableColumn>
    <tableColumn id="13" name="First Value" dataDxfId="92">
      <calculatedColumnFormula>INDIRECT(ResultColumnFinder[[#This Row],[First Value Address]],FALSE)</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 name="ControlledVocabularies" displayName="ControlledVocabularies" ref="A1:W793" totalsRowShown="0" headerRowDxfId="91">
  <autoFilter ref="A1:W793"/>
  <tableColumns count="23">
    <tableColumn id="11" name="Boolean"/>
    <tableColumn id="9" name="NotApplicable"/>
    <tableColumn id="8" name="ColumnTypes"/>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 id="14" name="TaxonomicClassifierTypeCV"/>
  </tableColumns>
  <tableStyleInfo name="TableStyleMedium2" showFirstColumn="0" showLastColumn="0" showRowStripes="1" showColumnStripes="0"/>
</table>
</file>

<file path=xl/tables/table17.xml><?xml version="1.0" encoding="utf-8"?>
<table xmlns="http://schemas.openxmlformats.org/spreadsheetml/2006/main" id="8" name="SpatialReferences" displayName="SpatialReferences" ref="A4:D8" totalsRowShown="0" headerRowDxfId="90" headerRowBorderDxfId="89" tableBorderDxfId="88">
  <autoFilter ref="A4:D8"/>
  <tableColumns count="4">
    <tableColumn id="1" name="SRSCode" dataDxfId="87"/>
    <tableColumn id="2" name="SRSName" dataDxfId="86"/>
    <tableColumn id="3" name="SRSDescription" dataDxfId="85"/>
    <tableColumn id="4" name="SRSLink" dataDxfId="84"/>
  </tableColumns>
  <tableStyleInfo name="TableStyleMedium2" showFirstColumn="0" showLastColumn="0" showRowStripes="1" showColumnStripes="0"/>
</table>
</file>

<file path=xl/tables/table18.xml><?xml version="1.0" encoding="utf-8"?>
<table xmlns="http://schemas.openxmlformats.org/spreadsheetml/2006/main" id="16" name="ExternalIdentifiers" displayName="ExternalIdentifiers" ref="A17:E20" totalsRowShown="0" headerRowDxfId="83" headerRowBorderDxfId="82" tableBorderDxfId="81">
  <autoFilter ref="A17:E20"/>
  <tableColumns count="5">
    <tableColumn id="1" name="External Identifier System Name" dataDxfId="80"/>
    <tableColumn id="2" name="Identifier System Organization Name" dataDxfId="79"/>
    <tableColumn id="3" name="External Identifier System Descrption" dataDxfId="78"/>
    <tableColumn id="4" name="External Identifier System URL" dataDxfId="77" dataCellStyle="Hyperlink"/>
    <tableColumn id="5" name="URI Structure" dataDxfId="76"/>
  </tableColumns>
  <tableStyleInfo name="TableStyleMedium2" showFirstColumn="0" showLastColumn="0" showRowStripes="1" showColumnStripes="0"/>
</table>
</file>

<file path=xl/tables/table19.xml><?xml version="1.0" encoding="utf-8"?>
<table xmlns="http://schemas.openxmlformats.org/spreadsheetml/2006/main" id="17" name="ExternalIDOrgs" displayName="ExternalIDOrgs" ref="A4:E7" totalsRowShown="0" headerRowDxfId="75" headerRowBorderDxfId="74" tableBorderDxfId="73">
  <autoFilter ref="A4:E7"/>
  <tableColumns count="5">
    <tableColumn id="1" name="Organization Type [CV]" dataDxfId="72"/>
    <tableColumn id="2" name="Organization Code" dataDxfId="71"/>
    <tableColumn id="3" name="Organization Name" dataDxfId="70"/>
    <tableColumn id="4" name="Organization Description" dataDxfId="69"/>
    <tableColumn id="5" name="Organization Link" dataDxfId="68"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7.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0.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7.xml"/><Relationship Id="rId5" Type="http://schemas.openxmlformats.org/officeDocument/2006/relationships/table" Target="../tables/table13.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9.xml"/><Relationship Id="rId5" Type="http://schemas.openxmlformats.org/officeDocument/2006/relationships/hyperlink" Target="http://www.doi.org/index.html" TargetMode="External"/><Relationship Id="rId10" Type="http://schemas.openxmlformats.org/officeDocument/2006/relationships/table" Target="../tables/table18.xml"/><Relationship Id="rId4" Type="http://schemas.openxmlformats.org/officeDocument/2006/relationships/hyperlink" Target="http://orcid.org/" TargetMode="External"/><Relationship Id="rId9"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9"/>
  <sheetViews>
    <sheetView tabSelected="1" workbookViewId="0"/>
  </sheetViews>
  <sheetFormatPr defaultRowHeight="15" x14ac:dyDescent="0.25"/>
  <sheetData>
    <row r="1" spans="1:1" s="5" customFormat="1" ht="18.75" x14ac:dyDescent="0.3">
      <c r="A1" s="6" t="s">
        <v>1299</v>
      </c>
    </row>
    <row r="2" spans="1:1" s="5" customFormat="1" ht="18.75" x14ac:dyDescent="0.3">
      <c r="A2" s="153" t="s">
        <v>1297</v>
      </c>
    </row>
    <row r="3" spans="1:1" s="5" customFormat="1" ht="18.75" x14ac:dyDescent="0.3">
      <c r="A3" s="6" t="s">
        <v>1298</v>
      </c>
    </row>
    <row r="4" spans="1:1" s="5" customFormat="1" ht="18.75" x14ac:dyDescent="0.3">
      <c r="A4" s="153" t="s">
        <v>26</v>
      </c>
    </row>
    <row r="5" spans="1:1" s="5" customFormat="1" ht="18.75" x14ac:dyDescent="0.3">
      <c r="A5" s="6" t="s">
        <v>1296</v>
      </c>
    </row>
    <row r="6" spans="1:1" s="5" customFormat="1" ht="18.75" x14ac:dyDescent="0.3">
      <c r="A6" s="153" t="s">
        <v>1297</v>
      </c>
    </row>
    <row r="7" spans="1:1" s="5" customFormat="1" x14ac:dyDescent="0.25"/>
    <row r="8" spans="1:1" ht="18.75" x14ac:dyDescent="0.3">
      <c r="A8" s="6" t="s">
        <v>1189</v>
      </c>
    </row>
    <row r="9" spans="1:1" s="5" customFormat="1" x14ac:dyDescent="0.25">
      <c r="A9" s="5" t="s">
        <v>1207</v>
      </c>
    </row>
    <row r="10" spans="1:1" s="5" customFormat="1" x14ac:dyDescent="0.25"/>
    <row r="11" spans="1:1" ht="18.75" x14ac:dyDescent="0.3">
      <c r="A11" s="6" t="s">
        <v>1188</v>
      </c>
    </row>
    <row r="12" spans="1:1" s="5" customFormat="1" x14ac:dyDescent="0.25">
      <c r="A12" s="5" t="s">
        <v>1231</v>
      </c>
    </row>
    <row r="13" spans="1:1" s="5" customFormat="1" x14ac:dyDescent="0.25">
      <c r="A13" s="5" t="s">
        <v>1293</v>
      </c>
    </row>
    <row r="14" spans="1:1" s="5" customFormat="1" x14ac:dyDescent="0.25">
      <c r="A14" s="5" t="s">
        <v>1294</v>
      </c>
    </row>
    <row r="15" spans="1:1" s="5" customFormat="1" x14ac:dyDescent="0.25">
      <c r="A15" s="5" t="s">
        <v>1295</v>
      </c>
    </row>
    <row r="16" spans="1:1" s="5" customFormat="1" x14ac:dyDescent="0.25">
      <c r="A16" s="5" t="s">
        <v>1238</v>
      </c>
    </row>
    <row r="17" spans="1:1" s="5" customFormat="1" x14ac:dyDescent="0.25">
      <c r="A17" s="5" t="s">
        <v>1220</v>
      </c>
    </row>
    <row r="18" spans="1:1" s="5" customFormat="1" x14ac:dyDescent="0.25">
      <c r="A18" s="5" t="s">
        <v>1211</v>
      </c>
    </row>
    <row r="19" spans="1:1" s="5" customFormat="1" x14ac:dyDescent="0.25">
      <c r="A19" s="5" t="s">
        <v>1210</v>
      </c>
    </row>
    <row r="20" spans="1:1" s="5" customFormat="1" x14ac:dyDescent="0.25">
      <c r="A20" s="5" t="s">
        <v>1212</v>
      </c>
    </row>
    <row r="21" spans="1:1" s="5" customFormat="1" x14ac:dyDescent="0.25">
      <c r="A21" s="5" t="s">
        <v>1230</v>
      </c>
    </row>
    <row r="22" spans="1:1" s="5" customFormat="1" x14ac:dyDescent="0.25">
      <c r="A22" s="5" t="s">
        <v>1228</v>
      </c>
    </row>
    <row r="23" spans="1:1" s="5" customFormat="1" x14ac:dyDescent="0.25">
      <c r="A23" s="5" t="s">
        <v>1213</v>
      </c>
    </row>
    <row r="24" spans="1:1" s="5" customFormat="1" x14ac:dyDescent="0.25">
      <c r="A24" s="5" t="s">
        <v>1214</v>
      </c>
    </row>
    <row r="25" spans="1:1" s="5" customFormat="1" x14ac:dyDescent="0.25">
      <c r="A25" s="5" t="s">
        <v>1227</v>
      </c>
    </row>
    <row r="26" spans="1:1" s="5" customFormat="1" x14ac:dyDescent="0.25">
      <c r="A26" s="5" t="s">
        <v>1229</v>
      </c>
    </row>
    <row r="27" spans="1:1" s="5" customFormat="1" x14ac:dyDescent="0.25">
      <c r="A27" s="5" t="s">
        <v>1234</v>
      </c>
    </row>
    <row r="28" spans="1:1" s="5" customFormat="1" x14ac:dyDescent="0.25">
      <c r="A28" s="5" t="s">
        <v>1479</v>
      </c>
    </row>
    <row r="29" spans="1:1" s="5" customFormat="1" x14ac:dyDescent="0.25">
      <c r="A29" s="5" t="s">
        <v>1233</v>
      </c>
    </row>
    <row r="30" spans="1:1" s="5" customFormat="1" x14ac:dyDescent="0.25">
      <c r="A30" s="5" t="s">
        <v>1236</v>
      </c>
    </row>
    <row r="31" spans="1:1" s="5" customFormat="1" x14ac:dyDescent="0.25">
      <c r="A31" s="5" t="s">
        <v>1237</v>
      </c>
    </row>
    <row r="32" spans="1:1" s="5" customFormat="1" x14ac:dyDescent="0.25">
      <c r="A32" s="5" t="s">
        <v>1239</v>
      </c>
    </row>
    <row r="33" spans="1:1" s="5" customFormat="1" x14ac:dyDescent="0.25">
      <c r="A33" s="5" t="s">
        <v>1240</v>
      </c>
    </row>
    <row r="34" spans="1:1" x14ac:dyDescent="0.25">
      <c r="A34" s="5" t="s">
        <v>1241</v>
      </c>
    </row>
    <row r="35" spans="1:1" s="5" customFormat="1" x14ac:dyDescent="0.25"/>
    <row r="36" spans="1:1" ht="18.75" x14ac:dyDescent="0.3">
      <c r="A36" s="6" t="s">
        <v>1190</v>
      </c>
    </row>
    <row r="37" spans="1:1" x14ac:dyDescent="0.25">
      <c r="A37" s="5" t="s">
        <v>1232</v>
      </c>
    </row>
    <row r="38" spans="1:1" s="5" customFormat="1" x14ac:dyDescent="0.25">
      <c r="A38" s="5" t="s">
        <v>1216</v>
      </c>
    </row>
    <row r="39" spans="1:1" s="5" customFormat="1" x14ac:dyDescent="0.25">
      <c r="A39" s="5" t="s">
        <v>1217</v>
      </c>
    </row>
    <row r="40" spans="1:1" x14ac:dyDescent="0.25">
      <c r="A40" s="5" t="s">
        <v>1218</v>
      </c>
    </row>
    <row r="41" spans="1:1" x14ac:dyDescent="0.25">
      <c r="A41" s="5" t="s">
        <v>1480</v>
      </c>
    </row>
    <row r="42" spans="1:1" x14ac:dyDescent="0.25">
      <c r="A42" s="5" t="s">
        <v>1215</v>
      </c>
    </row>
    <row r="43" spans="1:1" x14ac:dyDescent="0.25">
      <c r="A43" s="5" t="s">
        <v>1219</v>
      </c>
    </row>
    <row r="44" spans="1:1" x14ac:dyDescent="0.25">
      <c r="A44" s="5" t="s">
        <v>1221</v>
      </c>
    </row>
    <row r="45" spans="1:1" x14ac:dyDescent="0.25">
      <c r="A45" s="5" t="s">
        <v>1222</v>
      </c>
    </row>
    <row r="46" spans="1:1" x14ac:dyDescent="0.25">
      <c r="A46" s="5" t="s">
        <v>1223</v>
      </c>
    </row>
    <row r="47" spans="1:1" x14ac:dyDescent="0.25">
      <c r="A47" s="5" t="s">
        <v>1224</v>
      </c>
    </row>
    <row r="48" spans="1:1" x14ac:dyDescent="0.25">
      <c r="A48" s="5" t="s">
        <v>1225</v>
      </c>
    </row>
    <row r="49" spans="1:1" x14ac:dyDescent="0.25">
      <c r="A49" s="5" t="s">
        <v>1226</v>
      </c>
    </row>
  </sheetData>
  <sheetProtection password="CA31" sheet="1" objects="1" scenarios="1"/>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E15" sqref="E15"/>
    </sheetView>
  </sheetViews>
  <sheetFormatPr defaultColWidth="8.85546875" defaultRowHeight="15" x14ac:dyDescent="0.25"/>
  <cols>
    <col min="1" max="1" width="24" style="7" bestFit="1" customWidth="1"/>
    <col min="2" max="2" width="20" style="7" customWidth="1"/>
    <col min="3" max="3" width="28.140625" style="7" bestFit="1" customWidth="1"/>
    <col min="4" max="4" width="51.85546875" style="7" customWidth="1"/>
    <col min="5" max="5" width="39" style="7" bestFit="1" customWidth="1"/>
    <col min="6" max="6" width="45.7109375" style="7" bestFit="1" customWidth="1"/>
    <col min="7" max="7" width="19.42578125" style="7" bestFit="1" customWidth="1"/>
    <col min="8" max="9" width="3.7109375" style="47" customWidth="1"/>
    <col min="10" max="16384" width="8.85546875" style="7"/>
  </cols>
  <sheetData>
    <row r="1" spans="1:9" x14ac:dyDescent="0.25">
      <c r="A1" s="27" t="s">
        <v>1334</v>
      </c>
    </row>
    <row r="2" spans="1:9" x14ac:dyDescent="0.25">
      <c r="A2" s="7" t="s">
        <v>1335</v>
      </c>
    </row>
    <row r="3" spans="1:9" ht="15.75" thickBot="1" x14ac:dyDescent="0.3">
      <c r="A3" s="27" t="s">
        <v>1336</v>
      </c>
    </row>
    <row r="4" spans="1:9" ht="15.75" thickBot="1" x14ac:dyDescent="0.3">
      <c r="A4" s="27" t="s">
        <v>1337</v>
      </c>
      <c r="G4" s="28" t="s">
        <v>1199</v>
      </c>
      <c r="H4" s="61">
        <f>COUNTA(OrganizationNames)</f>
        <v>0</v>
      </c>
    </row>
    <row r="5" spans="1:9" ht="15.75" thickBot="1" x14ac:dyDescent="0.3">
      <c r="A5" s="27" t="s">
        <v>279</v>
      </c>
      <c r="G5" s="28" t="s">
        <v>1200</v>
      </c>
      <c r="H5" s="61">
        <f>COUNTA(People[Last Name])</f>
        <v>0</v>
      </c>
    </row>
    <row r="6" spans="1:9" ht="15.75" thickBot="1" x14ac:dyDescent="0.3">
      <c r="G6" s="28" t="s">
        <v>1289</v>
      </c>
      <c r="H6" s="61">
        <f>MAX(People[ExternalIDNum])</f>
        <v>0</v>
      </c>
    </row>
    <row r="7" spans="1:9" ht="15.75" thickBot="1" x14ac:dyDescent="0.3">
      <c r="A7" s="208" t="s">
        <v>142</v>
      </c>
      <c r="B7" s="209"/>
      <c r="C7" s="209"/>
      <c r="D7" s="209"/>
      <c r="E7" s="210"/>
    </row>
    <row r="8" spans="1:9" ht="15.75" thickBot="1" x14ac:dyDescent="0.3">
      <c r="A8" s="140" t="s">
        <v>143</v>
      </c>
      <c r="B8" s="141" t="s">
        <v>144</v>
      </c>
      <c r="C8" s="141" t="s">
        <v>19</v>
      </c>
      <c r="D8" s="142" t="s">
        <v>145</v>
      </c>
      <c r="E8" s="143" t="s">
        <v>146</v>
      </c>
      <c r="I8" s="7"/>
    </row>
    <row r="9" spans="1:9" ht="15.75" thickTop="1" x14ac:dyDescent="0.25">
      <c r="A9" s="144"/>
      <c r="B9" s="8"/>
      <c r="C9" s="8"/>
      <c r="D9" s="9"/>
      <c r="E9" s="148"/>
      <c r="I9" s="7"/>
    </row>
    <row r="10" spans="1:9" x14ac:dyDescent="0.25">
      <c r="A10" s="116"/>
      <c r="B10" s="11"/>
      <c r="C10" s="11"/>
      <c r="D10" s="12"/>
      <c r="E10" s="117"/>
      <c r="G10" s="47"/>
      <c r="I10" s="7"/>
    </row>
    <row r="11" spans="1:9" x14ac:dyDescent="0.25">
      <c r="A11" s="116"/>
      <c r="B11" s="11"/>
      <c r="C11" s="11"/>
      <c r="D11" s="12"/>
      <c r="E11" s="117"/>
      <c r="G11" s="47"/>
      <c r="I11" s="7"/>
    </row>
    <row r="12" spans="1:9" x14ac:dyDescent="0.25">
      <c r="A12" s="116"/>
      <c r="B12" s="11"/>
      <c r="C12" s="149"/>
      <c r="D12" s="12"/>
      <c r="E12" s="117"/>
      <c r="G12" s="47"/>
      <c r="I12" s="7"/>
    </row>
    <row r="13" spans="1:9" x14ac:dyDescent="0.25">
      <c r="A13" s="116"/>
      <c r="B13" s="11"/>
      <c r="C13" s="11"/>
      <c r="D13" s="12"/>
      <c r="E13" s="145"/>
      <c r="G13" s="47"/>
      <c r="I13" s="7"/>
    </row>
    <row r="14" spans="1:9" x14ac:dyDescent="0.25">
      <c r="A14" s="116"/>
      <c r="B14" s="11"/>
      <c r="C14" s="11"/>
      <c r="D14" s="12"/>
      <c r="E14" s="145"/>
      <c r="G14" s="47"/>
      <c r="I14" s="7"/>
    </row>
    <row r="15" spans="1:9" x14ac:dyDescent="0.25">
      <c r="A15" s="116"/>
      <c r="B15" s="11"/>
      <c r="C15" s="11"/>
      <c r="D15" s="12"/>
      <c r="E15" s="145"/>
      <c r="G15" s="47"/>
      <c r="I15" s="7"/>
    </row>
    <row r="16" spans="1:9" x14ac:dyDescent="0.25">
      <c r="A16" s="116"/>
      <c r="B16" s="11"/>
      <c r="C16" s="11"/>
      <c r="D16" s="12"/>
      <c r="E16" s="145"/>
      <c r="G16" s="47"/>
      <c r="I16" s="7"/>
    </row>
    <row r="17" spans="1:9" x14ac:dyDescent="0.25">
      <c r="A17" s="116"/>
      <c r="B17" s="11"/>
      <c r="C17" s="11"/>
      <c r="D17" s="12"/>
      <c r="E17" s="145"/>
      <c r="G17" s="47"/>
      <c r="I17" s="7"/>
    </row>
    <row r="18" spans="1:9" ht="15.75" thickBot="1" x14ac:dyDescent="0.3">
      <c r="A18" s="118"/>
      <c r="B18" s="119"/>
      <c r="C18" s="119"/>
      <c r="D18" s="120"/>
      <c r="E18" s="146"/>
      <c r="G18" s="47"/>
      <c r="I18" s="7"/>
    </row>
    <row r="19" spans="1:9" x14ac:dyDescent="0.25">
      <c r="H19" s="7"/>
      <c r="I19" s="7"/>
    </row>
    <row r="20" spans="1:9" x14ac:dyDescent="0.25">
      <c r="H20" s="7"/>
      <c r="I20" s="7"/>
    </row>
    <row r="21" spans="1:9" ht="15.75" thickBot="1" x14ac:dyDescent="0.3">
      <c r="H21" s="7"/>
      <c r="I21" s="7"/>
    </row>
    <row r="22" spans="1:9" x14ac:dyDescent="0.25">
      <c r="A22" s="211" t="s">
        <v>141</v>
      </c>
      <c r="B22" s="212"/>
      <c r="C22" s="212"/>
      <c r="D22" s="212"/>
      <c r="E22" s="212"/>
      <c r="F22" s="212"/>
      <c r="G22" s="212"/>
      <c r="H22" s="212"/>
      <c r="I22" s="213"/>
    </row>
    <row r="23" spans="1:9" ht="15.75" thickBot="1" x14ac:dyDescent="0.3">
      <c r="A23" s="70" t="s">
        <v>15</v>
      </c>
      <c r="B23" s="72" t="s">
        <v>16</v>
      </c>
      <c r="C23" s="65" t="s">
        <v>17</v>
      </c>
      <c r="D23" s="65" t="s">
        <v>19</v>
      </c>
      <c r="E23" s="65" t="s">
        <v>18</v>
      </c>
      <c r="F23" s="68" t="s">
        <v>176</v>
      </c>
      <c r="G23" s="73" t="s">
        <v>1266</v>
      </c>
      <c r="H23" s="30" t="s">
        <v>277</v>
      </c>
      <c r="I23" s="30" t="s">
        <v>1287</v>
      </c>
    </row>
    <row r="24" spans="1:9" ht="15.75" thickTop="1" x14ac:dyDescent="0.25">
      <c r="A24" s="18"/>
      <c r="B24" s="20"/>
      <c r="C24" s="19"/>
      <c r="D24" s="19"/>
      <c r="E24" s="21"/>
      <c r="F24" s="147"/>
      <c r="G24" s="20"/>
      <c r="H24" s="134" t="str">
        <f>CONCATENATE(People[[#This Row],[First Name]],IF(People[[#This Row],[Middle Name]]="",""," "),People[[#This Row],[Middle Name]]," ",People[[#This Row],[Last Name]])</f>
        <v xml:space="preserve"> </v>
      </c>
      <c r="I24" s="137" t="str">
        <f>IF(People[[#This Row],[Person OrcID]]&lt;&gt;"",MAX(I$23:I23)+1,"")</f>
        <v/>
      </c>
    </row>
    <row r="25" spans="1:9" x14ac:dyDescent="0.25">
      <c r="A25" s="10"/>
      <c r="B25" s="22"/>
      <c r="C25" s="11"/>
      <c r="D25" s="19"/>
      <c r="E25" s="23"/>
      <c r="F25" s="147"/>
      <c r="G25" s="22"/>
      <c r="H25" s="133" t="str">
        <f>CONCATENATE(People[[#This Row],[First Name]],IF(People[[#This Row],[Middle Name]]="",""," "),People[[#This Row],[Middle Name]]," ",People[[#This Row],[Last Name]])</f>
        <v xml:space="preserve"> </v>
      </c>
      <c r="I25" s="138" t="str">
        <f>IF(People[[#This Row],[Person OrcID]]&lt;&gt;"",MAX(I$23:I24)+1,"")</f>
        <v/>
      </c>
    </row>
    <row r="26" spans="1:9" x14ac:dyDescent="0.25">
      <c r="A26" s="10"/>
      <c r="B26" s="22"/>
      <c r="C26" s="11"/>
      <c r="D26" s="19"/>
      <c r="E26" s="23"/>
      <c r="F26" s="147"/>
      <c r="G26" s="22"/>
      <c r="H26" s="133" t="str">
        <f>CONCATENATE(People[[#This Row],[First Name]],IF(People[[#This Row],[Middle Name]]="",""," "),People[[#This Row],[Middle Name]]," ",People[[#This Row],[Last Name]])</f>
        <v xml:space="preserve"> </v>
      </c>
      <c r="I26" s="138" t="str">
        <f>IF(People[[#This Row],[Person OrcID]]&lt;&gt;"",MAX(I$23:I25)+1,"")</f>
        <v/>
      </c>
    </row>
    <row r="27" spans="1:9" x14ac:dyDescent="0.25">
      <c r="A27" s="10"/>
      <c r="B27" s="22"/>
      <c r="C27" s="11"/>
      <c r="D27" s="11"/>
      <c r="E27" s="23"/>
      <c r="F27" s="132"/>
      <c r="G27" s="22"/>
      <c r="H27" s="133" t="str">
        <f>CONCATENATE(People[[#This Row],[First Name]],IF(People[[#This Row],[Middle Name]]="",""," "),People[[#This Row],[Middle Name]]," ",People[[#This Row],[Last Name]])</f>
        <v xml:space="preserve"> </v>
      </c>
      <c r="I27" s="138" t="str">
        <f>IF(People[[#This Row],[Person OrcID]]&lt;&gt;"",MAX(I$23:I26)+1,"")</f>
        <v/>
      </c>
    </row>
    <row r="28" spans="1:9" x14ac:dyDescent="0.25">
      <c r="A28" s="10"/>
      <c r="B28" s="22"/>
      <c r="C28" s="11"/>
      <c r="D28" s="11"/>
      <c r="E28" s="23"/>
      <c r="F28" s="147"/>
      <c r="G28" s="22"/>
      <c r="H28" s="133" t="str">
        <f>CONCATENATE(People[[#This Row],[First Name]],IF(People[[#This Row],[Middle Name]]="",""," "),People[[#This Row],[Middle Name]]," ",People[[#This Row],[Last Name]])</f>
        <v xml:space="preserve"> </v>
      </c>
      <c r="I28" s="138" t="str">
        <f>IF(People[[#This Row],[Person OrcID]]&lt;&gt;"",MAX(I$23:I27)+1,"")</f>
        <v/>
      </c>
    </row>
    <row r="29" spans="1:9" x14ac:dyDescent="0.25">
      <c r="A29" s="10"/>
      <c r="B29" s="22"/>
      <c r="C29" s="11"/>
      <c r="D29" s="11"/>
      <c r="E29" s="23"/>
      <c r="F29" s="147"/>
      <c r="G29" s="22"/>
      <c r="H29" s="133" t="str">
        <f>CONCATENATE(People[[#This Row],[First Name]],IF(People[[#This Row],[Middle Name]]="",""," "),People[[#This Row],[Middle Name]]," ",People[[#This Row],[Last Name]])</f>
        <v xml:space="preserve"> </v>
      </c>
      <c r="I29" s="138" t="str">
        <f>IF(People[[#This Row],[Person OrcID]]&lt;&gt;"",MAX(I$23:I28)+1,"")</f>
        <v/>
      </c>
    </row>
    <row r="30" spans="1:9" x14ac:dyDescent="0.25">
      <c r="A30" s="10"/>
      <c r="B30" s="22"/>
      <c r="C30" s="11"/>
      <c r="D30" s="11"/>
      <c r="E30" s="23"/>
      <c r="F30" s="132"/>
      <c r="G30" s="22"/>
      <c r="H30" s="133" t="str">
        <f>CONCATENATE(People[[#This Row],[First Name]],IF(People[[#This Row],[Middle Name]]="",""," "),People[[#This Row],[Middle Name]]," ",People[[#This Row],[Last Name]])</f>
        <v xml:space="preserve"> </v>
      </c>
      <c r="I30" s="138" t="str">
        <f>IF(People[[#This Row],[Person OrcID]]&lt;&gt;"",MAX(I$23:I29)+1,"")</f>
        <v/>
      </c>
    </row>
    <row r="31" spans="1:9" x14ac:dyDescent="0.25">
      <c r="A31" s="10"/>
      <c r="B31" s="22"/>
      <c r="C31" s="11"/>
      <c r="D31" s="11"/>
      <c r="E31" s="11"/>
      <c r="F31" s="24"/>
      <c r="G31" s="22"/>
      <c r="H31" s="133" t="str">
        <f>CONCATENATE(People[[#This Row],[First Name]],IF(People[[#This Row],[Middle Name]]="",""," "),People[[#This Row],[Middle Name]]," ",People[[#This Row],[Last Name]])</f>
        <v xml:space="preserve"> </v>
      </c>
      <c r="I31" s="138" t="str">
        <f>IF(People[[#This Row],[Person OrcID]]&lt;&gt;"",MAX(I$23:I30)+1,"")</f>
        <v/>
      </c>
    </row>
    <row r="32" spans="1:9" x14ac:dyDescent="0.25">
      <c r="A32" s="10"/>
      <c r="B32" s="22"/>
      <c r="C32" s="11"/>
      <c r="D32" s="11"/>
      <c r="E32" s="11"/>
      <c r="F32" s="24"/>
      <c r="G32" s="22"/>
      <c r="H32" s="133" t="str">
        <f>CONCATENATE(People[[#This Row],[First Name]],IF(People[[#This Row],[Middle Name]]="",""," "),People[[#This Row],[Middle Name]]," ",People[[#This Row],[Last Name]])</f>
        <v xml:space="preserve"> </v>
      </c>
      <c r="I32" s="138" t="str">
        <f>IF(People[[#This Row],[Person OrcID]]&lt;&gt;"",MAX(I$23:I31)+1,"")</f>
        <v/>
      </c>
    </row>
    <row r="33" spans="1:9" ht="15.75" thickBot="1" x14ac:dyDescent="0.3">
      <c r="A33" s="14"/>
      <c r="B33" s="25"/>
      <c r="C33" s="15"/>
      <c r="D33" s="15"/>
      <c r="E33" s="15"/>
      <c r="F33" s="26"/>
      <c r="G33" s="25"/>
      <c r="H33" s="135" t="str">
        <f>CONCATENATE(People[[#This Row],[First Name]],IF(People[[#This Row],[Middle Name]]="",""," "),People[[#This Row],[Middle Name]]," ",People[[#This Row],[Last Name]])</f>
        <v xml:space="preserve"> </v>
      </c>
      <c r="I33" s="139" t="str">
        <f>IF(People[[#This Row],[Person OrcID]]&lt;&gt;"",MAX(I$23:I32)+1,"")</f>
        <v/>
      </c>
    </row>
  </sheetData>
  <sheetProtection password="CA31" sheet="1" objects="1" scenarios="1"/>
  <dataConsolidate/>
  <mergeCells count="2">
    <mergeCell ref="A7:E7"/>
    <mergeCell ref="A22:I22"/>
  </mergeCells>
  <conditionalFormatting sqref="A9:A18">
    <cfRule type="expression" dxfId="67" priority="8">
      <formula>AND(COUNTIF(OrganizationTypeCV,$A9)=0,$A9&lt;&gt;"")</formula>
    </cfRule>
  </conditionalFormatting>
  <conditionalFormatting sqref="A9:C18">
    <cfRule type="expression" dxfId="66" priority="7">
      <formula>AND(COUNTA($A9:$E9)&gt;0,A9="")</formula>
    </cfRule>
  </conditionalFormatting>
  <conditionalFormatting sqref="A10:E18">
    <cfRule type="expression" dxfId="65" priority="6">
      <formula>AND(COUNTA($A9:$E9)=0,A10&lt;&gt;"")</formula>
    </cfRule>
  </conditionalFormatting>
  <conditionalFormatting sqref="C9:C18">
    <cfRule type="duplicateValues" dxfId="64" priority="5"/>
  </conditionalFormatting>
  <conditionalFormatting sqref="D24:D33">
    <cfRule type="expression" dxfId="63" priority="4">
      <formula>AND(COUNTIF(OrganizationNames,$D24)=0,$D24&lt;&gt;"")</formula>
    </cfRule>
  </conditionalFormatting>
  <conditionalFormatting sqref="A24:A33 C24:E33">
    <cfRule type="expression" dxfId="62" priority="3">
      <formula>AND(COUNTA($A24:$G24)&gt;0,A24="")</formula>
    </cfRule>
  </conditionalFormatting>
  <conditionalFormatting sqref="A25:G33">
    <cfRule type="expression" dxfId="61" priority="2">
      <formula>AND(COUNTA($A24:$G24)=0,A25&lt;&gt;"")</formula>
    </cfRule>
  </conditionalFormatting>
  <conditionalFormatting sqref="G24:G33">
    <cfRule type="duplicateValues" dxfId="60"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zoomScale="115" zoomScaleNormal="115" zoomScalePageLayoutView="150" workbookViewId="0">
      <selection activeCell="B25" sqref="B25"/>
    </sheetView>
  </sheetViews>
  <sheetFormatPr defaultColWidth="8.85546875" defaultRowHeight="15" x14ac:dyDescent="0.25"/>
  <cols>
    <col min="1" max="1" width="25.42578125" style="7" customWidth="1"/>
    <col min="2" max="2" width="109.28515625" style="7" bestFit="1" customWidth="1"/>
    <col min="3" max="3" width="7.5703125" style="7" customWidth="1"/>
    <col min="4" max="4" width="11" style="7" bestFit="1" customWidth="1"/>
    <col min="5" max="5" width="3" style="7" bestFit="1" customWidth="1"/>
    <col min="6" max="16384" width="8.85546875" style="7"/>
  </cols>
  <sheetData>
    <row r="1" spans="1:4" x14ac:dyDescent="0.25">
      <c r="A1" s="27" t="s">
        <v>1338</v>
      </c>
    </row>
    <row r="2" spans="1:4" x14ac:dyDescent="0.25">
      <c r="A2" s="27" t="s">
        <v>1336</v>
      </c>
    </row>
    <row r="3" spans="1:4" x14ac:dyDescent="0.25">
      <c r="A3" s="27" t="s">
        <v>1339</v>
      </c>
    </row>
    <row r="4" spans="1:4" x14ac:dyDescent="0.25">
      <c r="A4" s="27" t="s">
        <v>1340</v>
      </c>
    </row>
    <row r="5" spans="1:4" ht="15.75" thickBot="1" x14ac:dyDescent="0.3"/>
    <row r="6" spans="1:4" ht="15.75" thickBot="1" x14ac:dyDescent="0.3">
      <c r="A6" s="216" t="s">
        <v>1341</v>
      </c>
      <c r="B6" s="217"/>
    </row>
    <row r="7" spans="1:4" ht="15.75" thickTop="1" x14ac:dyDescent="0.25">
      <c r="A7" s="43" t="s">
        <v>0</v>
      </c>
      <c r="B7" s="160"/>
    </row>
    <row r="8" spans="1:4" x14ac:dyDescent="0.25">
      <c r="A8" s="44" t="s">
        <v>3</v>
      </c>
      <c r="B8" s="32"/>
    </row>
    <row r="9" spans="1:4" x14ac:dyDescent="0.25">
      <c r="A9" s="44" t="s">
        <v>2</v>
      </c>
      <c r="B9" s="32"/>
    </row>
    <row r="10" spans="1:4" x14ac:dyDescent="0.25">
      <c r="A10" s="44" t="s">
        <v>1</v>
      </c>
      <c r="B10" s="32"/>
      <c r="D10" s="33"/>
    </row>
    <row r="11" spans="1:4" ht="15.75" thickBot="1" x14ac:dyDescent="0.3">
      <c r="A11" s="46" t="s">
        <v>4</v>
      </c>
      <c r="B11" s="161"/>
    </row>
    <row r="12" spans="1:4" ht="15.75" thickBot="1" x14ac:dyDescent="0.3">
      <c r="A12" s="5"/>
      <c r="B12" s="5"/>
    </row>
    <row r="13" spans="1:4" ht="15.75" thickBot="1" x14ac:dyDescent="0.3">
      <c r="A13" s="218" t="s">
        <v>1342</v>
      </c>
      <c r="B13" s="219"/>
    </row>
    <row r="14" spans="1:4" ht="15.75" thickTop="1" x14ac:dyDescent="0.25">
      <c r="A14" s="43" t="s">
        <v>180</v>
      </c>
      <c r="B14" s="160"/>
      <c r="D14" s="33"/>
    </row>
    <row r="15" spans="1:4" x14ac:dyDescent="0.25">
      <c r="A15" s="45" t="s">
        <v>173</v>
      </c>
      <c r="B15" s="145"/>
      <c r="D15" s="33"/>
    </row>
    <row r="16" spans="1:4" x14ac:dyDescent="0.25">
      <c r="A16" s="45" t="s">
        <v>168</v>
      </c>
      <c r="B16" s="145"/>
      <c r="D16" s="33"/>
    </row>
    <row r="17" spans="1:5" x14ac:dyDescent="0.25">
      <c r="A17" s="45" t="s">
        <v>6</v>
      </c>
      <c r="B17" s="145"/>
      <c r="D17" s="33"/>
    </row>
    <row r="18" spans="1:5" x14ac:dyDescent="0.25">
      <c r="A18" s="45" t="s">
        <v>179</v>
      </c>
      <c r="B18" s="145"/>
      <c r="D18" s="33"/>
    </row>
    <row r="19" spans="1:5" ht="15.75" thickBot="1" x14ac:dyDescent="0.3">
      <c r="A19" s="46" t="s">
        <v>5</v>
      </c>
      <c r="B19" s="121"/>
      <c r="D19" s="33"/>
    </row>
    <row r="20" spans="1:5" ht="15.75" thickBot="1" x14ac:dyDescent="0.3"/>
    <row r="21" spans="1:5" ht="15.75" thickBot="1" x14ac:dyDescent="0.3">
      <c r="A21" s="214" t="s">
        <v>1343</v>
      </c>
      <c r="B21" s="215"/>
      <c r="C21" s="35"/>
      <c r="D21" s="36"/>
      <c r="E21" s="36"/>
    </row>
    <row r="22" spans="1:5" ht="15.75" thickBot="1" x14ac:dyDescent="0.3">
      <c r="A22" s="70" t="s">
        <v>172</v>
      </c>
      <c r="B22" s="71" t="s">
        <v>278</v>
      </c>
      <c r="D22" s="28" t="s">
        <v>1198</v>
      </c>
      <c r="E22" s="29">
        <f>COUNTA(AuthorList[Author Name])</f>
        <v>0</v>
      </c>
    </row>
    <row r="23" spans="1:5" ht="15.75" thickTop="1" x14ac:dyDescent="0.25">
      <c r="A23" s="37"/>
      <c r="B23" s="53"/>
    </row>
    <row r="24" spans="1:5" x14ac:dyDescent="0.25">
      <c r="A24" s="39"/>
      <c r="B24" s="13"/>
    </row>
    <row r="25" spans="1:5" x14ac:dyDescent="0.25">
      <c r="A25" s="39"/>
      <c r="B25" s="13"/>
    </row>
    <row r="26" spans="1:5" x14ac:dyDescent="0.25">
      <c r="A26" s="39"/>
      <c r="B26" s="13"/>
    </row>
    <row r="27" spans="1:5" x14ac:dyDescent="0.25">
      <c r="A27" s="39"/>
      <c r="B27" s="13"/>
    </row>
    <row r="28" spans="1:5" x14ac:dyDescent="0.25">
      <c r="A28" s="39"/>
      <c r="B28" s="13"/>
    </row>
    <row r="29" spans="1:5" x14ac:dyDescent="0.25">
      <c r="A29" s="39"/>
      <c r="B29" s="13"/>
    </row>
    <row r="30" spans="1:5" x14ac:dyDescent="0.25">
      <c r="A30" s="39"/>
      <c r="B30" s="13"/>
    </row>
    <row r="31" spans="1:5" x14ac:dyDescent="0.25">
      <c r="A31" s="39"/>
      <c r="B31" s="13"/>
    </row>
    <row r="32" spans="1:5" x14ac:dyDescent="0.25">
      <c r="A32" s="41"/>
      <c r="B32" s="17"/>
    </row>
  </sheetData>
  <sheetProtection password="CA31" sheet="1" objects="1" scenarios="1"/>
  <mergeCells count="3">
    <mergeCell ref="A21:B21"/>
    <mergeCell ref="A6:B6"/>
    <mergeCell ref="A13:B13"/>
  </mergeCells>
  <conditionalFormatting sqref="A14:A17 A23">
    <cfRule type="expression" dxfId="59" priority="6">
      <formula>COUNTA(CitationInformation)&gt;0</formula>
    </cfRule>
  </conditionalFormatting>
  <conditionalFormatting sqref="B8:B10">
    <cfRule type="expression" dxfId="58" priority="4">
      <formula>AND(COUNTA($B$7:$B$11)&gt;0,$B8="")</formula>
    </cfRule>
  </conditionalFormatting>
  <conditionalFormatting sqref="B8">
    <cfRule type="expression" dxfId="57" priority="3">
      <formula>AND(COUNTIF(DataSetTypeCV,$B$8)=0,$B$8&lt;&gt;"")</formula>
    </cfRule>
  </conditionalFormatting>
  <conditionalFormatting sqref="B23:B32">
    <cfRule type="expression" dxfId="56" priority="1">
      <formula>AND(COUNTIF(PeopleNames,$B23)=0,$B23&lt;&gt;"")</formula>
    </cfRule>
  </conditionalFormatting>
  <conditionalFormatting sqref="B14:B17 B23">
    <cfRule type="expression" dxfId="55" priority="5">
      <formula>AND(COUNTA(CitationInformation)&gt;0,$B14="")</formula>
    </cfRule>
    <cfRule type="expression" dxfId="54" priority="7">
      <formula>COUNTA(CitationInformation)&gt;0</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2"/>
  <sheetViews>
    <sheetView zoomScaleNormal="100" zoomScalePageLayoutView="150" workbookViewId="0">
      <selection activeCell="D11" sqref="D11"/>
    </sheetView>
  </sheetViews>
  <sheetFormatPr defaultColWidth="8.85546875" defaultRowHeight="15" x14ac:dyDescent="0.25"/>
  <cols>
    <col min="1" max="1" width="23" style="7" customWidth="1"/>
    <col min="2" max="2" width="21.85546875" style="7" customWidth="1"/>
    <col min="3" max="3" width="17.5703125" style="7" customWidth="1"/>
    <col min="4" max="4" width="50.7109375" style="7" bestFit="1" customWidth="1"/>
    <col min="5" max="5" width="38.85546875" style="7" customWidth="1"/>
    <col min="6" max="6" width="19" style="7" bestFit="1" customWidth="1"/>
    <col min="7" max="7" width="17.7109375" style="7" bestFit="1" customWidth="1"/>
    <col min="8" max="8" width="12.5703125" style="7" bestFit="1" customWidth="1"/>
    <col min="9" max="9" width="13.140625" style="47" bestFit="1" customWidth="1"/>
    <col min="10" max="10" width="3.7109375" customWidth="1"/>
    <col min="11" max="11" width="2.85546875" style="48" customWidth="1"/>
    <col min="12" max="12" width="3.7109375" style="7" customWidth="1"/>
    <col min="13" max="13" width="12.7109375" style="7" bestFit="1" customWidth="1"/>
    <col min="14" max="14" width="12.140625" style="47" bestFit="1" customWidth="1"/>
    <col min="15" max="15" width="12.140625" style="49" bestFit="1" customWidth="1"/>
    <col min="16" max="16" width="2.85546875" style="7" customWidth="1"/>
    <col min="17" max="17" width="3.7109375" style="7" customWidth="1"/>
    <col min="18" max="18" width="20.28515625" style="7" bestFit="1" customWidth="1"/>
    <col min="19" max="19" width="20" style="7" bestFit="1" customWidth="1"/>
    <col min="20" max="20" width="17.7109375" style="7" bestFit="1" customWidth="1"/>
    <col min="21" max="16384" width="8.85546875" style="7"/>
  </cols>
  <sheetData>
    <row r="1" spans="1:20" x14ac:dyDescent="0.25">
      <c r="A1" s="27" t="s">
        <v>1482</v>
      </c>
    </row>
    <row r="2" spans="1:20" x14ac:dyDescent="0.25">
      <c r="A2" s="27" t="s">
        <v>1397</v>
      </c>
      <c r="J2" s="5"/>
    </row>
    <row r="3" spans="1:20" x14ac:dyDescent="0.25">
      <c r="A3" s="7" t="s">
        <v>1396</v>
      </c>
    </row>
    <row r="4" spans="1:20" x14ac:dyDescent="0.25">
      <c r="A4" s="27" t="s">
        <v>1336</v>
      </c>
    </row>
    <row r="5" spans="1:20" x14ac:dyDescent="0.25">
      <c r="A5" s="27" t="s">
        <v>1345</v>
      </c>
      <c r="J5" s="5"/>
    </row>
    <row r="6" spans="1:20" x14ac:dyDescent="0.25">
      <c r="A6" s="27" t="s">
        <v>275</v>
      </c>
    </row>
    <row r="7" spans="1:20" ht="15.75" thickBot="1" x14ac:dyDescent="0.3"/>
    <row r="8" spans="1:20" ht="15.75" thickBot="1" x14ac:dyDescent="0.3">
      <c r="A8" s="216" t="s">
        <v>127</v>
      </c>
      <c r="B8" s="217"/>
    </row>
    <row r="9" spans="1:20" ht="16.5" thickTop="1" thickBot="1" x14ac:dyDescent="0.3">
      <c r="A9" s="62" t="s">
        <v>25</v>
      </c>
      <c r="B9" s="31"/>
      <c r="D9" s="27" t="s">
        <v>274</v>
      </c>
      <c r="H9" s="28" t="s">
        <v>1197</v>
      </c>
      <c r="I9" s="61">
        <f>COUNTA(SamplingFeatures[Feature Code])</f>
        <v>0</v>
      </c>
      <c r="M9" s="28" t="s">
        <v>1195</v>
      </c>
      <c r="N9" s="61">
        <f>MAX(Sites[SiteID])</f>
        <v>0</v>
      </c>
      <c r="R9" s="28" t="s">
        <v>1398</v>
      </c>
      <c r="S9" s="29">
        <f>MAX(Specimens[SpecimenID])</f>
        <v>0</v>
      </c>
    </row>
    <row r="10" spans="1:20" ht="15.75" thickBot="1" x14ac:dyDescent="0.3">
      <c r="A10" s="63" t="s">
        <v>126</v>
      </c>
      <c r="B10" s="34"/>
      <c r="D10" s="27" t="s">
        <v>1291</v>
      </c>
      <c r="H10" s="28" t="s">
        <v>1290</v>
      </c>
      <c r="I10" s="61">
        <f>MAX(SamplingFeatures[IGSNID])</f>
        <v>0</v>
      </c>
    </row>
    <row r="11" spans="1:20" ht="15.75" thickBot="1" x14ac:dyDescent="0.3">
      <c r="K11" s="162"/>
      <c r="L11" s="220" t="s">
        <v>1344</v>
      </c>
      <c r="M11" s="220"/>
      <c r="N11" s="220"/>
      <c r="O11" s="220"/>
      <c r="Q11" s="220" t="s">
        <v>1399</v>
      </c>
      <c r="R11" s="220"/>
      <c r="S11" s="220"/>
      <c r="T11" s="220"/>
    </row>
    <row r="12" spans="1:20" ht="15.75" thickBot="1" x14ac:dyDescent="0.3">
      <c r="A12" s="64" t="s">
        <v>20</v>
      </c>
      <c r="B12" s="65" t="s">
        <v>21</v>
      </c>
      <c r="C12" s="65" t="s">
        <v>125</v>
      </c>
      <c r="D12" s="65" t="s">
        <v>191</v>
      </c>
      <c r="E12" s="66" t="s">
        <v>189</v>
      </c>
      <c r="F12" s="67" t="s">
        <v>190</v>
      </c>
      <c r="G12" s="68" t="s">
        <v>192</v>
      </c>
      <c r="H12" s="68" t="s">
        <v>24</v>
      </c>
      <c r="I12" s="69" t="s">
        <v>1180</v>
      </c>
      <c r="J12" s="136" t="s">
        <v>1288</v>
      </c>
      <c r="K12" s="50"/>
      <c r="L12" s="59" t="s">
        <v>1136</v>
      </c>
      <c r="M12" s="70" t="s">
        <v>187</v>
      </c>
      <c r="N12" s="65" t="s">
        <v>22</v>
      </c>
      <c r="O12" s="71" t="s">
        <v>23</v>
      </c>
      <c r="Q12" s="59" t="s">
        <v>1400</v>
      </c>
      <c r="R12" s="70" t="s">
        <v>1401</v>
      </c>
      <c r="S12" s="65" t="s">
        <v>1402</v>
      </c>
      <c r="T12" s="71" t="s">
        <v>1403</v>
      </c>
    </row>
    <row r="13" spans="1:20" ht="15.75" thickTop="1" x14ac:dyDescent="0.25">
      <c r="A13" s="150"/>
      <c r="B13" s="19"/>
      <c r="C13" s="19"/>
      <c r="D13" s="19"/>
      <c r="E13" s="51"/>
      <c r="F13" s="52"/>
      <c r="G13" s="53"/>
      <c r="H13" s="53"/>
      <c r="I13" s="53"/>
      <c r="J13" s="138" t="str">
        <f>IF(SamplingFeatures[[#This Row],[Feature IGSN]]&lt;&gt;"",MAX(J$12:J12)+1,"")</f>
        <v/>
      </c>
      <c r="K13" s="49"/>
      <c r="L13" s="56" t="str">
        <f>IF(SamplingFeatures[[#This Row],[Sampling Feature Type]]="Site",MAX(L$12:L12)+1,"")</f>
        <v/>
      </c>
      <c r="M13" s="18"/>
      <c r="N13" s="19"/>
      <c r="O13" s="38"/>
      <c r="Q13" s="56" t="str">
        <f>IF(SamplingFeatures[[#This Row],[Sampling Feature Type]]="Specimen",MAX(Q$12:Q12)+1,"")</f>
        <v/>
      </c>
      <c r="R13" s="10"/>
      <c r="S13" s="19"/>
      <c r="T13" s="38"/>
    </row>
    <row r="14" spans="1:20" x14ac:dyDescent="0.25">
      <c r="A14" s="151"/>
      <c r="B14" s="19"/>
      <c r="C14" s="19"/>
      <c r="D14" s="11"/>
      <c r="E14" s="12"/>
      <c r="F14" s="54"/>
      <c r="G14" s="13"/>
      <c r="H14" s="13"/>
      <c r="I14" s="13"/>
      <c r="J14" s="138" t="str">
        <f>IF(SamplingFeatures[[#This Row],[Feature IGSN]]&lt;&gt;"",MAX(J$12:J13)+1,"")</f>
        <v/>
      </c>
      <c r="K14" s="49"/>
      <c r="L14" s="57" t="str">
        <f>IF(SamplingFeatures[[#This Row],[Sampling Feature Type]]="Site",MAX(L$12:L13)+1,"")</f>
        <v/>
      </c>
      <c r="M14" s="18"/>
      <c r="N14" s="11"/>
      <c r="O14" s="40"/>
      <c r="Q14" s="58" t="str">
        <f>IF(SamplingFeatures[[#This Row],[Sampling Feature Type]]="Specimen",MAX(Q$12:Q13)+1,"")</f>
        <v/>
      </c>
      <c r="R14" s="10"/>
      <c r="S14" s="11"/>
      <c r="T14" s="40"/>
    </row>
    <row r="15" spans="1:20" x14ac:dyDescent="0.25">
      <c r="A15" s="151"/>
      <c r="B15" s="19"/>
      <c r="C15" s="19"/>
      <c r="D15" s="11"/>
      <c r="E15" s="12"/>
      <c r="F15" s="54"/>
      <c r="G15" s="13"/>
      <c r="H15" s="13"/>
      <c r="I15" s="13"/>
      <c r="J15" s="138" t="str">
        <f>IF(SamplingFeatures[[#This Row],[Feature IGSN]]&lt;&gt;"",MAX(J$12:J14)+1,"")</f>
        <v/>
      </c>
      <c r="K15" s="49"/>
      <c r="L15" s="58" t="str">
        <f>IF(SamplingFeatures[[#This Row],[Sampling Feature Type]]="Site",MAX(L$12:L14)+1,"")</f>
        <v/>
      </c>
      <c r="M15" s="18"/>
      <c r="N15" s="11"/>
      <c r="O15" s="40"/>
      <c r="Q15" s="58" t="str">
        <f>IF(SamplingFeatures[[#This Row],[Sampling Feature Type]]="Specimen",MAX(Q$12:Q14)+1,"")</f>
        <v/>
      </c>
      <c r="R15" s="10"/>
      <c r="S15" s="11"/>
      <c r="T15" s="40"/>
    </row>
    <row r="16" spans="1:20" ht="15" customHeight="1" x14ac:dyDescent="0.25">
      <c r="A16" s="151"/>
      <c r="B16" s="19"/>
      <c r="C16" s="19"/>
      <c r="D16" s="11"/>
      <c r="E16" s="12"/>
      <c r="F16" s="54"/>
      <c r="G16" s="13"/>
      <c r="H16" s="13"/>
      <c r="I16" s="13"/>
      <c r="J16" s="138" t="str">
        <f>IF(SamplingFeatures[[#This Row],[Feature IGSN]]&lt;&gt;"",MAX(J$12:J15)+1,"")</f>
        <v/>
      </c>
      <c r="K16" s="49"/>
      <c r="L16" s="58" t="str">
        <f>IF(SamplingFeatures[[#This Row],[Sampling Feature Type]]="Site",MAX(L$12:L15)+1,"")</f>
        <v/>
      </c>
      <c r="M16" s="18"/>
      <c r="N16" s="11"/>
      <c r="O16" s="40"/>
      <c r="Q16" s="58" t="str">
        <f>IF(SamplingFeatures[[#This Row],[Sampling Feature Type]]="Specimen",MAX(Q$12:Q15)+1,"")</f>
        <v/>
      </c>
      <c r="R16" s="10"/>
      <c r="S16" s="11"/>
      <c r="T16" s="40"/>
    </row>
    <row r="17" spans="1:20" x14ac:dyDescent="0.25">
      <c r="A17" s="151"/>
      <c r="B17" s="19"/>
      <c r="C17" s="19"/>
      <c r="D17" s="11"/>
      <c r="E17" s="12"/>
      <c r="F17" s="54"/>
      <c r="G17" s="13"/>
      <c r="H17" s="13"/>
      <c r="I17" s="13"/>
      <c r="J17" s="138" t="str">
        <f>IF(SamplingFeatures[[#This Row],[Feature IGSN]]&lt;&gt;"",MAX(J$12:J16)+1,"")</f>
        <v/>
      </c>
      <c r="K17" s="49"/>
      <c r="L17" s="58" t="str">
        <f>IF(SamplingFeatures[[#This Row],[Sampling Feature Type]]="Site",MAX(L$12:L16)+1,"")</f>
        <v/>
      </c>
      <c r="M17" s="18"/>
      <c r="N17" s="11"/>
      <c r="O17" s="40"/>
      <c r="Q17" s="58" t="str">
        <f>IF(SamplingFeatures[[#This Row],[Sampling Feature Type]]="Specimen",MAX(Q$12:Q16)+1,"")</f>
        <v/>
      </c>
      <c r="R17" s="10"/>
      <c r="S17" s="11"/>
      <c r="T17" s="40"/>
    </row>
    <row r="18" spans="1:20" ht="15" customHeight="1" x14ac:dyDescent="0.25">
      <c r="A18" s="151"/>
      <c r="B18" s="19"/>
      <c r="C18" s="19"/>
      <c r="D18" s="11"/>
      <c r="E18" s="12"/>
      <c r="F18" s="54"/>
      <c r="G18" s="13"/>
      <c r="H18" s="13"/>
      <c r="I18" s="13"/>
      <c r="J18" s="138" t="str">
        <f>IF(SamplingFeatures[[#This Row],[Feature IGSN]]&lt;&gt;"",MAX(J$12:J17)+1,"")</f>
        <v/>
      </c>
      <c r="K18" s="49"/>
      <c r="L18" s="58" t="str">
        <f>IF(SamplingFeatures[[#This Row],[Sampling Feature Type]]="Site",MAX(L$12:L17)+1,"")</f>
        <v/>
      </c>
      <c r="M18" s="18"/>
      <c r="N18" s="11"/>
      <c r="O18" s="40"/>
      <c r="Q18" s="58" t="str">
        <f>IF(SamplingFeatures[[#This Row],[Sampling Feature Type]]="Specimen",MAX(Q$12:Q17)+1,"")</f>
        <v/>
      </c>
      <c r="R18" s="10"/>
      <c r="S18" s="11"/>
      <c r="T18" s="40"/>
    </row>
    <row r="19" spans="1:20" ht="15" customHeight="1" x14ac:dyDescent="0.25">
      <c r="A19" s="151"/>
      <c r="B19" s="19"/>
      <c r="C19" s="19"/>
      <c r="D19" s="11"/>
      <c r="E19" s="12"/>
      <c r="F19" s="54"/>
      <c r="G19" s="13"/>
      <c r="H19" s="13"/>
      <c r="I19" s="13"/>
      <c r="J19" s="138" t="str">
        <f>IF(SamplingFeatures[[#This Row],[Feature IGSN]]&lt;&gt;"",MAX(J$12:J18)+1,"")</f>
        <v/>
      </c>
      <c r="K19" s="49"/>
      <c r="L19" s="58" t="str">
        <f>IF(SamplingFeatures[[#This Row],[Sampling Feature Type]]="Site",MAX(L$12:L18)+1,"")</f>
        <v/>
      </c>
      <c r="M19" s="18"/>
      <c r="N19" s="11"/>
      <c r="O19" s="40"/>
      <c r="Q19" s="58" t="str">
        <f>IF(SamplingFeatures[[#This Row],[Sampling Feature Type]]="Specimen",MAX(Q$12:Q18)+1,"")</f>
        <v/>
      </c>
      <c r="R19" s="10"/>
      <c r="S19" s="11"/>
      <c r="T19" s="40"/>
    </row>
    <row r="20" spans="1:20" x14ac:dyDescent="0.25">
      <c r="A20" s="151"/>
      <c r="B20" s="19"/>
      <c r="C20" s="19"/>
      <c r="D20" s="11"/>
      <c r="E20" s="12"/>
      <c r="F20" s="54"/>
      <c r="G20" s="13"/>
      <c r="H20" s="13"/>
      <c r="I20" s="13"/>
      <c r="J20" s="138"/>
      <c r="K20" s="49"/>
      <c r="L20" s="58" t="str">
        <f>IF(SamplingFeatures[[#This Row],[Sampling Feature Type]]="Site",MAX(L$12:L19)+1,"")</f>
        <v/>
      </c>
      <c r="M20" s="18"/>
      <c r="N20" s="11"/>
      <c r="O20" s="40"/>
      <c r="Q20" s="58" t="str">
        <f>IF(SamplingFeatures[[#This Row],[Sampling Feature Type]]="Specimen",MAX(Q$12:Q19)+1,"")</f>
        <v/>
      </c>
      <c r="R20" s="10"/>
      <c r="S20" s="11"/>
      <c r="T20" s="40"/>
    </row>
    <row r="21" spans="1:20" x14ac:dyDescent="0.25">
      <c r="A21" s="151"/>
      <c r="B21" s="19"/>
      <c r="C21" s="19"/>
      <c r="D21" s="11"/>
      <c r="E21" s="12"/>
      <c r="F21" s="54"/>
      <c r="G21" s="13"/>
      <c r="H21" s="13"/>
      <c r="I21" s="13"/>
      <c r="J21" s="138"/>
      <c r="K21" s="49"/>
      <c r="L21" s="58" t="str">
        <f>IF(SamplingFeatures[[#This Row],[Sampling Feature Type]]="Site",MAX(L$12:L20)+1,"")</f>
        <v/>
      </c>
      <c r="M21" s="18"/>
      <c r="N21" s="11"/>
      <c r="O21" s="40"/>
      <c r="Q21" s="58" t="str">
        <f>IF(SamplingFeatures[[#This Row],[Sampling Feature Type]]="Specimen",MAX(Q$12:Q20)+1,"")</f>
        <v/>
      </c>
      <c r="R21" s="10"/>
      <c r="S21" s="11"/>
      <c r="T21" s="40"/>
    </row>
    <row r="22" spans="1:20" x14ac:dyDescent="0.25">
      <c r="A22" s="151"/>
      <c r="B22" s="19"/>
      <c r="C22" s="19"/>
      <c r="D22" s="11"/>
      <c r="E22" s="12"/>
      <c r="F22" s="54"/>
      <c r="G22" s="13"/>
      <c r="H22" s="13"/>
      <c r="I22" s="13"/>
      <c r="J22" s="138"/>
      <c r="K22" s="49"/>
      <c r="L22" s="58" t="str">
        <f>IF(SamplingFeatures[[#This Row],[Sampling Feature Type]]="Site",MAX(L$12:L21)+1,"")</f>
        <v/>
      </c>
      <c r="M22" s="18"/>
      <c r="N22" s="11"/>
      <c r="O22" s="40"/>
      <c r="Q22" s="58" t="str">
        <f>IF(SamplingFeatures[[#This Row],[Sampling Feature Type]]="Specimen",MAX(Q$12:Q21)+1,"")</f>
        <v/>
      </c>
      <c r="R22" s="10"/>
      <c r="S22" s="11"/>
      <c r="T22" s="40"/>
    </row>
    <row r="23" spans="1:20" x14ac:dyDescent="0.25">
      <c r="A23" s="151"/>
      <c r="B23" s="19"/>
      <c r="C23" s="11"/>
      <c r="D23" s="11"/>
      <c r="E23" s="12"/>
      <c r="F23" s="54"/>
      <c r="G23" s="13"/>
      <c r="H23" s="13"/>
      <c r="I23" s="13"/>
      <c r="J23" s="138" t="str">
        <f>IF(SamplingFeatures[[#This Row],[Feature IGSN]]&lt;&gt;"",MAX(J$12:J22)+1,"")</f>
        <v/>
      </c>
      <c r="K23" s="49"/>
      <c r="L23" s="58" t="str">
        <f>IF(SamplingFeatures[[#This Row],[Sampling Feature Type]]="Site",MAX(L$12:L22)+1,"")</f>
        <v/>
      </c>
      <c r="M23" s="18"/>
      <c r="N23" s="11"/>
      <c r="O23" s="40"/>
      <c r="Q23" s="58" t="str">
        <f>IF(SamplingFeatures[[#This Row],[Sampling Feature Type]]="Specimen",MAX(Q$12:Q22)+1,"")</f>
        <v/>
      </c>
      <c r="R23" s="10"/>
      <c r="S23" s="11"/>
      <c r="T23" s="40"/>
    </row>
    <row r="24" spans="1:20" x14ac:dyDescent="0.25">
      <c r="A24" s="151"/>
      <c r="B24" s="11"/>
      <c r="C24" s="11"/>
      <c r="D24" s="11"/>
      <c r="E24" s="12"/>
      <c r="F24" s="54"/>
      <c r="G24" s="13"/>
      <c r="H24" s="13"/>
      <c r="I24" s="13"/>
      <c r="J24" s="138" t="str">
        <f>IF(SamplingFeatures[[#This Row],[Feature IGSN]]&lt;&gt;"",MAX(J$12:J23)+1,"")</f>
        <v/>
      </c>
      <c r="K24" s="49"/>
      <c r="L24" s="58" t="str">
        <f>IF(SamplingFeatures[[#This Row],[Sampling Feature Type]]="Site",MAX(L$12:L23)+1,"")</f>
        <v/>
      </c>
      <c r="M24" s="18"/>
      <c r="N24" s="11"/>
      <c r="O24" s="40"/>
      <c r="Q24" s="58" t="str">
        <f>IF(SamplingFeatures[[#This Row],[Sampling Feature Type]]="Specimen",MAX(Q$12:Q23)+1,"")</f>
        <v/>
      </c>
      <c r="R24" s="10"/>
      <c r="S24" s="11"/>
      <c r="T24" s="40"/>
    </row>
    <row r="25" spans="1:20" x14ac:dyDescent="0.25">
      <c r="A25" s="151"/>
      <c r="B25" s="11"/>
      <c r="C25" s="11"/>
      <c r="D25" s="11"/>
      <c r="E25" s="12"/>
      <c r="F25" s="54"/>
      <c r="G25" s="13"/>
      <c r="H25" s="13"/>
      <c r="I25" s="13"/>
      <c r="J25" s="138" t="str">
        <f>IF(SamplingFeatures[[#This Row],[Feature IGSN]]&lt;&gt;"",MAX(J$12:J24)+1,"")</f>
        <v/>
      </c>
      <c r="K25" s="49"/>
      <c r="L25" s="58" t="str">
        <f>IF(SamplingFeatures[[#This Row],[Sampling Feature Type]]="Site",MAX(L$12:L24)+1,"")</f>
        <v/>
      </c>
      <c r="M25" s="18"/>
      <c r="N25" s="11"/>
      <c r="O25" s="40"/>
      <c r="Q25" s="58" t="str">
        <f>IF(SamplingFeatures[[#This Row],[Sampling Feature Type]]="Specimen",MAX(Q$12:Q24)+1,"")</f>
        <v/>
      </c>
      <c r="R25" s="10"/>
      <c r="S25" s="11"/>
      <c r="T25" s="40"/>
    </row>
    <row r="26" spans="1:20" x14ac:dyDescent="0.25">
      <c r="A26" s="151"/>
      <c r="B26" s="11"/>
      <c r="C26" s="11"/>
      <c r="D26" s="11"/>
      <c r="E26" s="12"/>
      <c r="F26" s="54"/>
      <c r="G26" s="13"/>
      <c r="H26" s="13"/>
      <c r="I26" s="13"/>
      <c r="J26" s="138" t="str">
        <f>IF(SamplingFeatures[[#This Row],[Feature IGSN]]&lt;&gt;"",MAX(J$12:J25)+1,"")</f>
        <v/>
      </c>
      <c r="K26" s="49"/>
      <c r="L26" s="58" t="str">
        <f>IF(SamplingFeatures[[#This Row],[Sampling Feature Type]]="Site",MAX(L$12:L25)+1,"")</f>
        <v/>
      </c>
      <c r="M26" s="18"/>
      <c r="N26" s="11"/>
      <c r="O26" s="40"/>
      <c r="Q26" s="58" t="str">
        <f>IF(SamplingFeatures[[#This Row],[Sampling Feature Type]]="Specimen",MAX(Q$12:Q25)+1,"")</f>
        <v/>
      </c>
      <c r="R26" s="10"/>
      <c r="S26" s="11"/>
      <c r="T26" s="40"/>
    </row>
    <row r="27" spans="1:20" x14ac:dyDescent="0.25">
      <c r="A27" s="151"/>
      <c r="B27" s="11"/>
      <c r="C27" s="11"/>
      <c r="D27" s="11"/>
      <c r="E27" s="12"/>
      <c r="F27" s="54"/>
      <c r="G27" s="13"/>
      <c r="H27" s="13"/>
      <c r="I27" s="13"/>
      <c r="J27" s="138" t="str">
        <f>IF(SamplingFeatures[[#This Row],[Feature IGSN]]&lt;&gt;"",MAX(J$12:J26)+1,"")</f>
        <v/>
      </c>
      <c r="K27" s="49"/>
      <c r="L27" s="58" t="str">
        <f>IF(SamplingFeatures[[#This Row],[Sampling Feature Type]]="Site",MAX(L$12:L26)+1,"")</f>
        <v/>
      </c>
      <c r="M27" s="18"/>
      <c r="N27" s="11"/>
      <c r="O27" s="40"/>
      <c r="Q27" s="58" t="str">
        <f>IF(SamplingFeatures[[#This Row],[Sampling Feature Type]]="Specimen",MAX(Q$12:Q26)+1,"")</f>
        <v/>
      </c>
      <c r="R27" s="10"/>
      <c r="S27" s="11"/>
      <c r="T27" s="40"/>
    </row>
    <row r="28" spans="1:20" x14ac:dyDescent="0.25">
      <c r="A28" s="151"/>
      <c r="B28" s="11"/>
      <c r="C28" s="11"/>
      <c r="D28" s="11"/>
      <c r="E28" s="12"/>
      <c r="F28" s="54"/>
      <c r="G28" s="13"/>
      <c r="H28" s="13"/>
      <c r="I28" s="13"/>
      <c r="J28" s="138" t="str">
        <f>IF(SamplingFeatures[[#This Row],[Feature IGSN]]&lt;&gt;"",MAX(J$12:J27)+1,"")</f>
        <v/>
      </c>
      <c r="K28" s="49"/>
      <c r="L28" s="58" t="str">
        <f>IF(SamplingFeatures[[#This Row],[Sampling Feature Type]]="Site",MAX(L$12:L27)+1,"")</f>
        <v/>
      </c>
      <c r="M28" s="18"/>
      <c r="N28" s="11"/>
      <c r="O28" s="40"/>
      <c r="Q28" s="58" t="str">
        <f>IF(SamplingFeatures[[#This Row],[Sampling Feature Type]]="Specimen",MAX(Q$12:Q27)+1,"")</f>
        <v/>
      </c>
      <c r="R28" s="10"/>
      <c r="S28" s="11"/>
      <c r="T28" s="40"/>
    </row>
    <row r="29" spans="1:20" x14ac:dyDescent="0.25">
      <c r="A29" s="151"/>
      <c r="B29" s="11"/>
      <c r="C29" s="11"/>
      <c r="D29" s="11"/>
      <c r="E29" s="12"/>
      <c r="F29" s="54"/>
      <c r="G29" s="13"/>
      <c r="H29" s="13"/>
      <c r="I29" s="13"/>
      <c r="J29" s="138" t="str">
        <f>IF(SamplingFeatures[[#This Row],[Feature IGSN]]&lt;&gt;"",MAX(J$12:J28)+1,"")</f>
        <v/>
      </c>
      <c r="K29" s="49"/>
      <c r="L29" s="58" t="str">
        <f>IF(SamplingFeatures[[#This Row],[Sampling Feature Type]]="Site",MAX(L$12:L28)+1,"")</f>
        <v/>
      </c>
      <c r="M29" s="18"/>
      <c r="N29" s="11"/>
      <c r="O29" s="40"/>
      <c r="Q29" s="58" t="str">
        <f>IF(SamplingFeatures[[#This Row],[Sampling Feature Type]]="Specimen",MAX(Q$12:Q28)+1,"")</f>
        <v/>
      </c>
      <c r="R29" s="10"/>
      <c r="S29" s="11"/>
      <c r="T29" s="40"/>
    </row>
    <row r="30" spans="1:20" x14ac:dyDescent="0.25">
      <c r="A30" s="151"/>
      <c r="B30" s="11"/>
      <c r="C30" s="11"/>
      <c r="D30" s="11"/>
      <c r="E30" s="12"/>
      <c r="F30" s="54"/>
      <c r="G30" s="13"/>
      <c r="H30" s="13"/>
      <c r="I30" s="13"/>
      <c r="J30" s="138" t="str">
        <f>IF(SamplingFeatures[[#This Row],[Feature IGSN]]&lt;&gt;"",MAX(J$12:J29)+1,"")</f>
        <v/>
      </c>
      <c r="K30" s="49"/>
      <c r="L30" s="58" t="str">
        <f>IF(SamplingFeatures[[#This Row],[Sampling Feature Type]]="Site",MAX(L$12:L29)+1,"")</f>
        <v/>
      </c>
      <c r="M30" s="18"/>
      <c r="N30" s="11"/>
      <c r="O30" s="40"/>
      <c r="Q30" s="58" t="str">
        <f>IF(SamplingFeatures[[#This Row],[Sampling Feature Type]]="Specimen",MAX(Q$12:Q29)+1,"")</f>
        <v/>
      </c>
      <c r="R30" s="10"/>
      <c r="S30" s="11"/>
      <c r="T30" s="40"/>
    </row>
    <row r="31" spans="1:20" x14ac:dyDescent="0.25">
      <c r="A31" s="151"/>
      <c r="B31" s="11"/>
      <c r="C31" s="11"/>
      <c r="D31" s="11"/>
      <c r="E31" s="12"/>
      <c r="F31" s="54"/>
      <c r="G31" s="13"/>
      <c r="H31" s="13"/>
      <c r="I31" s="13"/>
      <c r="J31" s="138" t="str">
        <f>IF(SamplingFeatures[[#This Row],[Feature IGSN]]&lt;&gt;"",MAX(J$12:J30)+1,"")</f>
        <v/>
      </c>
      <c r="K31" s="49"/>
      <c r="L31" s="58" t="str">
        <f>IF(SamplingFeatures[[#This Row],[Sampling Feature Type]]="Site",MAX(L$12:L30)+1,"")</f>
        <v/>
      </c>
      <c r="M31" s="18"/>
      <c r="N31" s="11"/>
      <c r="O31" s="40"/>
      <c r="Q31" s="58" t="str">
        <f>IF(SamplingFeatures[[#This Row],[Sampling Feature Type]]="Specimen",MAX(Q$12:Q30)+1,"")</f>
        <v/>
      </c>
      <c r="R31" s="10"/>
      <c r="S31" s="11"/>
      <c r="T31" s="40"/>
    </row>
    <row r="32" spans="1:20" x14ac:dyDescent="0.25">
      <c r="A32" s="151"/>
      <c r="B32" s="11"/>
      <c r="C32" s="11"/>
      <c r="D32" s="11"/>
      <c r="E32" s="12"/>
      <c r="F32" s="54"/>
      <c r="G32" s="13"/>
      <c r="H32" s="13"/>
      <c r="I32" s="13"/>
      <c r="J32" s="138" t="str">
        <f>IF(SamplingFeatures[[#This Row],[Feature IGSN]]&lt;&gt;"",MAX(J$12:J31)+1,"")</f>
        <v/>
      </c>
      <c r="K32" s="49"/>
      <c r="L32" s="58" t="str">
        <f>IF(SamplingFeatures[[#This Row],[Sampling Feature Type]]="Site",MAX(L$12:L31)+1,"")</f>
        <v/>
      </c>
      <c r="M32" s="18"/>
      <c r="N32" s="11"/>
      <c r="O32" s="40"/>
      <c r="Q32" s="58" t="str">
        <f>IF(SamplingFeatures[[#This Row],[Sampling Feature Type]]="Specimen",MAX(Q$12:Q31)+1,"")</f>
        <v/>
      </c>
      <c r="R32" s="10"/>
      <c r="S32" s="11"/>
      <c r="T32" s="40"/>
    </row>
    <row r="33" spans="1:20" x14ac:dyDescent="0.25">
      <c r="A33" s="151"/>
      <c r="B33" s="11"/>
      <c r="C33" s="11"/>
      <c r="D33" s="11"/>
      <c r="E33" s="12"/>
      <c r="F33" s="54"/>
      <c r="G33" s="13"/>
      <c r="H33" s="13"/>
      <c r="I33" s="13"/>
      <c r="J33" s="138" t="str">
        <f>IF(SamplingFeatures[[#This Row],[Feature IGSN]]&lt;&gt;"",MAX(J$12:J32)+1,"")</f>
        <v/>
      </c>
      <c r="K33" s="49"/>
      <c r="L33" s="58" t="str">
        <f>IF(SamplingFeatures[[#This Row],[Sampling Feature Type]]="Site",MAX(L$12:L32)+1,"")</f>
        <v/>
      </c>
      <c r="M33" s="18"/>
      <c r="N33" s="11"/>
      <c r="O33" s="40"/>
      <c r="Q33" s="58" t="str">
        <f>IF(SamplingFeatures[[#This Row],[Sampling Feature Type]]="Specimen",MAX(Q$12:Q32)+1,"")</f>
        <v/>
      </c>
      <c r="R33" s="10"/>
      <c r="S33" s="11"/>
      <c r="T33" s="40"/>
    </row>
    <row r="34" spans="1:20" x14ac:dyDescent="0.25">
      <c r="A34" s="151"/>
      <c r="B34" s="11"/>
      <c r="C34" s="11"/>
      <c r="D34" s="11"/>
      <c r="E34" s="12"/>
      <c r="F34" s="54"/>
      <c r="G34" s="13"/>
      <c r="H34" s="13"/>
      <c r="I34" s="13"/>
      <c r="J34" s="138" t="str">
        <f>IF(SamplingFeatures[[#This Row],[Feature IGSN]]&lt;&gt;"",MAX(J$12:J33)+1,"")</f>
        <v/>
      </c>
      <c r="K34" s="49"/>
      <c r="L34" s="58" t="str">
        <f>IF(SamplingFeatures[[#This Row],[Sampling Feature Type]]="Site",MAX(L$12:L33)+1,"")</f>
        <v/>
      </c>
      <c r="M34" s="18"/>
      <c r="N34" s="11"/>
      <c r="O34" s="40"/>
      <c r="Q34" s="58" t="str">
        <f>IF(SamplingFeatures[[#This Row],[Sampling Feature Type]]="Specimen",MAX(Q$12:Q33)+1,"")</f>
        <v/>
      </c>
      <c r="R34" s="10"/>
      <c r="S34" s="11"/>
      <c r="T34" s="40"/>
    </row>
    <row r="35" spans="1:20" x14ac:dyDescent="0.25">
      <c r="A35" s="151"/>
      <c r="B35" s="11"/>
      <c r="C35" s="11"/>
      <c r="D35" s="11"/>
      <c r="E35" s="12"/>
      <c r="F35" s="54"/>
      <c r="G35" s="13"/>
      <c r="H35" s="13"/>
      <c r="I35" s="13"/>
      <c r="J35" s="138" t="str">
        <f>IF(SamplingFeatures[[#This Row],[Feature IGSN]]&lt;&gt;"",MAX(J$12:J34)+1,"")</f>
        <v/>
      </c>
      <c r="K35" s="49"/>
      <c r="L35" s="58" t="str">
        <f>IF(SamplingFeatures[[#This Row],[Sampling Feature Type]]="Site",MAX(L$12:L34)+1,"")</f>
        <v/>
      </c>
      <c r="M35" s="18"/>
      <c r="N35" s="11"/>
      <c r="O35" s="40"/>
      <c r="Q35" s="58" t="str">
        <f>IF(SamplingFeatures[[#This Row],[Sampling Feature Type]]="Specimen",MAX(Q$12:Q34)+1,"")</f>
        <v/>
      </c>
      <c r="R35" s="10"/>
      <c r="S35" s="11"/>
      <c r="T35" s="40"/>
    </row>
    <row r="36" spans="1:20" x14ac:dyDescent="0.25">
      <c r="A36" s="151"/>
      <c r="B36" s="11"/>
      <c r="C36" s="11"/>
      <c r="D36" s="11"/>
      <c r="E36" s="12"/>
      <c r="F36" s="54"/>
      <c r="G36" s="13"/>
      <c r="H36" s="13"/>
      <c r="I36" s="13"/>
      <c r="J36" s="138" t="str">
        <f>IF(SamplingFeatures[[#This Row],[Feature IGSN]]&lt;&gt;"",MAX(J$12:J35)+1,"")</f>
        <v/>
      </c>
      <c r="K36" s="49"/>
      <c r="L36" s="58" t="str">
        <f>IF(SamplingFeatures[[#This Row],[Sampling Feature Type]]="Site",MAX(L$12:L35)+1,"")</f>
        <v/>
      </c>
      <c r="M36" s="18"/>
      <c r="N36" s="11"/>
      <c r="O36" s="40"/>
      <c r="Q36" s="58" t="str">
        <f>IF(SamplingFeatures[[#This Row],[Sampling Feature Type]]="Specimen",MAX(Q$12:Q35)+1,"")</f>
        <v/>
      </c>
      <c r="R36" s="10"/>
      <c r="S36" s="11"/>
      <c r="T36" s="40"/>
    </row>
    <row r="37" spans="1:20" x14ac:dyDescent="0.25">
      <c r="A37" s="151"/>
      <c r="B37" s="11"/>
      <c r="C37" s="11"/>
      <c r="D37" s="11"/>
      <c r="E37" s="12"/>
      <c r="F37" s="54"/>
      <c r="G37" s="13"/>
      <c r="H37" s="13"/>
      <c r="I37" s="13"/>
      <c r="J37" s="138" t="str">
        <f>IF(SamplingFeatures[[#This Row],[Feature IGSN]]&lt;&gt;"",MAX(J$12:J36)+1,"")</f>
        <v/>
      </c>
      <c r="K37" s="49"/>
      <c r="L37" s="58" t="str">
        <f>IF(SamplingFeatures[[#This Row],[Sampling Feature Type]]="Site",MAX(L$12:L36)+1,"")</f>
        <v/>
      </c>
      <c r="M37" s="18"/>
      <c r="N37" s="11"/>
      <c r="O37" s="40"/>
      <c r="Q37" s="58" t="str">
        <f>IF(SamplingFeatures[[#This Row],[Sampling Feature Type]]="Specimen",MAX(Q$12:Q36)+1,"")</f>
        <v/>
      </c>
      <c r="R37" s="10"/>
      <c r="S37" s="11"/>
      <c r="T37" s="40"/>
    </row>
    <row r="38" spans="1:20" x14ac:dyDescent="0.25">
      <c r="A38" s="151"/>
      <c r="B38" s="11"/>
      <c r="C38" s="11"/>
      <c r="D38" s="11"/>
      <c r="E38" s="12"/>
      <c r="F38" s="54"/>
      <c r="G38" s="13"/>
      <c r="H38" s="13"/>
      <c r="I38" s="13"/>
      <c r="J38" s="138" t="str">
        <f>IF(SamplingFeatures[[#This Row],[Feature IGSN]]&lt;&gt;"",MAX(J$12:J37)+1,"")</f>
        <v/>
      </c>
      <c r="K38" s="49"/>
      <c r="L38" s="58" t="str">
        <f>IF(SamplingFeatures[[#This Row],[Sampling Feature Type]]="Site",MAX(L$12:L37)+1,"")</f>
        <v/>
      </c>
      <c r="M38" s="18"/>
      <c r="N38" s="11"/>
      <c r="O38" s="40"/>
      <c r="Q38" s="58" t="str">
        <f>IF(SamplingFeatures[[#This Row],[Sampling Feature Type]]="Specimen",MAX(Q$12:Q37)+1,"")</f>
        <v/>
      </c>
      <c r="R38" s="10"/>
      <c r="S38" s="11"/>
      <c r="T38" s="40"/>
    </row>
    <row r="39" spans="1:20" x14ac:dyDescent="0.25">
      <c r="A39" s="151"/>
      <c r="B39" s="11"/>
      <c r="C39" s="11"/>
      <c r="D39" s="11"/>
      <c r="E39" s="12"/>
      <c r="F39" s="54"/>
      <c r="G39" s="13"/>
      <c r="H39" s="13"/>
      <c r="I39" s="13"/>
      <c r="J39" s="138" t="str">
        <f>IF(SamplingFeatures[[#This Row],[Feature IGSN]]&lt;&gt;"",MAX(J$12:J38)+1,"")</f>
        <v/>
      </c>
      <c r="K39" s="49"/>
      <c r="L39" s="58" t="str">
        <f>IF(SamplingFeatures[[#This Row],[Sampling Feature Type]]="Site",MAX(L$12:L38)+1,"")</f>
        <v/>
      </c>
      <c r="M39" s="18"/>
      <c r="N39" s="11"/>
      <c r="O39" s="40"/>
      <c r="Q39" s="58" t="str">
        <f>IF(SamplingFeatures[[#This Row],[Sampling Feature Type]]="Specimen",MAX(Q$12:Q38)+1,"")</f>
        <v/>
      </c>
      <c r="R39" s="10"/>
      <c r="S39" s="11"/>
      <c r="T39" s="40"/>
    </row>
    <row r="40" spans="1:20" x14ac:dyDescent="0.25">
      <c r="A40" s="151"/>
      <c r="B40" s="11"/>
      <c r="C40" s="11"/>
      <c r="D40" s="11"/>
      <c r="E40" s="12"/>
      <c r="F40" s="54"/>
      <c r="G40" s="13"/>
      <c r="H40" s="13"/>
      <c r="I40" s="13"/>
      <c r="J40" s="138" t="str">
        <f>IF(SamplingFeatures[[#This Row],[Feature IGSN]]&lt;&gt;"",MAX(J$12:J39)+1,"")</f>
        <v/>
      </c>
      <c r="K40" s="49"/>
      <c r="L40" s="58" t="str">
        <f>IF(SamplingFeatures[[#This Row],[Sampling Feature Type]]="Site",MAX(L$12:L39)+1,"")</f>
        <v/>
      </c>
      <c r="M40" s="18"/>
      <c r="N40" s="11"/>
      <c r="O40" s="40"/>
      <c r="Q40" s="58" t="str">
        <f>IF(SamplingFeatures[[#This Row],[Sampling Feature Type]]="Specimen",MAX(Q$12:Q39)+1,"")</f>
        <v/>
      </c>
      <c r="R40" s="10"/>
      <c r="S40" s="11"/>
      <c r="T40" s="40"/>
    </row>
    <row r="41" spans="1:20" x14ac:dyDescent="0.25">
      <c r="A41" s="151"/>
      <c r="B41" s="11"/>
      <c r="C41" s="11"/>
      <c r="D41" s="11"/>
      <c r="E41" s="12"/>
      <c r="F41" s="54"/>
      <c r="G41" s="13"/>
      <c r="H41" s="13"/>
      <c r="I41" s="13"/>
      <c r="J41" s="138" t="str">
        <f>IF(SamplingFeatures[[#This Row],[Feature IGSN]]&lt;&gt;"",MAX(J$12:J40)+1,"")</f>
        <v/>
      </c>
      <c r="K41" s="49"/>
      <c r="L41" s="58" t="str">
        <f>IF(SamplingFeatures[[#This Row],[Sampling Feature Type]]="Site",MAX(L$12:L40)+1,"")</f>
        <v/>
      </c>
      <c r="M41" s="18"/>
      <c r="N41" s="11"/>
      <c r="O41" s="40"/>
      <c r="Q41" s="58" t="str">
        <f>IF(SamplingFeatures[[#This Row],[Sampling Feature Type]]="Specimen",MAX(Q$12:Q40)+1,"")</f>
        <v/>
      </c>
      <c r="R41" s="10"/>
      <c r="S41" s="11"/>
      <c r="T41" s="40"/>
    </row>
    <row r="42" spans="1:20" x14ac:dyDescent="0.25">
      <c r="A42" s="151"/>
      <c r="B42" s="11"/>
      <c r="C42" s="11"/>
      <c r="D42" s="11"/>
      <c r="E42" s="12"/>
      <c r="F42" s="54"/>
      <c r="G42" s="13"/>
      <c r="H42" s="13"/>
      <c r="I42" s="13"/>
      <c r="J42" s="138" t="str">
        <f>IF(SamplingFeatures[[#This Row],[Feature IGSN]]&lt;&gt;"",MAX(J$12:J41)+1,"")</f>
        <v/>
      </c>
      <c r="K42" s="49"/>
      <c r="L42" s="58" t="str">
        <f>IF(SamplingFeatures[[#This Row],[Sampling Feature Type]]="Site",MAX(L$12:L41)+1,"")</f>
        <v/>
      </c>
      <c r="M42" s="18"/>
      <c r="N42" s="11"/>
      <c r="O42" s="40"/>
      <c r="Q42" s="58" t="str">
        <f>IF(SamplingFeatures[[#This Row],[Sampling Feature Type]]="Specimen",MAX(Q$12:Q41)+1,"")</f>
        <v/>
      </c>
      <c r="R42" s="10"/>
      <c r="S42" s="11"/>
      <c r="T42" s="40"/>
    </row>
    <row r="43" spans="1:20" x14ac:dyDescent="0.25">
      <c r="A43" s="151"/>
      <c r="B43" s="11"/>
      <c r="C43" s="11"/>
      <c r="D43" s="11"/>
      <c r="E43" s="12"/>
      <c r="F43" s="54"/>
      <c r="G43" s="13"/>
      <c r="H43" s="13"/>
      <c r="I43" s="13"/>
      <c r="J43" s="138" t="str">
        <f>IF(SamplingFeatures[[#This Row],[Feature IGSN]]&lt;&gt;"",MAX(J$12:J42)+1,"")</f>
        <v/>
      </c>
      <c r="K43" s="49"/>
      <c r="L43" s="58" t="str">
        <f>IF(SamplingFeatures[[#This Row],[Sampling Feature Type]]="Site",MAX(L$12:L42)+1,"")</f>
        <v/>
      </c>
      <c r="M43" s="18"/>
      <c r="N43" s="11"/>
      <c r="O43" s="40"/>
      <c r="Q43" s="58" t="str">
        <f>IF(SamplingFeatures[[#This Row],[Sampling Feature Type]]="Specimen",MAX(Q$12:Q42)+1,"")</f>
        <v/>
      </c>
      <c r="R43" s="10"/>
      <c r="S43" s="11"/>
      <c r="T43" s="40"/>
    </row>
    <row r="44" spans="1:20" x14ac:dyDescent="0.25">
      <c r="A44" s="151"/>
      <c r="B44" s="11"/>
      <c r="C44" s="11"/>
      <c r="D44" s="11"/>
      <c r="E44" s="12"/>
      <c r="F44" s="54"/>
      <c r="G44" s="13"/>
      <c r="H44" s="13"/>
      <c r="I44" s="13"/>
      <c r="J44" s="138" t="str">
        <f>IF(SamplingFeatures[[#This Row],[Feature IGSN]]&lt;&gt;"",MAX(J$12:J43)+1,"")</f>
        <v/>
      </c>
      <c r="K44" s="49"/>
      <c r="L44" s="58" t="str">
        <f>IF(SamplingFeatures[[#This Row],[Sampling Feature Type]]="Site",MAX(L$12:L43)+1,"")</f>
        <v/>
      </c>
      <c r="M44" s="18"/>
      <c r="N44" s="11"/>
      <c r="O44" s="40"/>
      <c r="Q44" s="58" t="str">
        <f>IF(SamplingFeatures[[#This Row],[Sampling Feature Type]]="Specimen",MAX(Q$12:Q43)+1,"")</f>
        <v/>
      </c>
      <c r="R44" s="10"/>
      <c r="S44" s="11"/>
      <c r="T44" s="40"/>
    </row>
    <row r="45" spans="1:20" x14ac:dyDescent="0.25">
      <c r="A45" s="151"/>
      <c r="B45" s="11"/>
      <c r="C45" s="11"/>
      <c r="D45" s="11"/>
      <c r="E45" s="12"/>
      <c r="F45" s="54"/>
      <c r="G45" s="13"/>
      <c r="H45" s="13"/>
      <c r="I45" s="13"/>
      <c r="J45" s="138" t="str">
        <f>IF(SamplingFeatures[[#This Row],[Feature IGSN]]&lt;&gt;"",MAX(J$12:J44)+1,"")</f>
        <v/>
      </c>
      <c r="K45" s="49"/>
      <c r="L45" s="58" t="str">
        <f>IF(SamplingFeatures[[#This Row],[Sampling Feature Type]]="Site",MAX(L$12:L44)+1,"")</f>
        <v/>
      </c>
      <c r="M45" s="18"/>
      <c r="N45" s="11"/>
      <c r="O45" s="40"/>
      <c r="Q45" s="58" t="str">
        <f>IF(SamplingFeatures[[#This Row],[Sampling Feature Type]]="Specimen",MAX(Q$12:Q44)+1,"")</f>
        <v/>
      </c>
      <c r="R45" s="10"/>
      <c r="S45" s="11"/>
      <c r="T45" s="40"/>
    </row>
    <row r="46" spans="1:20" x14ac:dyDescent="0.25">
      <c r="A46" s="151"/>
      <c r="B46" s="11"/>
      <c r="C46" s="11"/>
      <c r="D46" s="11"/>
      <c r="E46" s="12"/>
      <c r="F46" s="54"/>
      <c r="G46" s="13"/>
      <c r="H46" s="13"/>
      <c r="I46" s="13"/>
      <c r="J46" s="138" t="str">
        <f>IF(SamplingFeatures[[#This Row],[Feature IGSN]]&lt;&gt;"",MAX(J$12:J45)+1,"")</f>
        <v/>
      </c>
      <c r="K46" s="49"/>
      <c r="L46" s="58" t="str">
        <f>IF(SamplingFeatures[[#This Row],[Sampling Feature Type]]="Site",MAX(L$12:L45)+1,"")</f>
        <v/>
      </c>
      <c r="M46" s="18"/>
      <c r="N46" s="11"/>
      <c r="O46" s="40"/>
      <c r="Q46" s="58" t="str">
        <f>IF(SamplingFeatures[[#This Row],[Sampling Feature Type]]="Specimen",MAX(Q$12:Q45)+1,"")</f>
        <v/>
      </c>
      <c r="R46" s="10"/>
      <c r="S46" s="11"/>
      <c r="T46" s="40"/>
    </row>
    <row r="47" spans="1:20" x14ac:dyDescent="0.25">
      <c r="A47" s="151"/>
      <c r="B47" s="11"/>
      <c r="C47" s="11"/>
      <c r="D47" s="11"/>
      <c r="E47" s="12"/>
      <c r="F47" s="54"/>
      <c r="G47" s="13"/>
      <c r="H47" s="13"/>
      <c r="I47" s="13"/>
      <c r="J47" s="138" t="str">
        <f>IF(SamplingFeatures[[#This Row],[Feature IGSN]]&lt;&gt;"",MAX(J$12:J46)+1,"")</f>
        <v/>
      </c>
      <c r="K47" s="49"/>
      <c r="L47" s="58" t="str">
        <f>IF(SamplingFeatures[[#This Row],[Sampling Feature Type]]="Site",MAX(L$12:L46)+1,"")</f>
        <v/>
      </c>
      <c r="M47" s="18"/>
      <c r="N47" s="11"/>
      <c r="O47" s="40"/>
      <c r="Q47" s="58" t="str">
        <f>IF(SamplingFeatures[[#This Row],[Sampling Feature Type]]="Specimen",MAX(Q$12:Q46)+1,"")</f>
        <v/>
      </c>
      <c r="R47" s="10"/>
      <c r="S47" s="11"/>
      <c r="T47" s="40"/>
    </row>
    <row r="48" spans="1:20" x14ac:dyDescent="0.25">
      <c r="A48" s="151"/>
      <c r="B48" s="11"/>
      <c r="C48" s="11"/>
      <c r="D48" s="11"/>
      <c r="E48" s="12"/>
      <c r="F48" s="54"/>
      <c r="G48" s="13"/>
      <c r="H48" s="13"/>
      <c r="I48" s="13"/>
      <c r="J48" s="138" t="str">
        <f>IF(SamplingFeatures[[#This Row],[Feature IGSN]]&lt;&gt;"",MAX(J$12:J47)+1,"")</f>
        <v/>
      </c>
      <c r="K48" s="49"/>
      <c r="L48" s="58" t="str">
        <f>IF(SamplingFeatures[[#This Row],[Sampling Feature Type]]="Site",MAX(L$12:L47)+1,"")</f>
        <v/>
      </c>
      <c r="M48" s="18"/>
      <c r="N48" s="11"/>
      <c r="O48" s="40"/>
      <c r="Q48" s="58" t="str">
        <f>IF(SamplingFeatures[[#This Row],[Sampling Feature Type]]="Specimen",MAX(Q$12:Q47)+1,"")</f>
        <v/>
      </c>
      <c r="R48" s="10"/>
      <c r="S48" s="11"/>
      <c r="T48" s="40"/>
    </row>
    <row r="49" spans="1:20" x14ac:dyDescent="0.25">
      <c r="A49" s="151"/>
      <c r="B49" s="11"/>
      <c r="C49" s="11"/>
      <c r="D49" s="11"/>
      <c r="E49" s="12"/>
      <c r="F49" s="54"/>
      <c r="G49" s="13"/>
      <c r="H49" s="13"/>
      <c r="I49" s="13"/>
      <c r="J49" s="138" t="str">
        <f>IF(SamplingFeatures[[#This Row],[Feature IGSN]]&lt;&gt;"",MAX(J$12:J48)+1,"")</f>
        <v/>
      </c>
      <c r="K49" s="49"/>
      <c r="L49" s="58" t="str">
        <f>IF(SamplingFeatures[[#This Row],[Sampling Feature Type]]="Site",MAX(L$12:L48)+1,"")</f>
        <v/>
      </c>
      <c r="M49" s="18"/>
      <c r="N49" s="11"/>
      <c r="O49" s="40"/>
      <c r="Q49" s="58" t="str">
        <f>IF(SamplingFeatures[[#This Row],[Sampling Feature Type]]="Specimen",MAX(Q$12:Q48)+1,"")</f>
        <v/>
      </c>
      <c r="R49" s="10"/>
      <c r="S49" s="11"/>
      <c r="T49" s="40"/>
    </row>
    <row r="50" spans="1:20" x14ac:dyDescent="0.25">
      <c r="A50" s="151"/>
      <c r="B50" s="11"/>
      <c r="C50" s="11"/>
      <c r="D50" s="11"/>
      <c r="E50" s="12"/>
      <c r="F50" s="54"/>
      <c r="G50" s="13"/>
      <c r="H50" s="13"/>
      <c r="I50" s="13"/>
      <c r="J50" s="138" t="str">
        <f>IF(SamplingFeatures[[#This Row],[Feature IGSN]]&lt;&gt;"",MAX(J$12:J49)+1,"")</f>
        <v/>
      </c>
      <c r="K50" s="49"/>
      <c r="L50" s="58" t="str">
        <f>IF(SamplingFeatures[[#This Row],[Sampling Feature Type]]="Site",MAX(L$12:L49)+1,"")</f>
        <v/>
      </c>
      <c r="M50" s="18"/>
      <c r="N50" s="11"/>
      <c r="O50" s="40"/>
      <c r="Q50" s="58" t="str">
        <f>IF(SamplingFeatures[[#This Row],[Sampling Feature Type]]="Specimen",MAX(Q$12:Q49)+1,"")</f>
        <v/>
      </c>
      <c r="R50" s="10"/>
      <c r="S50" s="11"/>
      <c r="T50" s="40"/>
    </row>
    <row r="51" spans="1:20" x14ac:dyDescent="0.25">
      <c r="A51" s="151"/>
      <c r="B51" s="11"/>
      <c r="C51" s="11"/>
      <c r="D51" s="11"/>
      <c r="E51" s="12"/>
      <c r="F51" s="54"/>
      <c r="G51" s="13"/>
      <c r="H51" s="13"/>
      <c r="I51" s="13"/>
      <c r="J51" s="138" t="str">
        <f>IF(SamplingFeatures[[#This Row],[Feature IGSN]]&lt;&gt;"",MAX(J$12:J50)+1,"")</f>
        <v/>
      </c>
      <c r="K51" s="49"/>
      <c r="L51" s="58" t="str">
        <f>IF(SamplingFeatures[[#This Row],[Sampling Feature Type]]="Site",MAX(L$12:L50)+1,"")</f>
        <v/>
      </c>
      <c r="M51" s="18"/>
      <c r="N51" s="11"/>
      <c r="O51" s="40"/>
      <c r="Q51" s="58" t="str">
        <f>IF(SamplingFeatures[[#This Row],[Sampling Feature Type]]="Specimen",MAX(Q$12:Q50)+1,"")</f>
        <v/>
      </c>
      <c r="R51" s="10"/>
      <c r="S51" s="11"/>
      <c r="T51" s="40"/>
    </row>
    <row r="52" spans="1:20" x14ac:dyDescent="0.25">
      <c r="A52" s="151"/>
      <c r="B52" s="11"/>
      <c r="C52" s="11"/>
      <c r="D52" s="11"/>
      <c r="E52" s="12"/>
      <c r="F52" s="54"/>
      <c r="G52" s="13"/>
      <c r="H52" s="13"/>
      <c r="I52" s="13"/>
      <c r="J52" s="138" t="str">
        <f>IF(SamplingFeatures[[#This Row],[Feature IGSN]]&lt;&gt;"",MAX(J$12:J51)+1,"")</f>
        <v/>
      </c>
      <c r="K52" s="49"/>
      <c r="L52" s="58" t="str">
        <f>IF(SamplingFeatures[[#This Row],[Sampling Feature Type]]="Site",MAX(L$12:L51)+1,"")</f>
        <v/>
      </c>
      <c r="M52" s="18"/>
      <c r="N52" s="11"/>
      <c r="O52" s="40"/>
      <c r="Q52" s="58" t="str">
        <f>IF(SamplingFeatures[[#This Row],[Sampling Feature Type]]="Specimen",MAX(Q$12:Q51)+1,"")</f>
        <v/>
      </c>
      <c r="R52" s="10"/>
      <c r="S52" s="11"/>
      <c r="T52" s="40"/>
    </row>
    <row r="53" spans="1:20" x14ac:dyDescent="0.25">
      <c r="A53" s="151"/>
      <c r="B53" s="11"/>
      <c r="C53" s="11"/>
      <c r="D53" s="11"/>
      <c r="E53" s="12"/>
      <c r="F53" s="54"/>
      <c r="G53" s="13"/>
      <c r="H53" s="13"/>
      <c r="I53" s="13"/>
      <c r="J53" s="138" t="str">
        <f>IF(SamplingFeatures[[#This Row],[Feature IGSN]]&lt;&gt;"",MAX(J$12:J52)+1,"")</f>
        <v/>
      </c>
      <c r="K53" s="49"/>
      <c r="L53" s="58" t="str">
        <f>IF(SamplingFeatures[[#This Row],[Sampling Feature Type]]="Site",MAX(L$12:L52)+1,"")</f>
        <v/>
      </c>
      <c r="M53" s="18"/>
      <c r="N53" s="11"/>
      <c r="O53" s="40"/>
      <c r="Q53" s="58" t="str">
        <f>IF(SamplingFeatures[[#This Row],[Sampling Feature Type]]="Specimen",MAX(Q$12:Q52)+1,"")</f>
        <v/>
      </c>
      <c r="R53" s="10"/>
      <c r="S53" s="11"/>
      <c r="T53" s="40"/>
    </row>
    <row r="54" spans="1:20" x14ac:dyDescent="0.25">
      <c r="A54" s="151"/>
      <c r="B54" s="11"/>
      <c r="C54" s="11"/>
      <c r="D54" s="11"/>
      <c r="E54" s="12"/>
      <c r="F54" s="54"/>
      <c r="G54" s="13"/>
      <c r="H54" s="13"/>
      <c r="I54" s="13"/>
      <c r="J54" s="138" t="str">
        <f>IF(SamplingFeatures[[#This Row],[Feature IGSN]]&lt;&gt;"",MAX(J$12:J53)+1,"")</f>
        <v/>
      </c>
      <c r="K54" s="49"/>
      <c r="L54" s="58" t="str">
        <f>IF(SamplingFeatures[[#This Row],[Sampling Feature Type]]="Site",MAX(L$12:L53)+1,"")</f>
        <v/>
      </c>
      <c r="M54" s="18"/>
      <c r="N54" s="11"/>
      <c r="O54" s="40"/>
      <c r="Q54" s="58" t="str">
        <f>IF(SamplingFeatures[[#This Row],[Sampling Feature Type]]="Specimen",MAX(Q$12:Q53)+1,"")</f>
        <v/>
      </c>
      <c r="R54" s="10"/>
      <c r="S54" s="11"/>
      <c r="T54" s="40"/>
    </row>
    <row r="55" spans="1:20" x14ac:dyDescent="0.25">
      <c r="A55" s="151"/>
      <c r="B55" s="11"/>
      <c r="C55" s="11"/>
      <c r="D55" s="11"/>
      <c r="E55" s="12"/>
      <c r="F55" s="54"/>
      <c r="G55" s="13"/>
      <c r="H55" s="13"/>
      <c r="I55" s="13"/>
      <c r="J55" s="138" t="str">
        <f>IF(SamplingFeatures[[#This Row],[Feature IGSN]]&lt;&gt;"",MAX(J$12:J54)+1,"")</f>
        <v/>
      </c>
      <c r="K55" s="49"/>
      <c r="L55" s="58" t="str">
        <f>IF(SamplingFeatures[[#This Row],[Sampling Feature Type]]="Site",MAX(L$12:L54)+1,"")</f>
        <v/>
      </c>
      <c r="M55" s="18"/>
      <c r="N55" s="11"/>
      <c r="O55" s="40"/>
      <c r="Q55" s="58" t="str">
        <f>IF(SamplingFeatures[[#This Row],[Sampling Feature Type]]="Specimen",MAX(Q$12:Q54)+1,"")</f>
        <v/>
      </c>
      <c r="R55" s="10"/>
      <c r="S55" s="11"/>
      <c r="T55" s="40"/>
    </row>
    <row r="56" spans="1:20" x14ac:dyDescent="0.25">
      <c r="A56" s="151"/>
      <c r="B56" s="11"/>
      <c r="C56" s="11"/>
      <c r="D56" s="11"/>
      <c r="E56" s="12"/>
      <c r="F56" s="54"/>
      <c r="G56" s="13"/>
      <c r="H56" s="13"/>
      <c r="I56" s="13"/>
      <c r="J56" s="138" t="str">
        <f>IF(SamplingFeatures[[#This Row],[Feature IGSN]]&lt;&gt;"",MAX(J$12:J55)+1,"")</f>
        <v/>
      </c>
      <c r="K56" s="49"/>
      <c r="L56" s="58" t="str">
        <f>IF(SamplingFeatures[[#This Row],[Sampling Feature Type]]="Site",MAX(L$12:L55)+1,"")</f>
        <v/>
      </c>
      <c r="M56" s="18"/>
      <c r="N56" s="11"/>
      <c r="O56" s="40"/>
      <c r="Q56" s="58" t="str">
        <f>IF(SamplingFeatures[[#This Row],[Sampling Feature Type]]="Specimen",MAX(Q$12:Q55)+1,"")</f>
        <v/>
      </c>
      <c r="R56" s="10"/>
      <c r="S56" s="11"/>
      <c r="T56" s="40"/>
    </row>
    <row r="57" spans="1:20" x14ac:dyDescent="0.25">
      <c r="A57" s="151"/>
      <c r="B57" s="11"/>
      <c r="C57" s="11"/>
      <c r="D57" s="11"/>
      <c r="E57" s="12"/>
      <c r="F57" s="54"/>
      <c r="G57" s="13"/>
      <c r="H57" s="13"/>
      <c r="I57" s="13"/>
      <c r="J57" s="138" t="str">
        <f>IF(SamplingFeatures[[#This Row],[Feature IGSN]]&lt;&gt;"",MAX(J$12:J56)+1,"")</f>
        <v/>
      </c>
      <c r="K57" s="49"/>
      <c r="L57" s="58" t="str">
        <f>IF(SamplingFeatures[[#This Row],[Sampling Feature Type]]="Site",MAX(L$12:L56)+1,"")</f>
        <v/>
      </c>
      <c r="M57" s="18"/>
      <c r="N57" s="11"/>
      <c r="O57" s="40"/>
      <c r="Q57" s="58" t="str">
        <f>IF(SamplingFeatures[[#This Row],[Sampling Feature Type]]="Specimen",MAX(Q$12:Q56)+1,"")</f>
        <v/>
      </c>
      <c r="R57" s="10"/>
      <c r="S57" s="11"/>
      <c r="T57" s="40"/>
    </row>
    <row r="58" spans="1:20" x14ac:dyDescent="0.25">
      <c r="A58" s="151"/>
      <c r="B58" s="11"/>
      <c r="C58" s="11"/>
      <c r="D58" s="11"/>
      <c r="E58" s="12"/>
      <c r="F58" s="54"/>
      <c r="G58" s="13"/>
      <c r="H58" s="13"/>
      <c r="I58" s="13"/>
      <c r="J58" s="138" t="str">
        <f>IF(SamplingFeatures[[#This Row],[Feature IGSN]]&lt;&gt;"",MAX(J$12:J57)+1,"")</f>
        <v/>
      </c>
      <c r="K58" s="49"/>
      <c r="L58" s="58" t="str">
        <f>IF(SamplingFeatures[[#This Row],[Sampling Feature Type]]="Site",MAX(L$12:L57)+1,"")</f>
        <v/>
      </c>
      <c r="M58" s="18"/>
      <c r="N58" s="11"/>
      <c r="O58" s="40"/>
      <c r="Q58" s="58" t="str">
        <f>IF(SamplingFeatures[[#This Row],[Sampling Feature Type]]="Specimen",MAX(Q$12:Q57)+1,"")</f>
        <v/>
      </c>
      <c r="R58" s="10"/>
      <c r="S58" s="11"/>
      <c r="T58" s="40"/>
    </row>
    <row r="59" spans="1:20" x14ac:dyDescent="0.25">
      <c r="A59" s="151"/>
      <c r="B59" s="11"/>
      <c r="C59" s="11"/>
      <c r="D59" s="11"/>
      <c r="E59" s="12"/>
      <c r="F59" s="54"/>
      <c r="G59" s="13"/>
      <c r="H59" s="13"/>
      <c r="I59" s="13"/>
      <c r="J59" s="138" t="str">
        <f>IF(SamplingFeatures[[#This Row],[Feature IGSN]]&lt;&gt;"",MAX(J$12:J58)+1,"")</f>
        <v/>
      </c>
      <c r="K59" s="49"/>
      <c r="L59" s="58" t="str">
        <f>IF(SamplingFeatures[[#This Row],[Sampling Feature Type]]="Site",MAX(L$12:L58)+1,"")</f>
        <v/>
      </c>
      <c r="M59" s="18"/>
      <c r="N59" s="11"/>
      <c r="O59" s="40"/>
      <c r="Q59" s="58" t="str">
        <f>IF(SamplingFeatures[[#This Row],[Sampling Feature Type]]="Specimen",MAX(Q$12:Q58)+1,"")</f>
        <v/>
      </c>
      <c r="R59" s="10"/>
      <c r="S59" s="11"/>
      <c r="T59" s="40"/>
    </row>
    <row r="60" spans="1:20" x14ac:dyDescent="0.25">
      <c r="A60" s="151"/>
      <c r="B60" s="11"/>
      <c r="C60" s="11"/>
      <c r="D60" s="11"/>
      <c r="E60" s="12"/>
      <c r="F60" s="54"/>
      <c r="G60" s="13"/>
      <c r="H60" s="13"/>
      <c r="I60" s="13"/>
      <c r="J60" s="138" t="str">
        <f>IF(SamplingFeatures[[#This Row],[Feature IGSN]]&lt;&gt;"",MAX(J$12:J59)+1,"")</f>
        <v/>
      </c>
      <c r="K60" s="49"/>
      <c r="L60" s="58" t="str">
        <f>IF(SamplingFeatures[[#This Row],[Sampling Feature Type]]="Site",MAX(L$12:L59)+1,"")</f>
        <v/>
      </c>
      <c r="M60" s="18"/>
      <c r="N60" s="11"/>
      <c r="O60" s="40"/>
      <c r="Q60" s="58" t="str">
        <f>IF(SamplingFeatures[[#This Row],[Sampling Feature Type]]="Specimen",MAX(Q$12:Q59)+1,"")</f>
        <v/>
      </c>
      <c r="R60" s="10"/>
      <c r="S60" s="11"/>
      <c r="T60" s="40"/>
    </row>
    <row r="61" spans="1:20" x14ac:dyDescent="0.25">
      <c r="A61" s="151"/>
      <c r="B61" s="11"/>
      <c r="C61" s="11"/>
      <c r="D61" s="11"/>
      <c r="E61" s="12"/>
      <c r="F61" s="54"/>
      <c r="G61" s="13"/>
      <c r="H61" s="13"/>
      <c r="I61" s="13"/>
      <c r="J61" s="138" t="str">
        <f>IF(SamplingFeatures[[#This Row],[Feature IGSN]]&lt;&gt;"",MAX(J$12:J60)+1,"")</f>
        <v/>
      </c>
      <c r="K61" s="49"/>
      <c r="L61" s="58" t="str">
        <f>IF(SamplingFeatures[[#This Row],[Sampling Feature Type]]="Site",MAX(L$12:L60)+1,"")</f>
        <v/>
      </c>
      <c r="M61" s="18"/>
      <c r="N61" s="11"/>
      <c r="O61" s="40"/>
      <c r="Q61" s="58" t="str">
        <f>IF(SamplingFeatures[[#This Row],[Sampling Feature Type]]="Specimen",MAX(Q$12:Q60)+1,"")</f>
        <v/>
      </c>
      <c r="R61" s="10"/>
      <c r="S61" s="11"/>
      <c r="T61" s="40"/>
    </row>
    <row r="62" spans="1:20" ht="15.75" thickBot="1" x14ac:dyDescent="0.3">
      <c r="A62" s="152"/>
      <c r="B62" s="15"/>
      <c r="C62" s="15"/>
      <c r="D62" s="15"/>
      <c r="E62" s="16"/>
      <c r="F62" s="55"/>
      <c r="G62" s="17"/>
      <c r="H62" s="17"/>
      <c r="I62" s="17"/>
      <c r="J62" s="139" t="str">
        <f>IF(SamplingFeatures[[#This Row],[Feature IGSN]]&lt;&gt;"",MAX(J$12:J61)+1,"")</f>
        <v/>
      </c>
      <c r="K62" s="49"/>
      <c r="L62" s="58" t="str">
        <f>IF(SamplingFeatures[[#This Row],[Sampling Feature Type]]="Site",MAX(L$12:L61)+1,"")</f>
        <v/>
      </c>
      <c r="M62" s="14"/>
      <c r="N62" s="15"/>
      <c r="O62" s="42"/>
      <c r="Q62" s="60" t="str">
        <f>IF(SamplingFeatures[[#This Row],[Sampling Feature Type]]="Specimen",MAX(Q$12:Q61)+1,"")</f>
        <v/>
      </c>
      <c r="R62" s="14"/>
      <c r="S62" s="15"/>
      <c r="T62" s="42"/>
    </row>
  </sheetData>
  <sheetProtection password="CA31" sheet="1" objects="1" scenarios="1"/>
  <mergeCells count="3">
    <mergeCell ref="A8:B8"/>
    <mergeCell ref="L11:O11"/>
    <mergeCell ref="Q11:T11"/>
  </mergeCells>
  <conditionalFormatting sqref="B9">
    <cfRule type="expression" dxfId="53" priority="19">
      <formula>AND(COUNTIF(ElevationDatumCV,$B$9)=0,$B$9&lt;&gt;"")</formula>
    </cfRule>
  </conditionalFormatting>
  <conditionalFormatting sqref="B10">
    <cfRule type="expression" dxfId="52" priority="18">
      <formula>AND(COUNTIF(LatLonDatumNames,$B$10)=0,$B$10&lt;&gt;"")</formula>
    </cfRule>
  </conditionalFormatting>
  <conditionalFormatting sqref="B13:B62">
    <cfRule type="expression" dxfId="51" priority="17">
      <formula>AND(COUNTIF(SamplingFeatureTypeCV,$B13)=0,$B13&lt;&gt;"")</formula>
    </cfRule>
  </conditionalFormatting>
  <conditionalFormatting sqref="C13:C62">
    <cfRule type="expression" dxfId="50" priority="16">
      <formula>AND(COUNTIF(SamplingFeatureGeotypeCV,$C13)=0,$C13&lt;&gt;"")</formula>
    </cfRule>
  </conditionalFormatting>
  <conditionalFormatting sqref="B13:D62">
    <cfRule type="expression" dxfId="49" priority="15">
      <formula>AND(COUNTA($A13:$I13)&gt;0,B13="")</formula>
    </cfRule>
  </conditionalFormatting>
  <conditionalFormatting sqref="A14:I62">
    <cfRule type="expression" dxfId="48" priority="14">
      <formula>AND(COUNTA($A13:$I13)=0,A14&lt;&gt;"")</formula>
    </cfRule>
  </conditionalFormatting>
  <conditionalFormatting sqref="H13:H62">
    <cfRule type="expression" dxfId="47" priority="13">
      <formula>ISTEXT($H13)</formula>
    </cfRule>
  </conditionalFormatting>
  <conditionalFormatting sqref="D13:D62">
    <cfRule type="duplicateValues" dxfId="46" priority="12"/>
  </conditionalFormatting>
  <conditionalFormatting sqref="I13:I62">
    <cfRule type="duplicateValues" dxfId="45" priority="11"/>
  </conditionalFormatting>
  <conditionalFormatting sqref="A13:A62">
    <cfRule type="duplicateValues" dxfId="44" priority="10"/>
  </conditionalFormatting>
  <conditionalFormatting sqref="N13:O62">
    <cfRule type="expression" dxfId="43" priority="9">
      <formula>ISTEXT(N13)</formula>
    </cfRule>
  </conditionalFormatting>
  <conditionalFormatting sqref="M13:M62">
    <cfRule type="expression" dxfId="42" priority="8">
      <formula>AND(COUNTIF(SiteTypeCV,$M13)=0,$M13&lt;&gt;"")</formula>
    </cfRule>
  </conditionalFormatting>
  <conditionalFormatting sqref="M13:O62">
    <cfRule type="expression" dxfId="41" priority="6">
      <formula>AND($B13&lt;&gt;"Site",M13&lt;&gt;"")</formula>
    </cfRule>
    <cfRule type="expression" dxfId="40" priority="7">
      <formula>AND($B13="Site",M13="")</formula>
    </cfRule>
  </conditionalFormatting>
  <conditionalFormatting sqref="R13:R62">
    <cfRule type="expression" dxfId="39" priority="3">
      <formula>AND(COUNTIF(SpecimenTypeCV,$R13)=0,$R13&lt;&gt;"")</formula>
    </cfRule>
  </conditionalFormatting>
  <conditionalFormatting sqref="S13:S62">
    <cfRule type="expression" dxfId="38" priority="2">
      <formula>AND(COUNTIF(SampledMediumCV,$S13)=0,$S13&lt;&gt;"")</formula>
    </cfRule>
  </conditionalFormatting>
  <conditionalFormatting sqref="T13:T62">
    <cfRule type="expression" dxfId="37" priority="1">
      <formula>AND(COUNTIF(Boolean,$T13)=0,$T13&lt;&gt;"")</formula>
    </cfRule>
  </conditionalFormatting>
  <conditionalFormatting sqref="R13:T62">
    <cfRule type="expression" dxfId="36" priority="47">
      <formula>AND($B13&lt;&gt;"Specimen",R13&lt;&gt;"")</formula>
    </cfRule>
    <cfRule type="expression" dxfId="35" priority="48">
      <formula>AND($B13="Specimen",R13="")</formula>
    </cfRule>
  </conditionalFormatting>
  <dataValidations count="10">
    <dataValidation type="list" allowBlank="1" showInputMessage="1" showErrorMessage="1" sqref="B9">
      <formula1>ElevationDatumCV</formula1>
    </dataValidation>
    <dataValidation type="list" allowBlank="1" showInputMessage="1" showErrorMessage="1" sqref="B10">
      <formula1>LatLonDatumNames</formula1>
    </dataValidation>
    <dataValidation type="list" allowBlank="1" showInputMessage="1" showErrorMessage="1" sqref="B13:B62">
      <formula1>SamplingFeatureTypeCV</formula1>
    </dataValidation>
    <dataValidation type="list" allowBlank="1" showInputMessage="1" showErrorMessage="1" sqref="C13:C62">
      <formula1>SamplingFeatureGeotypeCV</formula1>
    </dataValidation>
    <dataValidation type="list" allowBlank="1" showInputMessage="1" showErrorMessage="1" errorTitle="Invalid Value" error="This column only applies to sampling features that are either sites or specimens." sqref="M13:M62">
      <formula1>IF(B13="Site",SiteTypeCV,"")</formula1>
    </dataValidation>
    <dataValidation allowBlank="1" showInputMessage="1" showErrorMessage="1" errorTitle="Invalid Value" error="This column only applies to sampling features that are either sites or specimens." sqref="L13:L62 Q13"/>
    <dataValidation type="list" allowBlank="1" showInputMessage="1" showErrorMessage="1" sqref="R13:R19 R21:R62">
      <formula1>IF(B13="Specimen",SpecimenTypeCV,"")</formula1>
    </dataValidation>
    <dataValidation type="list" allowBlank="1" showInputMessage="1" showErrorMessage="1" sqref="T13:T62">
      <formula1>IF(B13="Specimen",Boolean,"")</formula1>
    </dataValidation>
    <dataValidation type="list" allowBlank="1" showInputMessage="1" showErrorMessage="1" sqref="S13:S62">
      <formula1>IF(B13="Specimen",SampledMediumCV,"")</formula1>
    </dataValidation>
    <dataValidation type="list" allowBlank="1" showInputMessage="1" showErrorMessage="1" sqref="R20">
      <formula1>IF(B20="Specimen",SpecimenTypeCV,"")</formula1>
    </dataValidation>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39"/>
  <sheetViews>
    <sheetView topLeftCell="A4" workbookViewId="0">
      <selection activeCell="H41" sqref="H41"/>
    </sheetView>
  </sheetViews>
  <sheetFormatPr defaultRowHeight="15" x14ac:dyDescent="0.25"/>
  <cols>
    <col min="1" max="1" width="19.42578125" style="5" customWidth="1"/>
    <col min="2" max="2" width="18.5703125" bestFit="1" customWidth="1"/>
    <col min="3" max="3" width="14.140625" bestFit="1" customWidth="1"/>
    <col min="4" max="4" width="12.7109375" bestFit="1" customWidth="1"/>
    <col min="5" max="5" width="14.140625" bestFit="1" customWidth="1"/>
    <col min="6" max="6" width="12.7109375" bestFit="1" customWidth="1"/>
    <col min="7" max="7" width="14.140625" bestFit="1" customWidth="1"/>
    <col min="8" max="8" width="12.7109375" bestFit="1" customWidth="1"/>
  </cols>
  <sheetData>
    <row r="1" spans="1:8" s="27" customFormat="1" x14ac:dyDescent="0.25">
      <c r="A1" s="27" t="s">
        <v>1404</v>
      </c>
    </row>
    <row r="2" spans="1:8" s="27" customFormat="1" x14ac:dyDescent="0.25">
      <c r="A2" s="27" t="s">
        <v>1335</v>
      </c>
    </row>
    <row r="3" spans="1:8" s="27" customFormat="1" x14ac:dyDescent="0.25">
      <c r="A3" s="27" t="s">
        <v>1336</v>
      </c>
    </row>
    <row r="4" spans="1:8" s="27" customFormat="1" x14ac:dyDescent="0.25">
      <c r="A4" s="27" t="s">
        <v>1406</v>
      </c>
    </row>
    <row r="5" spans="1:8" s="27" customFormat="1" x14ac:dyDescent="0.25">
      <c r="A5" s="27" t="s">
        <v>1405</v>
      </c>
    </row>
    <row r="6" spans="1:8" s="27" customFormat="1" x14ac:dyDescent="0.25"/>
    <row r="7" spans="1:8" s="27" customFormat="1" ht="15.75" thickBot="1" x14ac:dyDescent="0.3">
      <c r="A7" s="205" t="s">
        <v>1394</v>
      </c>
      <c r="B7" s="206" t="s">
        <v>227</v>
      </c>
      <c r="C7" s="206" t="s">
        <v>228</v>
      </c>
      <c r="D7" s="206" t="s">
        <v>229</v>
      </c>
      <c r="E7" s="206" t="s">
        <v>230</v>
      </c>
      <c r="F7" s="206" t="s">
        <v>231</v>
      </c>
      <c r="G7" s="206" t="s">
        <v>232</v>
      </c>
      <c r="H7" s="207" t="s">
        <v>233</v>
      </c>
    </row>
    <row r="8" spans="1:8" ht="15.75" thickTop="1" x14ac:dyDescent="0.25">
      <c r="A8" s="196"/>
      <c r="B8" s="197"/>
      <c r="C8" s="197"/>
      <c r="D8" s="197"/>
      <c r="E8" s="198"/>
      <c r="F8" s="198"/>
      <c r="G8" s="198"/>
      <c r="H8" s="199"/>
    </row>
    <row r="9" spans="1:8" x14ac:dyDescent="0.25">
      <c r="A9" s="200"/>
      <c r="B9" s="197"/>
      <c r="C9" s="197"/>
      <c r="D9" s="197"/>
      <c r="E9" s="198"/>
      <c r="F9" s="198"/>
      <c r="G9" s="198"/>
      <c r="H9" s="199"/>
    </row>
    <row r="10" spans="1:8" x14ac:dyDescent="0.25">
      <c r="A10" s="200"/>
      <c r="B10" s="197"/>
      <c r="C10" s="197"/>
      <c r="D10" s="197"/>
      <c r="E10" s="198"/>
      <c r="F10" s="198"/>
      <c r="G10" s="198"/>
      <c r="H10" s="199"/>
    </row>
    <row r="11" spans="1:8" x14ac:dyDescent="0.25">
      <c r="A11" s="200"/>
      <c r="B11" s="197"/>
      <c r="C11" s="197"/>
      <c r="D11" s="197"/>
      <c r="E11" s="198"/>
      <c r="F11" s="198"/>
      <c r="G11" s="198"/>
      <c r="H11" s="199"/>
    </row>
    <row r="12" spans="1:8" x14ac:dyDescent="0.25">
      <c r="A12" s="200"/>
      <c r="B12" s="197"/>
      <c r="C12" s="197"/>
      <c r="D12" s="197"/>
      <c r="E12" s="198"/>
      <c r="F12" s="198"/>
      <c r="G12" s="198"/>
      <c r="H12" s="199"/>
    </row>
    <row r="13" spans="1:8" x14ac:dyDescent="0.25">
      <c r="A13" s="200"/>
      <c r="B13" s="197"/>
      <c r="C13" s="197"/>
      <c r="D13" s="197"/>
      <c r="E13" s="198"/>
      <c r="F13" s="198"/>
      <c r="G13" s="198"/>
      <c r="H13" s="199"/>
    </row>
    <row r="14" spans="1:8" x14ac:dyDescent="0.25">
      <c r="A14" s="200"/>
      <c r="B14" s="197"/>
      <c r="C14" s="197"/>
      <c r="D14" s="197"/>
      <c r="E14" s="198"/>
      <c r="F14" s="198"/>
      <c r="G14" s="198"/>
      <c r="H14" s="199"/>
    </row>
    <row r="15" spans="1:8" x14ac:dyDescent="0.25">
      <c r="A15" s="200"/>
      <c r="B15" s="197"/>
      <c r="C15" s="197"/>
      <c r="D15" s="197"/>
      <c r="E15" s="198"/>
      <c r="F15" s="198"/>
      <c r="G15" s="198"/>
      <c r="H15" s="199"/>
    </row>
    <row r="16" spans="1:8" x14ac:dyDescent="0.25">
      <c r="A16" s="200"/>
      <c r="B16" s="197"/>
      <c r="C16" s="197"/>
      <c r="D16" s="197"/>
      <c r="E16" s="198"/>
      <c r="F16" s="198"/>
      <c r="G16" s="198"/>
      <c r="H16" s="199"/>
    </row>
    <row r="17" spans="1:8" x14ac:dyDescent="0.25">
      <c r="A17" s="200"/>
      <c r="B17" s="197"/>
      <c r="C17" s="197"/>
      <c r="D17" s="197"/>
      <c r="E17" s="198"/>
      <c r="F17" s="198"/>
      <c r="G17" s="198"/>
      <c r="H17" s="199"/>
    </row>
    <row r="18" spans="1:8" x14ac:dyDescent="0.25">
      <c r="A18" s="200"/>
      <c r="B18" s="197"/>
      <c r="C18" s="197"/>
      <c r="D18" s="197"/>
      <c r="E18" s="198"/>
      <c r="F18" s="198"/>
      <c r="G18" s="198"/>
      <c r="H18" s="199"/>
    </row>
    <row r="19" spans="1:8" x14ac:dyDescent="0.25">
      <c r="A19" s="200"/>
      <c r="B19" s="197"/>
      <c r="C19" s="197"/>
      <c r="D19" s="197"/>
      <c r="E19" s="198"/>
      <c r="F19" s="198"/>
      <c r="G19" s="198"/>
      <c r="H19" s="199"/>
    </row>
    <row r="20" spans="1:8" x14ac:dyDescent="0.25">
      <c r="A20" s="200"/>
      <c r="B20" s="197"/>
      <c r="C20" s="197"/>
      <c r="D20" s="197"/>
      <c r="E20" s="198"/>
      <c r="F20" s="198"/>
      <c r="G20" s="198"/>
      <c r="H20" s="199"/>
    </row>
    <row r="21" spans="1:8" x14ac:dyDescent="0.25">
      <c r="A21" s="200"/>
      <c r="B21" s="197"/>
      <c r="C21" s="197"/>
      <c r="D21" s="197"/>
      <c r="E21" s="198"/>
      <c r="F21" s="198"/>
      <c r="G21" s="198"/>
      <c r="H21" s="199"/>
    </row>
    <row r="22" spans="1:8" x14ac:dyDescent="0.25">
      <c r="A22" s="200"/>
      <c r="B22" s="197"/>
      <c r="C22" s="197"/>
      <c r="D22" s="197"/>
      <c r="E22" s="198"/>
      <c r="F22" s="198"/>
      <c r="G22" s="198"/>
      <c r="H22" s="199"/>
    </row>
    <row r="23" spans="1:8" x14ac:dyDescent="0.25">
      <c r="A23" s="200"/>
      <c r="B23" s="197"/>
      <c r="C23" s="197"/>
      <c r="D23" s="197"/>
      <c r="E23" s="198"/>
      <c r="F23" s="198"/>
      <c r="G23" s="198"/>
      <c r="H23" s="199"/>
    </row>
    <row r="24" spans="1:8" x14ac:dyDescent="0.25">
      <c r="A24" s="200"/>
      <c r="B24" s="197"/>
      <c r="C24" s="197"/>
      <c r="D24" s="197"/>
      <c r="E24" s="198"/>
      <c r="F24" s="198"/>
      <c r="G24" s="198"/>
      <c r="H24" s="199"/>
    </row>
    <row r="25" spans="1:8" x14ac:dyDescent="0.25">
      <c r="A25" s="200"/>
      <c r="B25" s="197"/>
      <c r="C25" s="197"/>
      <c r="D25" s="197"/>
      <c r="E25" s="198"/>
      <c r="F25" s="198"/>
      <c r="G25" s="198"/>
      <c r="H25" s="199"/>
    </row>
    <row r="26" spans="1:8" x14ac:dyDescent="0.25">
      <c r="A26" s="200"/>
      <c r="B26" s="197"/>
      <c r="C26" s="197"/>
      <c r="D26" s="197"/>
      <c r="E26" s="198"/>
      <c r="F26" s="198"/>
      <c r="G26" s="198"/>
      <c r="H26" s="199"/>
    </row>
    <row r="27" spans="1:8" x14ac:dyDescent="0.25">
      <c r="A27" s="200"/>
      <c r="B27" s="197"/>
      <c r="C27" s="197"/>
      <c r="D27" s="197"/>
      <c r="E27" s="198"/>
      <c r="F27" s="198"/>
      <c r="G27" s="198"/>
      <c r="H27" s="199"/>
    </row>
    <row r="28" spans="1:8" x14ac:dyDescent="0.25">
      <c r="A28" s="200"/>
      <c r="B28" s="197"/>
      <c r="C28" s="197"/>
      <c r="D28" s="197"/>
      <c r="E28" s="198"/>
      <c r="F28" s="198"/>
      <c r="G28" s="198"/>
      <c r="H28" s="199"/>
    </row>
    <row r="29" spans="1:8" x14ac:dyDescent="0.25">
      <c r="A29" s="200"/>
      <c r="B29" s="197"/>
      <c r="C29" s="197"/>
      <c r="D29" s="197"/>
      <c r="E29" s="198"/>
      <c r="F29" s="198"/>
      <c r="G29" s="198"/>
      <c r="H29" s="199"/>
    </row>
    <row r="30" spans="1:8" x14ac:dyDescent="0.25">
      <c r="A30" s="200"/>
      <c r="B30" s="197"/>
      <c r="C30" s="197"/>
      <c r="D30" s="197"/>
      <c r="E30" s="198"/>
      <c r="F30" s="198"/>
      <c r="G30" s="198"/>
      <c r="H30" s="199"/>
    </row>
    <row r="31" spans="1:8" x14ac:dyDescent="0.25">
      <c r="A31" s="200"/>
      <c r="B31" s="197"/>
      <c r="C31" s="197"/>
      <c r="D31" s="197"/>
      <c r="E31" s="198"/>
      <c r="F31" s="198"/>
      <c r="G31" s="198"/>
      <c r="H31" s="199"/>
    </row>
    <row r="32" spans="1:8" x14ac:dyDescent="0.25">
      <c r="A32" s="200"/>
      <c r="B32" s="197"/>
      <c r="C32" s="197"/>
      <c r="D32" s="197"/>
      <c r="E32" s="198"/>
      <c r="F32" s="198"/>
      <c r="G32" s="198"/>
      <c r="H32" s="199"/>
    </row>
    <row r="33" spans="1:8" x14ac:dyDescent="0.25">
      <c r="A33" s="200"/>
      <c r="B33" s="197"/>
      <c r="C33" s="197"/>
      <c r="D33" s="197"/>
      <c r="E33" s="198"/>
      <c r="F33" s="198"/>
      <c r="G33" s="198"/>
      <c r="H33" s="199"/>
    </row>
    <row r="34" spans="1:8" x14ac:dyDescent="0.25">
      <c r="A34" s="200"/>
      <c r="B34" s="197"/>
      <c r="C34" s="197"/>
      <c r="D34" s="197"/>
      <c r="E34" s="198"/>
      <c r="F34" s="198"/>
      <c r="G34" s="198"/>
      <c r="H34" s="199"/>
    </row>
    <row r="35" spans="1:8" x14ac:dyDescent="0.25">
      <c r="A35" s="200"/>
      <c r="B35" s="197"/>
      <c r="C35" s="197"/>
      <c r="D35" s="197"/>
      <c r="E35" s="198"/>
      <c r="F35" s="198"/>
      <c r="G35" s="198"/>
      <c r="H35" s="199"/>
    </row>
    <row r="36" spans="1:8" x14ac:dyDescent="0.25">
      <c r="A36" s="200"/>
      <c r="B36" s="197"/>
      <c r="C36" s="197"/>
      <c r="D36" s="197"/>
      <c r="E36" s="198"/>
      <c r="F36" s="198"/>
      <c r="G36" s="198"/>
      <c r="H36" s="199"/>
    </row>
    <row r="37" spans="1:8" x14ac:dyDescent="0.25">
      <c r="A37" s="200"/>
      <c r="B37" s="197"/>
      <c r="C37" s="197"/>
      <c r="D37" s="197"/>
      <c r="E37" s="198"/>
      <c r="F37" s="198"/>
      <c r="G37" s="198"/>
      <c r="H37" s="199"/>
    </row>
    <row r="38" spans="1:8" x14ac:dyDescent="0.25">
      <c r="A38" s="200"/>
      <c r="B38" s="197"/>
      <c r="C38" s="197"/>
      <c r="D38" s="197"/>
      <c r="E38" s="198"/>
      <c r="F38" s="198"/>
      <c r="G38" s="198"/>
      <c r="H38" s="199"/>
    </row>
    <row r="39" spans="1:8" x14ac:dyDescent="0.25">
      <c r="A39" s="201"/>
      <c r="B39" s="202"/>
      <c r="C39" s="202"/>
      <c r="D39" s="202"/>
      <c r="E39" s="203"/>
      <c r="F39" s="203"/>
      <c r="G39" s="203"/>
      <c r="H39" s="204"/>
    </row>
  </sheetData>
  <sheetProtection password="CA31" sheet="1" objects="1" scenarios="1"/>
  <conditionalFormatting sqref="A8:D39">
    <cfRule type="expression" dxfId="34" priority="8">
      <formula>AND(COUNTA($A8:$H8)&gt;0,A8="")</formula>
    </cfRule>
  </conditionalFormatting>
  <conditionalFormatting sqref="B8:B39">
    <cfRule type="expression" dxfId="33" priority="3">
      <formula>AND(COUNTIF(SpatialOffsetTypeCV,$B8)=0,$B8&lt;&gt;"")</formula>
    </cfRule>
  </conditionalFormatting>
  <conditionalFormatting sqref="C8:C39 E8:E39 G8:G39">
    <cfRule type="expression" dxfId="32" priority="5">
      <formula>ISTEXT(C8)</formula>
    </cfRule>
  </conditionalFormatting>
  <conditionalFormatting sqref="A9:H39">
    <cfRule type="expression" dxfId="31" priority="2">
      <formula>AND(COUNTA($A8:$H8)=0,A9&lt;&gt;"")</formula>
    </cfRule>
  </conditionalFormatting>
  <conditionalFormatting sqref="A8:A39">
    <cfRule type="duplicateValues" dxfId="30" priority="1"/>
  </conditionalFormatting>
  <dataValidations count="1">
    <dataValidation type="list" allowBlank="1" showInputMessage="1" showErrorMessage="1" sqref="B8:B39">
      <formula1>SpatialOffsetTypeCV</formula1>
    </dataValidation>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G40"/>
  <sheetViews>
    <sheetView workbookViewId="0">
      <selection activeCell="E12" sqref="E12"/>
    </sheetView>
  </sheetViews>
  <sheetFormatPr defaultRowHeight="15" x14ac:dyDescent="0.25"/>
  <cols>
    <col min="1" max="1" width="27.85546875" style="7" customWidth="1"/>
    <col min="2" max="2" width="17" style="7" bestFit="1" customWidth="1"/>
    <col min="3" max="3" width="28.85546875" style="7" bestFit="1" customWidth="1"/>
    <col min="4" max="4" width="18.85546875" style="7" bestFit="1" customWidth="1"/>
    <col min="5" max="5" width="15.28515625" style="7" bestFit="1" customWidth="1"/>
    <col min="6" max="6" width="12.7109375" style="7" bestFit="1" customWidth="1"/>
    <col min="7" max="16384" width="9.140625" style="7"/>
  </cols>
  <sheetData>
    <row r="1" spans="1:7" x14ac:dyDescent="0.25">
      <c r="A1" s="27" t="s">
        <v>1346</v>
      </c>
    </row>
    <row r="2" spans="1:7" x14ac:dyDescent="0.25">
      <c r="A2" s="27" t="s">
        <v>1395</v>
      </c>
    </row>
    <row r="3" spans="1:7" ht="15.75" thickBot="1" x14ac:dyDescent="0.3">
      <c r="A3" s="7" t="s">
        <v>1335</v>
      </c>
    </row>
    <row r="4" spans="1:7" ht="15.75" thickBot="1" x14ac:dyDescent="0.3">
      <c r="A4" s="27" t="s">
        <v>1336</v>
      </c>
      <c r="E4" s="28" t="s">
        <v>1196</v>
      </c>
      <c r="F4" s="29">
        <f>COUNTA(RelatedFeatures[First Sampling Feature Code])</f>
        <v>0</v>
      </c>
    </row>
    <row r="5" spans="1:7" x14ac:dyDescent="0.25">
      <c r="A5" s="27" t="s">
        <v>1347</v>
      </c>
      <c r="E5" s="163"/>
      <c r="F5" s="163"/>
    </row>
    <row r="6" spans="1:7" ht="15.75" thickBot="1" x14ac:dyDescent="0.3">
      <c r="E6"/>
      <c r="F6"/>
      <c r="G6"/>
    </row>
    <row r="7" spans="1:7" x14ac:dyDescent="0.25">
      <c r="A7" s="214" t="s">
        <v>242</v>
      </c>
      <c r="B7" s="221"/>
      <c r="C7" s="221"/>
      <c r="D7" s="215"/>
      <c r="E7"/>
      <c r="F7"/>
      <c r="G7"/>
    </row>
    <row r="8" spans="1:7" ht="15.75" thickBot="1" x14ac:dyDescent="0.3">
      <c r="A8" s="81" t="s">
        <v>239</v>
      </c>
      <c r="B8" s="65" t="s">
        <v>240</v>
      </c>
      <c r="C8" s="65" t="s">
        <v>241</v>
      </c>
      <c r="D8" s="82" t="s">
        <v>1394</v>
      </c>
      <c r="E8"/>
      <c r="F8"/>
      <c r="G8"/>
    </row>
    <row r="9" spans="1:7" ht="15.75" thickTop="1" x14ac:dyDescent="0.25">
      <c r="A9" s="74"/>
      <c r="B9" s="75"/>
      <c r="C9" s="75"/>
      <c r="D9" s="77"/>
      <c r="E9"/>
      <c r="F9"/>
      <c r="G9"/>
    </row>
    <row r="10" spans="1:7" x14ac:dyDescent="0.25">
      <c r="A10" s="74"/>
      <c r="B10" s="75"/>
      <c r="C10" s="75"/>
      <c r="D10" s="77"/>
    </row>
    <row r="11" spans="1:7" x14ac:dyDescent="0.25">
      <c r="A11" s="74"/>
      <c r="B11" s="75"/>
      <c r="C11" s="75"/>
      <c r="D11" s="77"/>
    </row>
    <row r="12" spans="1:7" x14ac:dyDescent="0.25">
      <c r="A12" s="74"/>
      <c r="B12" s="75"/>
      <c r="C12" s="75"/>
      <c r="D12" s="77"/>
    </row>
    <row r="13" spans="1:7" x14ac:dyDescent="0.25">
      <c r="A13" s="74"/>
      <c r="B13" s="75"/>
      <c r="C13" s="75"/>
      <c r="D13" s="77"/>
    </row>
    <row r="14" spans="1:7" x14ac:dyDescent="0.25">
      <c r="A14" s="74"/>
      <c r="B14" s="75"/>
      <c r="C14" s="75"/>
      <c r="D14" s="77"/>
    </row>
    <row r="15" spans="1:7" x14ac:dyDescent="0.25">
      <c r="A15" s="74"/>
      <c r="B15" s="75"/>
      <c r="C15" s="75"/>
      <c r="D15" s="77"/>
    </row>
    <row r="16" spans="1:7" x14ac:dyDescent="0.25">
      <c r="A16" s="74"/>
      <c r="B16" s="75"/>
      <c r="C16" s="75"/>
      <c r="D16" s="77"/>
    </row>
    <row r="17" spans="1:4" x14ac:dyDescent="0.25">
      <c r="A17" s="74"/>
      <c r="B17" s="75"/>
      <c r="C17" s="75"/>
      <c r="D17" s="77"/>
    </row>
    <row r="18" spans="1:4" x14ac:dyDescent="0.25">
      <c r="A18" s="74"/>
      <c r="B18" s="75"/>
      <c r="C18" s="75"/>
      <c r="D18" s="77"/>
    </row>
    <row r="19" spans="1:4" x14ac:dyDescent="0.25">
      <c r="A19" s="74"/>
      <c r="B19" s="75"/>
      <c r="C19" s="75"/>
      <c r="D19" s="77"/>
    </row>
    <row r="20" spans="1:4" x14ac:dyDescent="0.25">
      <c r="A20" s="74"/>
      <c r="B20" s="75"/>
      <c r="C20" s="75"/>
      <c r="D20" s="77"/>
    </row>
    <row r="21" spans="1:4" x14ac:dyDescent="0.25">
      <c r="A21" s="74"/>
      <c r="B21" s="75"/>
      <c r="C21" s="75"/>
      <c r="D21" s="77"/>
    </row>
    <row r="22" spans="1:4" x14ac:dyDescent="0.25">
      <c r="A22" s="74"/>
      <c r="B22" s="75"/>
      <c r="C22" s="75"/>
      <c r="D22" s="77"/>
    </row>
    <row r="23" spans="1:4" x14ac:dyDescent="0.25">
      <c r="A23" s="74"/>
      <c r="B23" s="75"/>
      <c r="C23" s="75"/>
      <c r="D23" s="77"/>
    </row>
    <row r="24" spans="1:4" x14ac:dyDescent="0.25">
      <c r="A24" s="74"/>
      <c r="B24" s="75"/>
      <c r="C24" s="75"/>
      <c r="D24" s="77"/>
    </row>
    <row r="25" spans="1:4" x14ac:dyDescent="0.25">
      <c r="A25" s="74"/>
      <c r="B25" s="75"/>
      <c r="C25" s="75"/>
      <c r="D25" s="77"/>
    </row>
    <row r="26" spans="1:4" x14ac:dyDescent="0.25">
      <c r="A26" s="74"/>
      <c r="B26" s="75"/>
      <c r="C26" s="75"/>
      <c r="D26" s="77"/>
    </row>
    <row r="27" spans="1:4" x14ac:dyDescent="0.25">
      <c r="A27" s="74"/>
      <c r="B27" s="75"/>
      <c r="C27" s="75"/>
      <c r="D27" s="77"/>
    </row>
    <row r="28" spans="1:4" x14ac:dyDescent="0.25">
      <c r="A28" s="74"/>
      <c r="B28" s="75"/>
      <c r="C28" s="75"/>
      <c r="D28" s="77"/>
    </row>
    <row r="29" spans="1:4" x14ac:dyDescent="0.25">
      <c r="A29" s="74"/>
      <c r="B29" s="75"/>
      <c r="C29" s="75"/>
      <c r="D29" s="77"/>
    </row>
    <row r="30" spans="1:4" x14ac:dyDescent="0.25">
      <c r="A30" s="74"/>
      <c r="B30" s="75"/>
      <c r="C30" s="75"/>
      <c r="D30" s="77"/>
    </row>
    <row r="31" spans="1:4" x14ac:dyDescent="0.25">
      <c r="A31" s="74"/>
      <c r="B31" s="75"/>
      <c r="C31" s="75"/>
      <c r="D31" s="77"/>
    </row>
    <row r="32" spans="1:4" x14ac:dyDescent="0.25">
      <c r="A32" s="74"/>
      <c r="B32" s="75"/>
      <c r="C32" s="75"/>
      <c r="D32" s="77"/>
    </row>
    <row r="33" spans="1:4" x14ac:dyDescent="0.25">
      <c r="A33" s="74"/>
      <c r="B33" s="75"/>
      <c r="C33" s="75"/>
      <c r="D33" s="77"/>
    </row>
    <row r="34" spans="1:4" x14ac:dyDescent="0.25">
      <c r="A34" s="74"/>
      <c r="B34" s="75"/>
      <c r="C34" s="75"/>
      <c r="D34" s="77"/>
    </row>
    <row r="35" spans="1:4" x14ac:dyDescent="0.25">
      <c r="A35" s="74"/>
      <c r="B35" s="75"/>
      <c r="C35" s="75"/>
      <c r="D35" s="77"/>
    </row>
    <row r="36" spans="1:4" x14ac:dyDescent="0.25">
      <c r="A36" s="74"/>
      <c r="B36" s="75"/>
      <c r="C36" s="75"/>
      <c r="D36" s="77"/>
    </row>
    <row r="37" spans="1:4" x14ac:dyDescent="0.25">
      <c r="A37" s="74"/>
      <c r="B37" s="75"/>
      <c r="C37" s="75"/>
      <c r="D37" s="77"/>
    </row>
    <row r="38" spans="1:4" x14ac:dyDescent="0.25">
      <c r="A38" s="74"/>
      <c r="B38" s="75"/>
      <c r="C38" s="75"/>
      <c r="D38" s="77"/>
    </row>
    <row r="39" spans="1:4" x14ac:dyDescent="0.25">
      <c r="A39" s="74"/>
      <c r="B39" s="75"/>
      <c r="C39" s="75"/>
      <c r="D39" s="77"/>
    </row>
    <row r="40" spans="1:4" ht="15.75" thickBot="1" x14ac:dyDescent="0.3">
      <c r="A40" s="78"/>
      <c r="B40" s="79"/>
      <c r="C40" s="79"/>
      <c r="D40" s="80"/>
    </row>
  </sheetData>
  <sheetProtection password="CA31" sheet="1" objects="1" scenarios="1"/>
  <mergeCells count="1">
    <mergeCell ref="A7:D7"/>
  </mergeCells>
  <conditionalFormatting sqref="A9:A40 C9:C40">
    <cfRule type="expression" dxfId="29" priority="7">
      <formula>AND(COUNTIF(FeatureCodes,$A9)=0,$A9&lt;&gt;"")</formula>
    </cfRule>
  </conditionalFormatting>
  <conditionalFormatting sqref="B9:B40">
    <cfRule type="expression" dxfId="28" priority="6">
      <formula>AND(COUNTIF(RelationshipTypeCV,$B9)=0,$B9&lt;&gt;"")</formula>
    </cfRule>
  </conditionalFormatting>
  <conditionalFormatting sqref="D9:D40">
    <cfRule type="expression" dxfId="27" priority="4">
      <formula>AND(COUNTIF(SpatialOffsetTypeCV,$D9)=0,$D9&lt;&gt;"")</formula>
    </cfRule>
  </conditionalFormatting>
  <conditionalFormatting sqref="D9:D40">
    <cfRule type="expression" dxfId="26" priority="42">
      <formula>AND(COUNTA($D9:$D9)&gt;0,D9="")</formula>
    </cfRule>
  </conditionalFormatting>
  <conditionalFormatting sqref="A9:C40">
    <cfRule type="expression" dxfId="25" priority="43">
      <formula>AND(COUNTA($A9:$D9)&gt;0,A9="")</formula>
    </cfRule>
  </conditionalFormatting>
  <conditionalFormatting sqref="A10:D40">
    <cfRule type="expression" dxfId="24" priority="46">
      <formula>AND(COUNTA($A9:$D9)=0,A10&lt;&gt;"")</formula>
    </cfRule>
  </conditionalFormatting>
  <dataValidations count="3">
    <dataValidation type="list" allowBlank="1" showInputMessage="1" showErrorMessage="1" sqref="A9:A40 C9:C40">
      <formula1>FeatureCodes</formula1>
    </dataValidation>
    <dataValidation type="list" allowBlank="1" showInputMessage="1" showErrorMessage="1" sqref="B9:B40">
      <formula1>RelationshipTypeCV</formula1>
    </dataValidation>
    <dataValidation type="list" allowBlank="1" showInputMessage="1" showErrorMessage="1" sqref="D9:D40">
      <formula1>OffsetCodes</formula1>
    </dataValidation>
  </dataValidations>
  <pageMargins left="0.7" right="0.7" top="0.75" bottom="0.75" header="0.3" footer="0.3"/>
  <pageSetup orientation="portrait"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0"/>
  <sheetViews>
    <sheetView workbookViewId="0">
      <selection activeCell="E17" sqref="E17"/>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8.140625" style="7" bestFit="1" customWidth="1"/>
    <col min="7" max="16384" width="9.140625" style="7"/>
  </cols>
  <sheetData>
    <row r="1" spans="1:6" x14ac:dyDescent="0.25">
      <c r="A1" s="7" t="s">
        <v>1348</v>
      </c>
    </row>
    <row r="2" spans="1:6" x14ac:dyDescent="0.25">
      <c r="A2" s="7" t="s">
        <v>1335</v>
      </c>
    </row>
    <row r="3" spans="1:6" x14ac:dyDescent="0.25">
      <c r="A3" s="27" t="s">
        <v>1336</v>
      </c>
    </row>
    <row r="4" spans="1:6" x14ac:dyDescent="0.25">
      <c r="A4" s="27" t="s">
        <v>1349</v>
      </c>
    </row>
    <row r="5" spans="1:6" ht="15.75" thickBot="1" x14ac:dyDescent="0.3">
      <c r="A5" s="7" t="s">
        <v>1350</v>
      </c>
    </row>
    <row r="6" spans="1:6" ht="15.75" thickBot="1" x14ac:dyDescent="0.3">
      <c r="A6" s="27" t="s">
        <v>276</v>
      </c>
      <c r="E6" s="28" t="s">
        <v>1201</v>
      </c>
      <c r="F6" s="29">
        <f>COUNTA(MethodCodes)</f>
        <v>0</v>
      </c>
    </row>
    <row r="7" spans="1:6" ht="15.75" thickBot="1" x14ac:dyDescent="0.3"/>
    <row r="8" spans="1:6" x14ac:dyDescent="0.25">
      <c r="A8" s="222" t="s">
        <v>249</v>
      </c>
      <c r="B8" s="223"/>
      <c r="C8" s="223"/>
      <c r="D8" s="223"/>
      <c r="E8" s="223"/>
      <c r="F8" s="224"/>
    </row>
    <row r="9" spans="1:6" ht="15.75" thickBot="1" x14ac:dyDescent="0.3">
      <c r="A9" s="70" t="s">
        <v>246</v>
      </c>
      <c r="B9" s="65" t="s">
        <v>139</v>
      </c>
      <c r="C9" s="65" t="s">
        <v>138</v>
      </c>
      <c r="D9" s="72" t="s">
        <v>140</v>
      </c>
      <c r="E9" s="72" t="s">
        <v>247</v>
      </c>
      <c r="F9" s="68" t="s">
        <v>19</v>
      </c>
    </row>
    <row r="10" spans="1:6" ht="15.75" thickTop="1" x14ac:dyDescent="0.25">
      <c r="A10" s="83"/>
      <c r="B10" s="75"/>
      <c r="C10" s="84"/>
      <c r="D10" s="85"/>
      <c r="E10" s="86"/>
      <c r="F10" s="87"/>
    </row>
    <row r="11" spans="1:6" x14ac:dyDescent="0.25">
      <c r="A11" s="83"/>
      <c r="B11" s="75"/>
      <c r="C11" s="84"/>
      <c r="D11" s="85"/>
      <c r="E11" s="86"/>
      <c r="F11" s="87"/>
    </row>
    <row r="12" spans="1:6" x14ac:dyDescent="0.25">
      <c r="A12" s="83"/>
      <c r="B12" s="75"/>
      <c r="C12" s="84"/>
      <c r="D12" s="85"/>
      <c r="E12" s="86"/>
      <c r="F12" s="87"/>
    </row>
    <row r="13" spans="1:6" x14ac:dyDescent="0.25">
      <c r="A13" s="83"/>
      <c r="B13" s="75"/>
      <c r="C13" s="84"/>
      <c r="D13" s="85"/>
      <c r="E13" s="86"/>
      <c r="F13" s="87"/>
    </row>
    <row r="14" spans="1:6" x14ac:dyDescent="0.25">
      <c r="A14" s="83"/>
      <c r="B14" s="75"/>
      <c r="C14" s="75"/>
      <c r="D14" s="85"/>
      <c r="E14" s="86"/>
      <c r="F14" s="87"/>
    </row>
    <row r="15" spans="1:6" x14ac:dyDescent="0.25">
      <c r="A15" s="83"/>
      <c r="B15" s="75"/>
      <c r="C15" s="75"/>
      <c r="D15" s="85"/>
      <c r="E15" s="76"/>
      <c r="F15" s="87"/>
    </row>
    <row r="16" spans="1:6" x14ac:dyDescent="0.25">
      <c r="A16" s="83"/>
      <c r="B16" s="75"/>
      <c r="C16" s="84"/>
      <c r="D16" s="85"/>
      <c r="E16" s="76"/>
      <c r="F16" s="87"/>
    </row>
    <row r="17" spans="1:6" x14ac:dyDescent="0.25">
      <c r="A17" s="83"/>
      <c r="B17" s="75"/>
      <c r="C17" s="84"/>
      <c r="D17" s="85"/>
      <c r="E17" s="76"/>
      <c r="F17" s="87"/>
    </row>
    <row r="18" spans="1:6" x14ac:dyDescent="0.25">
      <c r="A18" s="83"/>
      <c r="B18" s="75"/>
      <c r="C18" s="84"/>
      <c r="D18" s="85"/>
      <c r="E18" s="76"/>
      <c r="F18" s="87"/>
    </row>
    <row r="19" spans="1:6" x14ac:dyDescent="0.25">
      <c r="A19" s="83"/>
      <c r="B19" s="75"/>
      <c r="C19" s="84"/>
      <c r="D19" s="85"/>
      <c r="E19" s="76"/>
      <c r="F19" s="87"/>
    </row>
    <row r="20" spans="1:6" x14ac:dyDescent="0.25">
      <c r="A20" s="83"/>
      <c r="B20" s="75"/>
      <c r="C20" s="84"/>
      <c r="D20" s="85"/>
      <c r="E20" s="76"/>
      <c r="F20" s="87"/>
    </row>
    <row r="21" spans="1:6" x14ac:dyDescent="0.25">
      <c r="A21" s="83"/>
      <c r="B21" s="75"/>
      <c r="C21" s="84"/>
      <c r="D21" s="85"/>
      <c r="E21" s="76"/>
      <c r="F21" s="87"/>
    </row>
    <row r="22" spans="1:6" x14ac:dyDescent="0.25">
      <c r="A22" s="83"/>
      <c r="B22" s="75"/>
      <c r="C22" s="84"/>
      <c r="D22" s="85"/>
      <c r="E22" s="76"/>
      <c r="F22" s="87"/>
    </row>
    <row r="23" spans="1:6" x14ac:dyDescent="0.25">
      <c r="A23" s="83"/>
      <c r="B23" s="75"/>
      <c r="C23" s="84"/>
      <c r="D23" s="85"/>
      <c r="E23" s="76"/>
      <c r="F23" s="87"/>
    </row>
    <row r="24" spans="1:6" x14ac:dyDescent="0.25">
      <c r="A24" s="83"/>
      <c r="B24" s="75"/>
      <c r="C24" s="84"/>
      <c r="D24" s="85"/>
      <c r="E24" s="76"/>
      <c r="F24" s="87"/>
    </row>
    <row r="25" spans="1:6" x14ac:dyDescent="0.25">
      <c r="A25" s="83"/>
      <c r="B25" s="75"/>
      <c r="C25" s="84"/>
      <c r="D25" s="85"/>
      <c r="E25" s="76"/>
      <c r="F25" s="87"/>
    </row>
    <row r="26" spans="1:6" x14ac:dyDescent="0.25">
      <c r="A26" s="83"/>
      <c r="B26" s="75"/>
      <c r="C26" s="84"/>
      <c r="D26" s="85"/>
      <c r="E26" s="76"/>
      <c r="F26" s="87"/>
    </row>
    <row r="27" spans="1:6" x14ac:dyDescent="0.25">
      <c r="A27" s="83"/>
      <c r="B27" s="75"/>
      <c r="C27" s="84"/>
      <c r="D27" s="85"/>
      <c r="E27" s="76"/>
      <c r="F27" s="87"/>
    </row>
    <row r="28" spans="1:6" x14ac:dyDescent="0.25">
      <c r="A28" s="83"/>
      <c r="B28" s="75"/>
      <c r="C28" s="84"/>
      <c r="D28" s="85"/>
      <c r="E28" s="76"/>
      <c r="F28" s="87"/>
    </row>
    <row r="29" spans="1:6" x14ac:dyDescent="0.25">
      <c r="A29" s="83"/>
      <c r="B29" s="75"/>
      <c r="C29" s="84"/>
      <c r="D29" s="85"/>
      <c r="E29" s="76"/>
      <c r="F29" s="87"/>
    </row>
    <row r="30" spans="1:6" x14ac:dyDescent="0.25">
      <c r="A30" s="83"/>
      <c r="B30" s="75"/>
      <c r="C30" s="84"/>
      <c r="D30" s="85"/>
      <c r="E30" s="76"/>
      <c r="F30" s="87"/>
    </row>
  </sheetData>
  <sheetProtection password="CA31" sheet="1" objects="1" scenarios="1"/>
  <mergeCells count="1">
    <mergeCell ref="A8:F8"/>
  </mergeCells>
  <conditionalFormatting sqref="A10:A30">
    <cfRule type="expression" dxfId="23" priority="4">
      <formula>AND(COUNTIF(MethodTypeCV,A10)=0,A10&lt;&gt;"")</formula>
    </cfRule>
  </conditionalFormatting>
  <conditionalFormatting sqref="A10:C30">
    <cfRule type="expression" dxfId="22" priority="3">
      <formula>AND(COUNTA($A10:$F10)&gt;0,A10="")</formula>
    </cfRule>
  </conditionalFormatting>
  <conditionalFormatting sqref="A11:F30">
    <cfRule type="expression" dxfId="21" priority="2">
      <formula>AND(COUNTA($A10:$F10)=0,A11&lt;&gt;"")</formula>
    </cfRule>
  </conditionalFormatting>
  <conditionalFormatting sqref="B10:B30">
    <cfRule type="duplicateValues" dxfId="20"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F5" sqref="F5"/>
    </sheetView>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7" t="s">
        <v>1351</v>
      </c>
    </row>
    <row r="2" spans="1:6" x14ac:dyDescent="0.25">
      <c r="A2" s="7" t="s">
        <v>1335</v>
      </c>
    </row>
    <row r="3" spans="1:6" x14ac:dyDescent="0.25">
      <c r="A3" s="27" t="s">
        <v>1336</v>
      </c>
    </row>
    <row r="4" spans="1:6" ht="15.75" thickBot="1" x14ac:dyDescent="0.3">
      <c r="A4" s="27" t="s">
        <v>1352</v>
      </c>
    </row>
    <row r="5" spans="1:6" ht="15.75" thickBot="1" x14ac:dyDescent="0.3">
      <c r="A5" s="27" t="s">
        <v>280</v>
      </c>
      <c r="E5" s="28" t="s">
        <v>1202</v>
      </c>
      <c r="F5" s="29">
        <f>COUNTA(VariableCodes)</f>
        <v>0</v>
      </c>
    </row>
    <row r="6" spans="1:6" ht="15.75" thickBot="1" x14ac:dyDescent="0.3"/>
    <row r="7" spans="1:6" x14ac:dyDescent="0.25">
      <c r="A7" s="222" t="s">
        <v>285</v>
      </c>
      <c r="B7" s="223"/>
      <c r="C7" s="223"/>
      <c r="D7" s="223"/>
      <c r="E7" s="223"/>
      <c r="F7" s="224"/>
    </row>
    <row r="8" spans="1:6" ht="15.75" thickBot="1" x14ac:dyDescent="0.3">
      <c r="A8" s="70" t="s">
        <v>281</v>
      </c>
      <c r="B8" s="65" t="s">
        <v>137</v>
      </c>
      <c r="C8" s="65" t="s">
        <v>136</v>
      </c>
      <c r="D8" s="72" t="s">
        <v>282</v>
      </c>
      <c r="E8" s="72" t="s">
        <v>283</v>
      </c>
      <c r="F8" s="71" t="s">
        <v>284</v>
      </c>
    </row>
    <row r="9" spans="1:6" ht="15.75" thickTop="1" x14ac:dyDescent="0.25">
      <c r="A9" s="83"/>
      <c r="B9" s="75"/>
      <c r="C9" s="75"/>
      <c r="D9" s="76"/>
      <c r="E9" s="76"/>
      <c r="F9" s="88"/>
    </row>
    <row r="10" spans="1:6" x14ac:dyDescent="0.25">
      <c r="A10" s="83"/>
      <c r="B10" s="75"/>
      <c r="C10" s="75"/>
      <c r="D10" s="76"/>
      <c r="E10" s="76"/>
      <c r="F10" s="88"/>
    </row>
    <row r="11" spans="1:6" x14ac:dyDescent="0.25">
      <c r="A11" s="83"/>
      <c r="B11" s="75"/>
      <c r="C11" s="75"/>
      <c r="D11" s="76"/>
      <c r="E11" s="76"/>
      <c r="F11" s="88"/>
    </row>
    <row r="12" spans="1:6" x14ac:dyDescent="0.25">
      <c r="A12" s="83"/>
      <c r="B12" s="75"/>
      <c r="C12" s="75"/>
      <c r="D12" s="76"/>
      <c r="E12" s="76"/>
      <c r="F12" s="88"/>
    </row>
    <row r="13" spans="1:6" x14ac:dyDescent="0.25">
      <c r="A13" s="83"/>
      <c r="B13" s="75"/>
      <c r="C13" s="75"/>
      <c r="D13" s="76"/>
      <c r="E13" s="76"/>
      <c r="F13" s="88"/>
    </row>
    <row r="14" spans="1:6" x14ac:dyDescent="0.25">
      <c r="A14" s="83"/>
      <c r="B14" s="75"/>
      <c r="C14" s="75"/>
      <c r="D14" s="76"/>
      <c r="E14" s="76"/>
      <c r="F14" s="88"/>
    </row>
    <row r="15" spans="1:6" x14ac:dyDescent="0.25">
      <c r="A15" s="83"/>
      <c r="B15" s="75"/>
      <c r="C15" s="75"/>
      <c r="D15" s="76"/>
      <c r="E15" s="76"/>
      <c r="F15" s="88"/>
    </row>
    <row r="16" spans="1:6" x14ac:dyDescent="0.25">
      <c r="A16" s="83"/>
      <c r="B16" s="75"/>
      <c r="C16" s="75"/>
      <c r="D16" s="76"/>
      <c r="E16" s="76"/>
      <c r="F16" s="88"/>
    </row>
    <row r="17" spans="1:6" x14ac:dyDescent="0.25">
      <c r="A17" s="83"/>
      <c r="B17" s="75"/>
      <c r="C17" s="75"/>
      <c r="D17" s="76"/>
      <c r="E17" s="76"/>
      <c r="F17" s="88"/>
    </row>
    <row r="18" spans="1:6" x14ac:dyDescent="0.25">
      <c r="A18" s="83"/>
      <c r="B18" s="75"/>
      <c r="C18" s="75"/>
      <c r="D18" s="76"/>
      <c r="E18" s="76"/>
      <c r="F18" s="88"/>
    </row>
    <row r="19" spans="1:6" x14ac:dyDescent="0.25">
      <c r="A19" s="83"/>
      <c r="B19" s="75"/>
      <c r="C19" s="75"/>
      <c r="D19" s="76"/>
      <c r="E19" s="76"/>
      <c r="F19" s="88"/>
    </row>
    <row r="20" spans="1:6" x14ac:dyDescent="0.25">
      <c r="A20" s="83"/>
      <c r="B20" s="75"/>
      <c r="C20" s="75"/>
      <c r="D20" s="76"/>
      <c r="E20" s="76"/>
      <c r="F20" s="88"/>
    </row>
    <row r="21" spans="1:6" x14ac:dyDescent="0.25">
      <c r="A21" s="83"/>
      <c r="B21" s="75"/>
      <c r="C21" s="75"/>
      <c r="D21" s="76"/>
      <c r="E21" s="76"/>
      <c r="F21" s="88"/>
    </row>
    <row r="22" spans="1:6" x14ac:dyDescent="0.25">
      <c r="A22" s="83"/>
      <c r="B22" s="75"/>
      <c r="C22" s="75"/>
      <c r="D22" s="76"/>
      <c r="E22" s="76"/>
      <c r="F22" s="88"/>
    </row>
    <row r="23" spans="1:6" x14ac:dyDescent="0.25">
      <c r="A23" s="83"/>
      <c r="B23" s="75"/>
      <c r="C23" s="75"/>
      <c r="D23" s="76"/>
      <c r="E23" s="76"/>
      <c r="F23" s="88"/>
    </row>
    <row r="24" spans="1:6" x14ac:dyDescent="0.25">
      <c r="A24" s="83"/>
      <c r="B24" s="75"/>
      <c r="C24" s="75"/>
      <c r="D24" s="76"/>
      <c r="E24" s="76"/>
      <c r="F24" s="88"/>
    </row>
    <row r="25" spans="1:6" x14ac:dyDescent="0.25">
      <c r="A25" s="83"/>
      <c r="B25" s="75"/>
      <c r="C25" s="75"/>
      <c r="D25" s="76"/>
      <c r="E25" s="76"/>
      <c r="F25" s="88"/>
    </row>
    <row r="26" spans="1:6" x14ac:dyDescent="0.25">
      <c r="A26" s="83"/>
      <c r="B26" s="75"/>
      <c r="C26" s="75"/>
      <c r="D26" s="76"/>
      <c r="E26" s="76"/>
      <c r="F26" s="88"/>
    </row>
    <row r="27" spans="1:6" x14ac:dyDescent="0.25">
      <c r="A27" s="83"/>
      <c r="B27" s="75"/>
      <c r="C27" s="75"/>
      <c r="D27" s="76"/>
      <c r="E27" s="76"/>
      <c r="F27" s="88"/>
    </row>
  </sheetData>
  <sheetProtection password="CA31" sheet="1" objects="1" scenarios="1"/>
  <mergeCells count="1">
    <mergeCell ref="A7:F7"/>
  </mergeCells>
  <conditionalFormatting sqref="A9:A27">
    <cfRule type="expression" dxfId="19" priority="4">
      <formula>AND(COUNTIF(VariableTypeCV,$A11)=0,$A11&lt;&gt;"")</formula>
    </cfRule>
  </conditionalFormatting>
  <conditionalFormatting sqref="C9:C27">
    <cfRule type="expression" dxfId="18" priority="3">
      <formula>AND(COUNTIF(VariableNameCV,$C11)=0,$C11&lt;&gt;"")</formula>
    </cfRule>
  </conditionalFormatting>
  <conditionalFormatting sqref="A9:C27 F9:F27">
    <cfRule type="expression" dxfId="17" priority="2">
      <formula>AND(COUNTA($A11:$F11)&gt;0,$A11="")</formula>
    </cfRule>
  </conditionalFormatting>
  <conditionalFormatting sqref="A10:F27">
    <cfRule type="expression" dxfId="16" priority="1">
      <formula>AND(COUNTA($A11:$F11)=0,A12&lt;&gt;"")</formula>
    </cfRule>
  </conditionalFormatting>
  <dataValidations count="2">
    <dataValidation type="list" allowBlank="1" showInputMessage="1" showErrorMessage="1" sqref="A9:A27">
      <formula1>VariableTypeCV</formula1>
    </dataValidation>
    <dataValidation type="list" allowBlank="1" showInputMessage="1" showErrorMessage="1" sqref="C9:C27">
      <formula1>VariableNameCV</formula1>
    </dataValidation>
  </dataValidations>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topLeftCell="A4" workbookViewId="0">
      <selection activeCell="C12" sqref="C12"/>
    </sheetView>
  </sheetViews>
  <sheetFormatPr defaultRowHeight="15" x14ac:dyDescent="0.25"/>
  <cols>
    <col min="1" max="1" width="23.42578125" style="7" customWidth="1"/>
    <col min="2" max="2" width="29.7109375" style="7" customWidth="1"/>
    <col min="3" max="3" width="64" style="89" customWidth="1"/>
    <col min="4" max="4" width="8" style="7" bestFit="1" customWidth="1"/>
    <col min="5" max="16384" width="9.140625" style="7"/>
  </cols>
  <sheetData>
    <row r="1" spans="1:5" x14ac:dyDescent="0.25">
      <c r="A1" s="27" t="s">
        <v>1353</v>
      </c>
    </row>
    <row r="2" spans="1:5" x14ac:dyDescent="0.25">
      <c r="A2" s="7" t="s">
        <v>1335</v>
      </c>
    </row>
    <row r="3" spans="1:5" x14ac:dyDescent="0.25">
      <c r="A3" s="27" t="s">
        <v>1336</v>
      </c>
    </row>
    <row r="4" spans="1:5" x14ac:dyDescent="0.25">
      <c r="A4" s="27" t="s">
        <v>1354</v>
      </c>
    </row>
    <row r="5" spans="1:5" x14ac:dyDescent="0.25">
      <c r="A5" s="27" t="s">
        <v>1173</v>
      </c>
    </row>
    <row r="6" spans="1:5" ht="15.75" thickBot="1" x14ac:dyDescent="0.3">
      <c r="A6" s="27" t="s">
        <v>1356</v>
      </c>
    </row>
    <row r="7" spans="1:5" ht="15.75" thickBot="1" x14ac:dyDescent="0.3">
      <c r="A7" s="27" t="s">
        <v>1355</v>
      </c>
      <c r="D7" s="28" t="s">
        <v>1203</v>
      </c>
      <c r="E7" s="29">
        <f>COUNTA(ProcessingLevelCodes)</f>
        <v>0</v>
      </c>
    </row>
    <row r="8" spans="1:5" ht="15.75" thickBot="1" x14ac:dyDescent="0.3"/>
    <row r="9" spans="1:5" x14ac:dyDescent="0.25">
      <c r="A9" s="214" t="s">
        <v>1176</v>
      </c>
      <c r="B9" s="221"/>
      <c r="C9" s="215"/>
    </row>
    <row r="10" spans="1:5" ht="15.75" thickBot="1" x14ac:dyDescent="0.3">
      <c r="A10" s="70" t="s">
        <v>1174</v>
      </c>
      <c r="B10" s="65" t="s">
        <v>1175</v>
      </c>
      <c r="C10" s="94" t="s">
        <v>1177</v>
      </c>
    </row>
    <row r="11" spans="1:5" ht="15.75" thickTop="1" x14ac:dyDescent="0.25">
      <c r="A11" s="90"/>
      <c r="B11" s="91"/>
      <c r="C11" s="92"/>
    </row>
    <row r="12" spans="1:5" x14ac:dyDescent="0.25">
      <c r="A12" s="83"/>
      <c r="B12" s="76"/>
      <c r="C12" s="93"/>
    </row>
    <row r="13" spans="1:5" x14ac:dyDescent="0.25">
      <c r="A13" s="83"/>
      <c r="B13" s="76"/>
      <c r="C13" s="93"/>
    </row>
    <row r="14" spans="1:5" x14ac:dyDescent="0.25">
      <c r="A14" s="83"/>
      <c r="B14" s="76"/>
      <c r="C14" s="93"/>
    </row>
    <row r="15" spans="1:5" x14ac:dyDescent="0.25">
      <c r="A15" s="83"/>
      <c r="B15" s="76"/>
      <c r="C15" s="93"/>
    </row>
    <row r="16" spans="1:5" x14ac:dyDescent="0.25">
      <c r="A16" s="83"/>
      <c r="B16" s="76"/>
      <c r="C16" s="93"/>
    </row>
    <row r="17" spans="1:3" x14ac:dyDescent="0.25">
      <c r="A17" s="83"/>
      <c r="B17" s="76"/>
      <c r="C17" s="93"/>
    </row>
    <row r="18" spans="1:3" x14ac:dyDescent="0.25">
      <c r="A18" s="83"/>
      <c r="B18" s="76"/>
      <c r="C18" s="93"/>
    </row>
    <row r="19" spans="1:3" x14ac:dyDescent="0.25">
      <c r="A19" s="83"/>
      <c r="B19" s="76"/>
      <c r="C19" s="93"/>
    </row>
    <row r="20" spans="1:3" x14ac:dyDescent="0.25">
      <c r="A20" s="83"/>
      <c r="B20" s="76"/>
      <c r="C20" s="93"/>
    </row>
    <row r="21" spans="1:3" x14ac:dyDescent="0.25">
      <c r="A21" s="83"/>
      <c r="B21" s="76"/>
      <c r="C21" s="93"/>
    </row>
    <row r="22" spans="1:3" x14ac:dyDescent="0.25">
      <c r="A22" s="83"/>
      <c r="B22" s="76"/>
      <c r="C22" s="93"/>
    </row>
    <row r="23" spans="1:3" x14ac:dyDescent="0.25">
      <c r="A23" s="83"/>
      <c r="B23" s="76"/>
      <c r="C23" s="93"/>
    </row>
    <row r="24" spans="1:3" x14ac:dyDescent="0.25">
      <c r="A24" s="83"/>
      <c r="B24" s="76"/>
      <c r="C24" s="93"/>
    </row>
    <row r="25" spans="1:3" x14ac:dyDescent="0.25">
      <c r="A25" s="83"/>
      <c r="B25" s="76"/>
      <c r="C25" s="93"/>
    </row>
    <row r="26" spans="1:3" x14ac:dyDescent="0.25">
      <c r="A26" s="83"/>
      <c r="B26" s="76"/>
      <c r="C26" s="93"/>
    </row>
    <row r="27" spans="1:3" x14ac:dyDescent="0.25">
      <c r="A27" s="83"/>
      <c r="B27" s="76"/>
      <c r="C27" s="93"/>
    </row>
    <row r="28" spans="1:3" x14ac:dyDescent="0.25">
      <c r="A28" s="83"/>
      <c r="B28" s="76"/>
      <c r="C28" s="93"/>
    </row>
  </sheetData>
  <sheetProtection password="CA31" sheet="1" objects="1" scenarios="1"/>
  <mergeCells count="1">
    <mergeCell ref="A9:C9"/>
  </mergeCells>
  <conditionalFormatting sqref="A11:A28">
    <cfRule type="duplicateValues" dxfId="15" priority="1"/>
    <cfRule type="expression" dxfId="14" priority="3">
      <formula>AND(COUNTA($A11:$C11)&gt;0,$A11="")</formula>
    </cfRule>
  </conditionalFormatting>
  <conditionalFormatting sqref="A12:C28">
    <cfRule type="expression" dxfId="13" priority="2">
      <formula>AND(COUNTA($A11:$C11)=0,A12&lt;&gt;"")</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26"/>
  <sheetViews>
    <sheetView workbookViewId="0">
      <selection activeCell="G28" sqref="G28"/>
    </sheetView>
  </sheetViews>
  <sheetFormatPr defaultRowHeight="15" x14ac:dyDescent="0.25"/>
  <cols>
    <col min="1" max="1" width="26" customWidth="1"/>
    <col min="2" max="2" width="27" customWidth="1"/>
    <col min="3" max="3" width="35.85546875" customWidth="1"/>
    <col min="4" max="4" width="32.140625" customWidth="1"/>
    <col min="5" max="5" width="2.5703125" bestFit="1" customWidth="1"/>
  </cols>
  <sheetData>
    <row r="1" spans="1:5" s="7" customFormat="1" x14ac:dyDescent="0.25">
      <c r="A1" s="27" t="s">
        <v>1307</v>
      </c>
      <c r="C1" s="89"/>
    </row>
    <row r="2" spans="1:5" s="7" customFormat="1" x14ac:dyDescent="0.25">
      <c r="A2" s="27" t="s">
        <v>1308</v>
      </c>
      <c r="C2" s="89"/>
    </row>
    <row r="3" spans="1:5" s="7" customFormat="1" ht="15.75" thickBot="1" x14ac:dyDescent="0.3">
      <c r="A3" s="27" t="s">
        <v>1425</v>
      </c>
      <c r="C3" s="89"/>
    </row>
    <row r="4" spans="1:5" s="7" customFormat="1" ht="15.75" thickBot="1" x14ac:dyDescent="0.3">
      <c r="A4" s="27" t="s">
        <v>1309</v>
      </c>
      <c r="C4" s="89"/>
      <c r="D4" s="28" t="s">
        <v>1310</v>
      </c>
      <c r="E4" s="29">
        <f>COUNTA(TaxClassifiers)</f>
        <v>0</v>
      </c>
    </row>
    <row r="5" spans="1:5" ht="15.75" thickBot="1" x14ac:dyDescent="0.3"/>
    <row r="6" spans="1:5" x14ac:dyDescent="0.25">
      <c r="A6" s="225" t="s">
        <v>1315</v>
      </c>
      <c r="B6" s="226"/>
      <c r="C6" s="226"/>
      <c r="D6" s="227"/>
    </row>
    <row r="7" spans="1:5" ht="15.75" thickBot="1" x14ac:dyDescent="0.3">
      <c r="A7" s="98" t="s">
        <v>1311</v>
      </c>
      <c r="B7" s="99" t="s">
        <v>1312</v>
      </c>
      <c r="C7" s="157" t="s">
        <v>1313</v>
      </c>
      <c r="D7" s="158" t="s">
        <v>1314</v>
      </c>
    </row>
    <row r="8" spans="1:5" ht="15.75" thickTop="1" x14ac:dyDescent="0.25">
      <c r="A8" s="18"/>
      <c r="B8" s="19"/>
      <c r="C8" s="20"/>
      <c r="D8" s="53"/>
    </row>
    <row r="9" spans="1:5" x14ac:dyDescent="0.25">
      <c r="A9" s="10"/>
      <c r="B9" s="11"/>
      <c r="C9" s="22"/>
      <c r="D9" s="13"/>
    </row>
    <row r="10" spans="1:5" x14ac:dyDescent="0.25">
      <c r="A10" s="10"/>
      <c r="B10" s="11"/>
      <c r="C10" s="22"/>
      <c r="D10" s="13"/>
    </row>
    <row r="11" spans="1:5" x14ac:dyDescent="0.25">
      <c r="A11" s="10"/>
      <c r="B11" s="11"/>
      <c r="C11" s="22"/>
      <c r="D11" s="13"/>
    </row>
    <row r="12" spans="1:5" x14ac:dyDescent="0.25">
      <c r="A12" s="10"/>
      <c r="B12" s="11"/>
      <c r="C12" s="22"/>
      <c r="D12" s="13"/>
    </row>
    <row r="13" spans="1:5" x14ac:dyDescent="0.25">
      <c r="A13" s="10"/>
      <c r="B13" s="11"/>
      <c r="C13" s="22"/>
      <c r="D13" s="13"/>
    </row>
    <row r="14" spans="1:5" x14ac:dyDescent="0.25">
      <c r="A14" s="10"/>
      <c r="B14" s="11"/>
      <c r="C14" s="22"/>
      <c r="D14" s="13"/>
    </row>
    <row r="15" spans="1:5" x14ac:dyDescent="0.25">
      <c r="A15" s="10"/>
      <c r="B15" s="11"/>
      <c r="C15" s="22"/>
      <c r="D15" s="13"/>
    </row>
    <row r="16" spans="1:5" x14ac:dyDescent="0.25">
      <c r="A16" s="10"/>
      <c r="B16" s="11"/>
      <c r="C16" s="22"/>
      <c r="D16" s="13"/>
    </row>
    <row r="17" spans="1:4" x14ac:dyDescent="0.25">
      <c r="A17" s="10"/>
      <c r="B17" s="11"/>
      <c r="C17" s="22"/>
      <c r="D17" s="13"/>
    </row>
    <row r="18" spans="1:4" x14ac:dyDescent="0.25">
      <c r="A18" s="10"/>
      <c r="B18" s="11"/>
      <c r="C18" s="22"/>
      <c r="D18" s="13"/>
    </row>
    <row r="19" spans="1:4" x14ac:dyDescent="0.25">
      <c r="A19" s="10"/>
      <c r="B19" s="11"/>
      <c r="C19" s="22"/>
      <c r="D19" s="13"/>
    </row>
    <row r="20" spans="1:4" x14ac:dyDescent="0.25">
      <c r="A20" s="10"/>
      <c r="B20" s="11"/>
      <c r="C20" s="22"/>
      <c r="D20" s="13"/>
    </row>
    <row r="21" spans="1:4" x14ac:dyDescent="0.25">
      <c r="A21" s="10"/>
      <c r="B21" s="11"/>
      <c r="C21" s="22"/>
      <c r="D21" s="13"/>
    </row>
    <row r="22" spans="1:4" x14ac:dyDescent="0.25">
      <c r="A22" s="10"/>
      <c r="B22" s="11"/>
      <c r="C22" s="22"/>
      <c r="D22" s="13"/>
    </row>
    <row r="23" spans="1:4" x14ac:dyDescent="0.25">
      <c r="A23" s="10"/>
      <c r="B23" s="11"/>
      <c r="C23" s="22"/>
      <c r="D23" s="13"/>
    </row>
    <row r="24" spans="1:4" x14ac:dyDescent="0.25">
      <c r="A24" s="10"/>
      <c r="B24" s="11"/>
      <c r="C24" s="22"/>
      <c r="D24" s="13"/>
    </row>
    <row r="25" spans="1:4" x14ac:dyDescent="0.25">
      <c r="A25" s="10"/>
      <c r="B25" s="11"/>
      <c r="C25" s="22"/>
      <c r="D25" s="13"/>
    </row>
    <row r="26" spans="1:4" x14ac:dyDescent="0.25">
      <c r="A26" s="14"/>
      <c r="B26" s="15"/>
      <c r="C26" s="25"/>
      <c r="D26" s="17"/>
    </row>
  </sheetData>
  <sheetProtection password="CA31" sheet="1" objects="1" scenarios="1"/>
  <mergeCells count="1">
    <mergeCell ref="A6:D6"/>
  </mergeCells>
  <conditionalFormatting sqref="A8:A26">
    <cfRule type="expression" dxfId="12" priority="4">
      <formula>AND(COUNTIF(TaxonomicClassifierTypeCV,$A8)=0,$A8&lt;&gt;"")</formula>
    </cfRule>
  </conditionalFormatting>
  <conditionalFormatting sqref="A8:B26">
    <cfRule type="expression" dxfId="11" priority="3">
      <formula>AND(COUNTA($A8:$D8)&gt;0,A8&lt;&gt;"")</formula>
    </cfRule>
  </conditionalFormatting>
  <conditionalFormatting sqref="A9:D26">
    <cfRule type="expression" dxfId="10" priority="2">
      <formula>AND(COUNTA($A8:$D8)=0,A9&lt;&gt;"")</formula>
    </cfRule>
  </conditionalFormatting>
  <conditionalFormatting sqref="B8:B26">
    <cfRule type="duplicateValues" dxfId="9" priority="1"/>
  </conditionalFormatting>
  <dataValidations count="1">
    <dataValidation type="list" allowBlank="1" showInputMessage="1" showErrorMessage="1" sqref="A8:A26">
      <formula1>TaxonomicClassifierTypeCV</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C99"/>
  <sheetViews>
    <sheetView zoomScale="115" zoomScaleNormal="115" zoomScalePageLayoutView="150" workbookViewId="0">
      <selection activeCell="D5" sqref="D5"/>
    </sheetView>
  </sheetViews>
  <sheetFormatPr defaultColWidth="8.85546875" defaultRowHeight="15" x14ac:dyDescent="0.25"/>
  <cols>
    <col min="1" max="1" width="6.7109375" style="27" customWidth="1"/>
    <col min="2" max="2" width="12.5703125" style="27" bestFit="1" customWidth="1"/>
    <col min="3" max="3" width="12.140625" style="27" bestFit="1" customWidth="1"/>
    <col min="4" max="4" width="16.85546875" style="27" bestFit="1" customWidth="1"/>
    <col min="5" max="5" width="27" style="27" bestFit="1" customWidth="1"/>
    <col min="6" max="6" width="19.140625" style="27" bestFit="1" customWidth="1"/>
    <col min="7" max="7" width="28.28515625" style="27" bestFit="1" customWidth="1"/>
    <col min="8" max="8" width="18" style="27" bestFit="1" customWidth="1"/>
    <col min="9" max="9" width="22.140625" style="27" bestFit="1" customWidth="1"/>
    <col min="10" max="10" width="20" style="27" bestFit="1" customWidth="1"/>
    <col min="11" max="11" width="16.5703125" style="27" bestFit="1" customWidth="1"/>
    <col min="12" max="12" width="15.7109375" style="27" bestFit="1" customWidth="1"/>
    <col min="13" max="13" width="17.42578125" style="27" bestFit="1" customWidth="1"/>
    <col min="14" max="14" width="13.42578125" style="27" bestFit="1" customWidth="1"/>
    <col min="15" max="15" width="13.140625" style="27" bestFit="1" customWidth="1"/>
    <col min="16" max="16" width="10.140625" style="27" bestFit="1" customWidth="1"/>
    <col min="17" max="17" width="19" style="27" bestFit="1" customWidth="1"/>
    <col min="18" max="18" width="13.28515625" style="27" bestFit="1" customWidth="1"/>
    <col min="19" max="19" width="26.5703125" style="27" bestFit="1" customWidth="1"/>
    <col min="20" max="20" width="20.28515625" style="27" bestFit="1" customWidth="1"/>
    <col min="21" max="21" width="20" style="27" bestFit="1" customWidth="1"/>
    <col min="22" max="22" width="14.28515625" style="27" bestFit="1" customWidth="1"/>
    <col min="23" max="23" width="14.5703125" style="27" bestFit="1" customWidth="1"/>
    <col min="24" max="24" width="24.42578125" style="27" bestFit="1" customWidth="1"/>
    <col min="25" max="25" width="23.42578125" style="27" bestFit="1" customWidth="1"/>
    <col min="26" max="26" width="32.140625" style="27" bestFit="1" customWidth="1"/>
    <col min="27" max="27" width="21.5703125" style="27" bestFit="1" customWidth="1"/>
    <col min="28" max="28" width="3.7109375" style="27" customWidth="1"/>
    <col min="29" max="29" width="3.7109375" style="189" customWidth="1"/>
    <col min="30" max="30" width="12.85546875" style="27" customWidth="1"/>
    <col min="31" max="56" width="12.140625" style="27" customWidth="1"/>
    <col min="57" max="16384" width="8.85546875" style="27"/>
  </cols>
  <sheetData>
    <row r="1" spans="1:29" x14ac:dyDescent="0.25">
      <c r="A1" s="27" t="s">
        <v>135</v>
      </c>
    </row>
    <row r="2" spans="1:29" ht="15.75" thickBot="1" x14ac:dyDescent="0.3">
      <c r="A2" s="27" t="s">
        <v>1328</v>
      </c>
    </row>
    <row r="3" spans="1:29" ht="15.75" thickBot="1" x14ac:dyDescent="0.3">
      <c r="A3" s="27" t="s">
        <v>1192</v>
      </c>
      <c r="N3" s="178"/>
      <c r="U3" s="96" t="s">
        <v>1194</v>
      </c>
      <c r="V3" s="29">
        <f>MAX(DataColumns[Col'#])</f>
        <v>0</v>
      </c>
    </row>
    <row r="4" spans="1:29" ht="15.75" thickBot="1" x14ac:dyDescent="0.3">
      <c r="A4" s="27" t="s">
        <v>1235</v>
      </c>
      <c r="N4" s="178"/>
      <c r="U4" s="96" t="s">
        <v>1330</v>
      </c>
      <c r="V4" s="29" t="e">
        <f>INDEX(DataColumns[Col'#],MATCH("SpecimenCode",DataColumns[ColumnType],0))</f>
        <v>#N/A</v>
      </c>
    </row>
    <row r="5" spans="1:29" ht="15.75" thickBot="1" x14ac:dyDescent="0.3">
      <c r="A5" s="27" t="s">
        <v>1193</v>
      </c>
      <c r="N5" s="178"/>
      <c r="U5" s="96" t="s">
        <v>1329</v>
      </c>
      <c r="V5" s="29">
        <f ca="1">COUNTA(INDIRECT(CONCATENATE("'Data Values'!R2C",SpecimenColumnNumber,":R96129C",SpecimenColumnNumber),FALSE))</f>
        <v>1</v>
      </c>
    </row>
    <row r="6" spans="1:29" ht="15.75" thickBot="1" x14ac:dyDescent="0.3">
      <c r="A6" s="27" t="s">
        <v>1478</v>
      </c>
      <c r="N6" s="178"/>
      <c r="U6" s="96" t="s">
        <v>1333</v>
      </c>
      <c r="V6" s="29">
        <f>COUNTIF(DataColumns[ColumnType],"ResultValue")</f>
        <v>0</v>
      </c>
    </row>
    <row r="7" spans="1:29" x14ac:dyDescent="0.25">
      <c r="A7" s="27" t="s">
        <v>1327</v>
      </c>
      <c r="N7" s="178"/>
    </row>
    <row r="8" spans="1:29" x14ac:dyDescent="0.25">
      <c r="A8" s="27" t="s">
        <v>1325</v>
      </c>
      <c r="N8" s="178"/>
    </row>
    <row r="9" spans="1:29" ht="15.75" thickBot="1" x14ac:dyDescent="0.3"/>
    <row r="10" spans="1:29" x14ac:dyDescent="0.25">
      <c r="A10" s="228" t="s">
        <v>1389</v>
      </c>
      <c r="B10" s="229"/>
      <c r="C10" s="229"/>
      <c r="D10" s="230"/>
      <c r="E10" s="228" t="s">
        <v>1390</v>
      </c>
      <c r="F10" s="229"/>
      <c r="G10" s="229"/>
      <c r="H10" s="229"/>
      <c r="I10" s="229"/>
      <c r="J10" s="229"/>
      <c r="K10" s="229"/>
      <c r="L10" s="229"/>
      <c r="M10" s="230"/>
      <c r="N10" s="228" t="s">
        <v>1391</v>
      </c>
      <c r="O10" s="229"/>
      <c r="P10" s="229"/>
      <c r="Q10" s="229"/>
      <c r="R10" s="229"/>
      <c r="S10" s="229"/>
      <c r="T10" s="229"/>
      <c r="U10" s="229"/>
      <c r="V10" s="229"/>
      <c r="W10" s="229"/>
      <c r="X10" s="229"/>
      <c r="Y10" s="229"/>
      <c r="Z10" s="229"/>
      <c r="AA10" s="229"/>
      <c r="AB10" s="229"/>
      <c r="AC10" s="230"/>
    </row>
    <row r="11" spans="1:29" s="184" customFormat="1" ht="12.75" x14ac:dyDescent="0.2">
      <c r="A11" s="179"/>
      <c r="B11" s="180" t="s">
        <v>1324</v>
      </c>
      <c r="C11" s="180" t="s">
        <v>1324</v>
      </c>
      <c r="D11" s="181" t="s">
        <v>1324</v>
      </c>
      <c r="E11" s="179" t="str">
        <f ca="1">IF(ISERROR(MATCH(INDIRECT(CONCATENATE("R",ROW()+1,"C",COLUMN()),FALSE),DataColumns[ColumnType],0)),INDEX(SpecimenColumnFinder[REQUIRED],MATCH(INDIRECT(CONCATENATE("R",ROW()+1,"C",COLUMN()),FALSE),SpecimenColumnFinder[DataType],0)),2)</f>
        <v>Optional</v>
      </c>
      <c r="F11" s="180" t="str">
        <f ca="1">IF(ISERROR(MATCH(INDIRECT(CONCATENATE("R",ROW()+1,"C",COLUMN()),FALSE),DataColumns[ColumnType],0)),INDEX(SpecimenColumnFinder[REQUIRED],MATCH(INDIRECT(CONCATENATE("R",ROW()+1,"C",COLUMN()),FALSE),SpecimenColumnFinder[DataType],0)),2)</f>
        <v>Optional</v>
      </c>
      <c r="G11" s="180" t="str">
        <f ca="1">IF(ISERROR(MATCH(INDIRECT(CONCATENATE("R",ROW()+1,"C",COLUMN()),FALSE),DataColumns[ColumnType],0)),INDEX(SpecimenColumnFinder[REQUIRED],MATCH(INDIRECT(CONCATENATE("R",ROW()+1,"C",COLUMN()),FALSE),SpecimenColumnFinder[DataType],0)),2)</f>
        <v>REQUIRED</v>
      </c>
      <c r="H11" s="180" t="str">
        <f ca="1">IF(ISERROR(MATCH(INDIRECT(CONCATENATE("R",ROW()+1,"C",COLUMN()),FALSE),DataColumns[ColumnType],0)),INDEX(SpecimenColumnFinder[REQUIRED],MATCH(INDIRECT(CONCATENATE("R",ROW()+1,"C",COLUMN()),FALSE),SpecimenColumnFinder[DataType],0)),2)</f>
        <v>Optional</v>
      </c>
      <c r="I11" s="180" t="str">
        <f ca="1">IF(ISERROR(MATCH(INDIRECT(CONCATENATE("R",ROW()+1,"C",COLUMN()),FALSE),DataColumns[ColumnType],0)),INDEX(SpecimenColumnFinder[REQUIRED],MATCH(INDIRECT(CONCATENATE("R",ROW()+1,"C",COLUMN()),FALSE),SpecimenColumnFinder[DataType],0)),2)</f>
        <v>REQUIRED</v>
      </c>
      <c r="J11" s="180" t="str">
        <f ca="1">IF(ISERROR(MATCH(INDIRECT(CONCATENATE("R",ROW()+1,"C",COLUMN()),FALSE),DataColumns[ColumnType],0)),INDEX(SpecimenColumnFinder[REQUIRED],MATCH(INDIRECT(CONCATENATE("R",ROW()+1,"C",COLUMN()),FALSE),SpecimenColumnFinder[DataType],0)),2)</f>
        <v>REQUIRED</v>
      </c>
      <c r="K11" s="180" t="str">
        <f ca="1">IF(ISERROR(MATCH(INDIRECT(CONCATENATE("R",ROW()+1,"C",COLUMN()),FALSE),DataColumns[ColumnType],0)),INDEX(SpecimenColumnFinder[REQUIRED],MATCH(INDIRECT(CONCATENATE("R",ROW()+1,"C",COLUMN()),FALSE),SpecimenColumnFinder[DataType],0)),2)</f>
        <v>REQUIRED</v>
      </c>
      <c r="L11" s="180" t="str">
        <f ca="1">IF(ISERROR(MATCH(INDIRECT(CONCATENATE("R",ROW()+1,"C",COLUMN()),FALSE),DataColumns[ColumnType],0)),INDEX(SpecimenColumnFinder[REQUIRED],MATCH(INDIRECT(CONCATENATE("R",ROW()+1,"C",COLUMN()),FALSE),SpecimenColumnFinder[DataType],0)),2)</f>
        <v>REQUIRED</v>
      </c>
      <c r="M11" s="181" t="str">
        <f ca="1">IF(ISERROR(MATCH(INDIRECT(CONCATENATE("R",ROW()+1,"C",COLUMN()),FALSE),DataColumns[ColumnType],0)),INDEX(SpecimenColumnFinder[REQUIRED],MATCH(INDIRECT(CONCATENATE("R",ROW()+1,"C",COLUMN()),FALSE),SpecimenColumnFinder[DataType],0)),2)</f>
        <v>Optional</v>
      </c>
      <c r="N11" s="179" t="str">
        <f ca="1">IF(ISERROR(MATCH(INDIRECT(CONCATENATE("R",ROW()+1,"C",COLUMN()),FALSE),DataColumns[ColumnType],0)),INDEX(ResultColumnFinder[REQUIRED],MATCH(INDIRECT(CONCATENATE("R",ROW()+1,"C",COLUMN()),FALSE),ResultColumnFinder[DataType],0)),2)</f>
        <v>REQUIRED</v>
      </c>
      <c r="O11" s="180" t="str">
        <f ca="1">IF(ISERROR(MATCH(INDIRECT(CONCATENATE("R",ROW()+1,"C",COLUMN()),FALSE),DataColumns[ColumnType],0)),INDEX(ResultColumnFinder[REQUIRED],MATCH(INDIRECT(CONCATENATE("R",ROW()+1,"C",COLUMN()),FALSE),ResultColumnFinder[DataType],0)),2)</f>
        <v>REQUIRED</v>
      </c>
      <c r="P11" s="180" t="str">
        <f ca="1">IF(ISERROR(MATCH(INDIRECT(CONCATENATE("R",ROW()+1,"C",COLUMN()),FALSE),DataColumns[ColumnType],0)),INDEX(ResultColumnFinder[REQUIRED],MATCH(INDIRECT(CONCATENATE("R",ROW()+1,"C",COLUMN()),FALSE),ResultColumnFinder[DataType],0)),2)</f>
        <v>REQUIRED</v>
      </c>
      <c r="Q11" s="180" t="str">
        <f ca="1">IF(ISERROR(MATCH(INDIRECT(CONCATENATE("R",ROW()+1,"C",COLUMN()),FALSE),DataColumns[ColumnType],0)),INDEX(ResultColumnFinder[REQUIRED],MATCH(INDIRECT(CONCATENATE("R",ROW()+1,"C",COLUMN()),FALSE),ResultColumnFinder[DataType],0)),2)</f>
        <v>REQUIRED</v>
      </c>
      <c r="R11" s="180" t="str">
        <f ca="1">IF(ISERROR(MATCH(INDIRECT(CONCATENATE("R",ROW()+1,"C",COLUMN()),FALSE),DataColumns[ColumnType],0)),INDEX(ResultColumnFinder[REQUIRED],MATCH(INDIRECT(CONCATENATE("R",ROW()+1,"C",COLUMN()),FALSE),ResultColumnFinder[DataType],0)),2)</f>
        <v>Optional</v>
      </c>
      <c r="S11" s="180" t="str">
        <f ca="1">IF(ISERROR(MATCH(INDIRECT(CONCATENATE("R",ROW()+1,"C",COLUMN()),FALSE),DataColumns[ColumnType],0)),INDEX(ResultColumnFinder[REQUIRED],MATCH(INDIRECT(CONCATENATE("R",ROW()+1,"C",COLUMN()),FALSE),ResultColumnFinder[DataType],0)),2)</f>
        <v>Optional</v>
      </c>
      <c r="T11" s="180" t="str">
        <f ca="1">IF(ISERROR(MATCH(INDIRECT(CONCATENATE("R",ROW()+1,"C",COLUMN()),FALSE),DataColumns[ColumnType],0)),INDEX(ResultColumnFinder[REQUIRED],MATCH(INDIRECT(CONCATENATE("R",ROW()+1,"C",COLUMN()),FALSE),ResultColumnFinder[DataType],0)),2)</f>
        <v>REQUIRED</v>
      </c>
      <c r="U11" s="180" t="str">
        <f ca="1">IF(ISERROR(MATCH(INDIRECT(CONCATENATE("R",ROW()+1,"C",COLUMN()),FALSE),DataColumns[ColumnType],0)),INDEX(ResultColumnFinder[REQUIRED],MATCH(INDIRECT(CONCATENATE("R",ROW()+1,"C",COLUMN()),FALSE),ResultColumnFinder[DataType],0)),2)</f>
        <v>REQUIRED</v>
      </c>
      <c r="V11" s="180" t="str">
        <f ca="1">IF(ISERROR(MATCH(INDIRECT(CONCATENATE("R",ROW()+1,"C",COLUMN()),FALSE),DataColumns[ColumnType],0)),INDEX(ResultColumnFinder[REQUIRED],MATCH(INDIRECT(CONCATENATE("R",ROW()+1,"C",COLUMN()),FALSE),ResultColumnFinder[DataType],0)),2)</f>
        <v>REQUIRED</v>
      </c>
      <c r="W11" s="180" t="str">
        <f ca="1">IF(ISERROR(MATCH(INDIRECT(CONCATENATE("R",ROW()+1,"C",COLUMN()),FALSE),DataColumns[ColumnType],0)),INDEX(ResultColumnFinder[REQUIRED],MATCH(INDIRECT(CONCATENATE("R",ROW()+1,"C",COLUMN()),FALSE),ResultColumnFinder[DataType],0)),2)</f>
        <v>REQUIRED</v>
      </c>
      <c r="X11" s="180" t="str">
        <f ca="1">IF(ISERROR(MATCH(INDIRECT(CONCATENATE("R",ROW()+1,"C",COLUMN()),FALSE),DataColumns[ColumnType],0)),INDEX(ResultColumnFinder[REQUIRED],MATCH(INDIRECT(CONCATENATE("R",ROW()+1,"C",COLUMN()),FALSE),ResultColumnFinder[DataType],0)),2)</f>
        <v>Optional</v>
      </c>
      <c r="Y11" s="182" t="str">
        <f ca="1">IF(ISERROR(MATCH(INDIRECT(CONCATENATE("R",ROW()+1,"C",COLUMN()),FALSE),DataColumns[ColumnType],0)),INDEX(ResultColumnFinder[REQUIRED],MATCH(INDIRECT(CONCATENATE("R",ROW()+1,"C",COLUMN()),FALSE),ResultColumnFinder[DataType],0)),2)</f>
        <v>REQUIRED</v>
      </c>
      <c r="Z11" s="183" t="str">
        <f ca="1">IF(ISERROR(MATCH(INDIRECT(CONCATENATE("R",ROW()+1,"C",COLUMN()),FALSE),DataColumns[ColumnType],0)),INDEX(ResultColumnFinder[REQUIRED],MATCH(INDIRECT(CONCATENATE("R",ROW()+1,"C",COLUMN()),FALSE),ResultColumnFinder[DataType],0)),2)</f>
        <v>REQUIRED</v>
      </c>
      <c r="AA11" s="183" t="str">
        <f ca="1">IF(ISERROR(MATCH(INDIRECT(CONCATENATE("R",ROW()+1,"C",COLUMN()),FALSE),DataColumns[ColumnType],0)),INDEX(ResultColumnFinder[REQUIRED],MATCH(INDIRECT(CONCATENATE("R",ROW()+1,"C",COLUMN()),FALSE),ResultColumnFinder[DataType],0)),2)</f>
        <v>REQUIRED</v>
      </c>
      <c r="AB11" s="182">
        <v>3</v>
      </c>
      <c r="AC11" s="190">
        <v>3</v>
      </c>
    </row>
    <row r="12" spans="1:29" ht="15.75" thickBot="1" x14ac:dyDescent="0.3">
      <c r="A12" s="95" t="s">
        <v>1383</v>
      </c>
      <c r="B12" s="70" t="s">
        <v>1384</v>
      </c>
      <c r="C12" s="70" t="s">
        <v>1385</v>
      </c>
      <c r="D12" s="167" t="s">
        <v>1388</v>
      </c>
      <c r="E12" s="81" t="s">
        <v>1408</v>
      </c>
      <c r="F12" s="70" t="s">
        <v>198</v>
      </c>
      <c r="G12" s="70" t="s">
        <v>1361</v>
      </c>
      <c r="H12" s="65" t="s">
        <v>1392</v>
      </c>
      <c r="I12" s="65" t="s">
        <v>1453</v>
      </c>
      <c r="J12" s="65" t="s">
        <v>1326</v>
      </c>
      <c r="K12" s="71" t="s">
        <v>196</v>
      </c>
      <c r="L12" s="65" t="s">
        <v>1387</v>
      </c>
      <c r="M12" s="154" t="s">
        <v>1409</v>
      </c>
      <c r="N12" s="81" t="s">
        <v>1138</v>
      </c>
      <c r="O12" s="70" t="s">
        <v>1381</v>
      </c>
      <c r="P12" s="65" t="s">
        <v>1380</v>
      </c>
      <c r="Q12" s="65" t="s">
        <v>201</v>
      </c>
      <c r="R12" s="65" t="s">
        <v>1393</v>
      </c>
      <c r="S12" s="65" t="s">
        <v>1363</v>
      </c>
      <c r="T12" s="65" t="s">
        <v>1454</v>
      </c>
      <c r="U12" s="65" t="s">
        <v>1306</v>
      </c>
      <c r="V12" s="65" t="s">
        <v>1143</v>
      </c>
      <c r="W12" s="65" t="s">
        <v>1144</v>
      </c>
      <c r="X12" s="65" t="s">
        <v>1323</v>
      </c>
      <c r="Y12" s="65" t="s">
        <v>1304</v>
      </c>
      <c r="Z12" s="65" t="s">
        <v>1305</v>
      </c>
      <c r="AA12" s="65" t="s">
        <v>1154</v>
      </c>
      <c r="AB12" s="192" t="s">
        <v>1428</v>
      </c>
      <c r="AC12" s="191" t="s">
        <v>1431</v>
      </c>
    </row>
    <row r="13" spans="1:29" ht="15.75" thickTop="1" x14ac:dyDescent="0.25">
      <c r="A13" s="57" t="str">
        <f>IF(COUNTA(DataColumns[[#This Row],[ColumnLabel]:[QualityCodeCV]])&gt;0,IF(MAX(A$12:A12)=0,1,MAX(A$12:A12)+1),"")</f>
        <v/>
      </c>
      <c r="B13" s="144"/>
      <c r="C13" s="8"/>
      <c r="D13" s="168"/>
      <c r="E13" s="174"/>
      <c r="F13" s="186"/>
      <c r="G13" s="165"/>
      <c r="H13" s="8"/>
      <c r="I13" s="8"/>
      <c r="J13" s="8"/>
      <c r="K13" s="171"/>
      <c r="L13" s="8"/>
      <c r="M13" s="177"/>
      <c r="N13" s="144"/>
      <c r="O13" s="165"/>
      <c r="P13" s="8"/>
      <c r="Q13" s="8"/>
      <c r="R13" s="159"/>
      <c r="S13" s="159"/>
      <c r="T13" s="8"/>
      <c r="U13" s="8"/>
      <c r="V13" s="8"/>
      <c r="W13" s="8"/>
      <c r="X13" s="159"/>
      <c r="Y13" s="8"/>
      <c r="Z13" s="8"/>
      <c r="AA13" s="8"/>
      <c r="AB13" s="193" t="str">
        <f>IF(DataColumns[[#This Row],[ColumnType]]="ResultValue",IF(MAX(AB$12:AB12)=0,1,MAX(AB$12:AB12)+1),"")</f>
        <v/>
      </c>
      <c r="AC13" s="137" t="str">
        <f>IF(DataColumns[[#This Row],[ColumnType]]="ResultValue",CONCATENATE(DataColumns[[#This Row],[ColumnType]],DataColumns[[#This Row],[ColumnLabel]]),CONCATENATE(DataColumns[[#This Row],[ColumnType]],DataColumns[[#This Row],[AppliesToColumn]]))</f>
        <v/>
      </c>
    </row>
    <row r="14" spans="1:29" x14ac:dyDescent="0.25">
      <c r="A14" s="58" t="str">
        <f>IF(COUNTA(DataColumns[[#This Row],[ColumnLabel]:[QualityCodeCV]])&gt;0,IF(MAX(A$12:A13)=0,1,MAX(A$12:A13)+1),"")</f>
        <v/>
      </c>
      <c r="B14" s="116"/>
      <c r="C14" s="11"/>
      <c r="D14" s="169"/>
      <c r="E14" s="175"/>
      <c r="F14" s="151"/>
      <c r="G14" s="10"/>
      <c r="H14" s="11"/>
      <c r="I14" s="11"/>
      <c r="J14" s="11"/>
      <c r="K14" s="40"/>
      <c r="L14" s="11"/>
      <c r="M14" s="145"/>
      <c r="N14" s="116"/>
      <c r="O14" s="10"/>
      <c r="P14" s="11"/>
      <c r="Q14" s="11"/>
      <c r="R14" s="22"/>
      <c r="S14" s="22"/>
      <c r="T14" s="11"/>
      <c r="U14" s="11"/>
      <c r="V14" s="11"/>
      <c r="W14" s="11"/>
      <c r="X14" s="22"/>
      <c r="Y14" s="11"/>
      <c r="Z14" s="11"/>
      <c r="AA14" s="11"/>
      <c r="AB14" s="194" t="str">
        <f>IF(DataColumns[[#This Row],[ColumnType]]="ResultValue",IF(MAX(AB$12:AB13)=0,1,MAX(AB$12:AB13)+1),"")</f>
        <v/>
      </c>
      <c r="AC14" s="138" t="str">
        <f>IF(DataColumns[[#This Row],[ColumnType]]="ResultValue",CONCATENATE(DataColumns[[#This Row],[ColumnType]],DataColumns[[#This Row],[ColumnLabel]]),CONCATENATE(DataColumns[[#This Row],[ColumnType]],DataColumns[[#This Row],[AppliesToColumn]]))</f>
        <v/>
      </c>
    </row>
    <row r="15" spans="1:29" x14ac:dyDescent="0.25">
      <c r="A15" s="58" t="str">
        <f>IF(COUNTA(DataColumns[[#This Row],[ColumnLabel]:[QualityCodeCV]])&gt;0,IF(MAX(A$12:A14)=0,1,MAX(A$12:A14)+1),"")</f>
        <v/>
      </c>
      <c r="B15" s="116"/>
      <c r="C15" s="11"/>
      <c r="D15" s="169"/>
      <c r="E15" s="175"/>
      <c r="F15" s="151"/>
      <c r="G15" s="10"/>
      <c r="H15" s="11"/>
      <c r="I15" s="11"/>
      <c r="J15" s="11"/>
      <c r="K15" s="40"/>
      <c r="L15" s="11"/>
      <c r="M15" s="145"/>
      <c r="N15" s="116"/>
      <c r="O15" s="10"/>
      <c r="P15" s="11"/>
      <c r="Q15" s="11"/>
      <c r="R15" s="22"/>
      <c r="S15" s="22"/>
      <c r="T15" s="11"/>
      <c r="U15" s="11"/>
      <c r="V15" s="11"/>
      <c r="W15" s="11"/>
      <c r="X15" s="22"/>
      <c r="Y15" s="11"/>
      <c r="Z15" s="11"/>
      <c r="AA15" s="11"/>
      <c r="AB15" s="194" t="str">
        <f>IF(DataColumns[[#This Row],[ColumnType]]="ResultValue",IF(MAX(AB$12:AB14)=0,1,MAX(AB$12:AB14)+1),"")</f>
        <v/>
      </c>
      <c r="AC15" s="138" t="str">
        <f>IF(DataColumns[[#This Row],[ColumnType]]="ResultValue",CONCATENATE(DataColumns[[#This Row],[ColumnType]],DataColumns[[#This Row],[ColumnLabel]]),CONCATENATE(DataColumns[[#This Row],[ColumnType]],DataColumns[[#This Row],[AppliesToColumn]]))</f>
        <v/>
      </c>
    </row>
    <row r="16" spans="1:29" x14ac:dyDescent="0.25">
      <c r="A16" s="58" t="str">
        <f>IF(COUNTA(DataColumns[[#This Row],[ColumnLabel]:[QualityCodeCV]])&gt;0,IF(MAX(A$12:A15)=0,1,MAX(A$12:A15)+1),"")</f>
        <v/>
      </c>
      <c r="B16" s="116"/>
      <c r="C16" s="11"/>
      <c r="D16" s="169"/>
      <c r="E16" s="175"/>
      <c r="F16" s="151"/>
      <c r="G16" s="10"/>
      <c r="H16" s="11"/>
      <c r="I16" s="11"/>
      <c r="J16" s="11"/>
      <c r="K16" s="40"/>
      <c r="L16" s="11"/>
      <c r="M16" s="145"/>
      <c r="N16" s="116"/>
      <c r="O16" s="10"/>
      <c r="P16" s="11"/>
      <c r="Q16" s="11"/>
      <c r="R16" s="22"/>
      <c r="S16" s="22"/>
      <c r="T16" s="11"/>
      <c r="U16" s="11"/>
      <c r="V16" s="11"/>
      <c r="W16" s="11"/>
      <c r="X16" s="22"/>
      <c r="Y16" s="11"/>
      <c r="Z16" s="11"/>
      <c r="AA16" s="11"/>
      <c r="AB16" s="194" t="str">
        <f>IF(DataColumns[[#This Row],[ColumnType]]="ResultValue",IF(MAX(AB$12:AB15)=0,1,MAX(AB$12:AB15)+1),"")</f>
        <v/>
      </c>
      <c r="AC16" s="138" t="str">
        <f>IF(DataColumns[[#This Row],[ColumnType]]="ResultValue",CONCATENATE(DataColumns[[#This Row],[ColumnType]],DataColumns[[#This Row],[ColumnLabel]]),CONCATENATE(DataColumns[[#This Row],[ColumnType]],DataColumns[[#This Row],[AppliesToColumn]]))</f>
        <v/>
      </c>
    </row>
    <row r="17" spans="1:29" x14ac:dyDescent="0.25">
      <c r="A17" s="58" t="str">
        <f>IF(COUNTA(DataColumns[[#This Row],[ColumnLabel]:[QualityCodeCV]])&gt;0,IF(MAX(A$12:A16)=0,1,MAX(A$12:A16)+1),"")</f>
        <v/>
      </c>
      <c r="B17" s="116"/>
      <c r="C17" s="11"/>
      <c r="D17" s="169"/>
      <c r="E17" s="175"/>
      <c r="F17" s="151"/>
      <c r="G17" s="10"/>
      <c r="H17" s="11"/>
      <c r="I17" s="11"/>
      <c r="J17" s="11"/>
      <c r="K17" s="40"/>
      <c r="L17" s="11"/>
      <c r="M17" s="145"/>
      <c r="N17" s="116"/>
      <c r="O17" s="10"/>
      <c r="P17" s="11"/>
      <c r="Q17" s="11"/>
      <c r="R17" s="22"/>
      <c r="S17" s="22"/>
      <c r="T17" s="11"/>
      <c r="U17" s="11"/>
      <c r="V17" s="11"/>
      <c r="W17" s="11"/>
      <c r="X17" s="22"/>
      <c r="Y17" s="11"/>
      <c r="Z17" s="11"/>
      <c r="AA17" s="11"/>
      <c r="AB17" s="194" t="str">
        <f>IF(DataColumns[[#This Row],[ColumnType]]="ResultValue",IF(MAX(AB$12:AB16)=0,1,MAX(AB$12:AB16)+1),"")</f>
        <v/>
      </c>
      <c r="AC17" s="138" t="str">
        <f>IF(DataColumns[[#This Row],[ColumnType]]="ResultValue",CONCATENATE(DataColumns[[#This Row],[ColumnType]],DataColumns[[#This Row],[ColumnLabel]]),CONCATENATE(DataColumns[[#This Row],[ColumnType]],DataColumns[[#This Row],[AppliesToColumn]]))</f>
        <v/>
      </c>
    </row>
    <row r="18" spans="1:29" x14ac:dyDescent="0.25">
      <c r="A18" s="58" t="str">
        <f>IF(COUNTA(DataColumns[[#This Row],[ColumnLabel]:[QualityCodeCV]])&gt;0,IF(MAX(A$12:A17)=0,1,MAX(A$12:A17)+1),"")</f>
        <v/>
      </c>
      <c r="B18" s="116"/>
      <c r="C18" s="11"/>
      <c r="D18" s="169"/>
      <c r="E18" s="175"/>
      <c r="F18" s="151"/>
      <c r="G18" s="10"/>
      <c r="H18" s="11"/>
      <c r="I18" s="11"/>
      <c r="J18" s="11"/>
      <c r="K18" s="40"/>
      <c r="L18" s="11"/>
      <c r="M18" s="145"/>
      <c r="N18" s="116"/>
      <c r="O18" s="10"/>
      <c r="P18" s="11"/>
      <c r="Q18" s="11"/>
      <c r="R18" s="22"/>
      <c r="S18" s="22"/>
      <c r="T18" s="11"/>
      <c r="U18" s="11"/>
      <c r="V18" s="11"/>
      <c r="W18" s="11"/>
      <c r="X18" s="22"/>
      <c r="Y18" s="11"/>
      <c r="Z18" s="11"/>
      <c r="AA18" s="11"/>
      <c r="AB18" s="194" t="str">
        <f>IF(DataColumns[[#This Row],[ColumnType]]="ResultValue",IF(MAX(AB$12:AB17)=0,1,MAX(AB$12:AB17)+1),"")</f>
        <v/>
      </c>
      <c r="AC18" s="138" t="str">
        <f>IF(DataColumns[[#This Row],[ColumnType]]="ResultValue",CONCATENATE(DataColumns[[#This Row],[ColumnType]],DataColumns[[#This Row],[ColumnLabel]]),CONCATENATE(DataColumns[[#This Row],[ColumnType]],DataColumns[[#This Row],[AppliesToColumn]]))</f>
        <v/>
      </c>
    </row>
    <row r="19" spans="1:29" x14ac:dyDescent="0.25">
      <c r="A19" s="58" t="str">
        <f>IF(COUNTA(DataColumns[[#This Row],[ColumnLabel]:[QualityCodeCV]])&gt;0,IF(MAX(A$12:A18)=0,1,MAX(A$12:A18)+1),"")</f>
        <v/>
      </c>
      <c r="B19" s="116"/>
      <c r="C19" s="11"/>
      <c r="D19" s="169"/>
      <c r="E19" s="175"/>
      <c r="F19" s="151"/>
      <c r="G19" s="10"/>
      <c r="H19" s="11"/>
      <c r="I19" s="11"/>
      <c r="J19" s="11"/>
      <c r="K19" s="40"/>
      <c r="L19" s="11"/>
      <c r="M19" s="145"/>
      <c r="N19" s="116"/>
      <c r="O19" s="10"/>
      <c r="P19" s="11"/>
      <c r="Q19" s="11"/>
      <c r="R19" s="22"/>
      <c r="S19" s="22"/>
      <c r="T19" s="11"/>
      <c r="U19" s="11"/>
      <c r="V19" s="11"/>
      <c r="W19" s="11"/>
      <c r="X19" s="22"/>
      <c r="Y19" s="11"/>
      <c r="Z19" s="11"/>
      <c r="AA19" s="11"/>
      <c r="AB19" s="194" t="str">
        <f>IF(DataColumns[[#This Row],[ColumnType]]="ResultValue",IF(MAX(AB$12:AB18)=0,1,MAX(AB$12:AB18)+1),"")</f>
        <v/>
      </c>
      <c r="AC19" s="138" t="str">
        <f>IF(DataColumns[[#This Row],[ColumnType]]="ResultValue",CONCATENATE(DataColumns[[#This Row],[ColumnType]],DataColumns[[#This Row],[ColumnLabel]]),CONCATENATE(DataColumns[[#This Row],[ColumnType]],DataColumns[[#This Row],[AppliesToColumn]]))</f>
        <v/>
      </c>
    </row>
    <row r="20" spans="1:29" x14ac:dyDescent="0.25">
      <c r="A20" s="58" t="str">
        <f>IF(COUNTA(DataColumns[[#This Row],[ColumnLabel]:[QualityCodeCV]])&gt;0,IF(MAX(A$12:A19)=0,1,MAX(A$12:A19)+1),"")</f>
        <v/>
      </c>
      <c r="B20" s="116"/>
      <c r="C20" s="11"/>
      <c r="D20" s="169"/>
      <c r="E20" s="175"/>
      <c r="F20" s="151"/>
      <c r="G20" s="10"/>
      <c r="H20" s="11"/>
      <c r="I20" s="11"/>
      <c r="J20" s="11"/>
      <c r="K20" s="40"/>
      <c r="L20" s="11"/>
      <c r="M20" s="145"/>
      <c r="N20" s="116"/>
      <c r="O20" s="10"/>
      <c r="P20" s="11"/>
      <c r="Q20" s="11"/>
      <c r="R20" s="22"/>
      <c r="S20" s="22"/>
      <c r="T20" s="11"/>
      <c r="U20" s="11"/>
      <c r="V20" s="11"/>
      <c r="W20" s="11"/>
      <c r="X20" s="22"/>
      <c r="Y20" s="11"/>
      <c r="Z20" s="11"/>
      <c r="AA20" s="11"/>
      <c r="AB20" s="194" t="str">
        <f>IF(DataColumns[[#This Row],[ColumnType]]="ResultValue",IF(MAX(AB$12:AB19)=0,1,MAX(AB$12:AB19)+1),"")</f>
        <v/>
      </c>
      <c r="AC20" s="138" t="str">
        <f>IF(DataColumns[[#This Row],[ColumnType]]="ResultValue",CONCATENATE(DataColumns[[#This Row],[ColumnType]],DataColumns[[#This Row],[ColumnLabel]]),CONCATENATE(DataColumns[[#This Row],[ColumnType]],DataColumns[[#This Row],[AppliesToColumn]]))</f>
        <v/>
      </c>
    </row>
    <row r="21" spans="1:29" x14ac:dyDescent="0.25">
      <c r="A21" s="58" t="str">
        <f>IF(COUNTA(DataColumns[[#This Row],[ColumnLabel]:[QualityCodeCV]])&gt;0,IF(MAX(A$12:A20)=0,1,MAX(A$12:A20)+1),"")</f>
        <v/>
      </c>
      <c r="B21" s="116"/>
      <c r="C21" s="11"/>
      <c r="D21" s="169"/>
      <c r="E21" s="175"/>
      <c r="F21" s="151"/>
      <c r="G21" s="10"/>
      <c r="H21" s="11"/>
      <c r="I21" s="11"/>
      <c r="J21" s="11"/>
      <c r="K21" s="40"/>
      <c r="L21" s="11"/>
      <c r="M21" s="145"/>
      <c r="N21" s="116"/>
      <c r="O21" s="10"/>
      <c r="P21" s="11"/>
      <c r="Q21" s="11"/>
      <c r="R21" s="22"/>
      <c r="S21" s="22"/>
      <c r="T21" s="11"/>
      <c r="U21" s="11"/>
      <c r="V21" s="11"/>
      <c r="W21" s="11"/>
      <c r="X21" s="22"/>
      <c r="Y21" s="11"/>
      <c r="Z21" s="11"/>
      <c r="AA21" s="11"/>
      <c r="AB21" s="194" t="str">
        <f>IF(DataColumns[[#This Row],[ColumnType]]="ResultValue",IF(MAX(AB$12:AB20)=0,1,MAX(AB$12:AB20)+1),"")</f>
        <v/>
      </c>
      <c r="AC21" s="138" t="str">
        <f>IF(DataColumns[[#This Row],[ColumnType]]="ResultValue",CONCATENATE(DataColumns[[#This Row],[ColumnType]],DataColumns[[#This Row],[ColumnLabel]]),CONCATENATE(DataColumns[[#This Row],[ColumnType]],DataColumns[[#This Row],[AppliesToColumn]]))</f>
        <v/>
      </c>
    </row>
    <row r="22" spans="1:29" x14ac:dyDescent="0.25">
      <c r="A22" s="58" t="str">
        <f>IF(COUNTA(DataColumns[[#This Row],[ColumnLabel]:[QualityCodeCV]])&gt;0,IF(MAX(A$12:A21)=0,1,MAX(A$12:A21)+1),"")</f>
        <v/>
      </c>
      <c r="B22" s="116"/>
      <c r="C22" s="11"/>
      <c r="D22" s="169"/>
      <c r="E22" s="175"/>
      <c r="F22" s="151"/>
      <c r="G22" s="10"/>
      <c r="H22" s="11"/>
      <c r="I22" s="11"/>
      <c r="J22" s="11"/>
      <c r="K22" s="40"/>
      <c r="L22" s="11"/>
      <c r="M22" s="145"/>
      <c r="N22" s="116"/>
      <c r="O22" s="10"/>
      <c r="P22" s="11"/>
      <c r="Q22" s="11"/>
      <c r="R22" s="22"/>
      <c r="S22" s="22"/>
      <c r="T22" s="11"/>
      <c r="U22" s="11"/>
      <c r="V22" s="11"/>
      <c r="W22" s="11"/>
      <c r="X22" s="22"/>
      <c r="Y22" s="11"/>
      <c r="Z22" s="11"/>
      <c r="AA22" s="11"/>
      <c r="AB22" s="194" t="str">
        <f>IF(DataColumns[[#This Row],[ColumnType]]="ResultValue",IF(MAX(AB$12:AB21)=0,1,MAX(AB$12:AB21)+1),"")</f>
        <v/>
      </c>
      <c r="AC22" s="138" t="str">
        <f>IF(DataColumns[[#This Row],[ColumnType]]="ResultValue",CONCATENATE(DataColumns[[#This Row],[ColumnType]],DataColumns[[#This Row],[ColumnLabel]]),CONCATENATE(DataColumns[[#This Row],[ColumnType]],DataColumns[[#This Row],[AppliesToColumn]]))</f>
        <v/>
      </c>
    </row>
    <row r="23" spans="1:29" x14ac:dyDescent="0.25">
      <c r="A23" s="58" t="str">
        <f>IF(COUNTA(DataColumns[[#This Row],[ColumnLabel]:[QualityCodeCV]])&gt;0,IF(MAX(A$12:A22)=0,1,MAX(A$12:A22)+1),"")</f>
        <v/>
      </c>
      <c r="B23" s="116"/>
      <c r="C23" s="11"/>
      <c r="D23" s="169"/>
      <c r="E23" s="175"/>
      <c r="F23" s="151"/>
      <c r="G23" s="10"/>
      <c r="H23" s="11"/>
      <c r="I23" s="11"/>
      <c r="J23" s="11"/>
      <c r="K23" s="40"/>
      <c r="L23" s="11"/>
      <c r="M23" s="145"/>
      <c r="N23" s="116"/>
      <c r="O23" s="10"/>
      <c r="P23" s="11"/>
      <c r="Q23" s="11"/>
      <c r="R23" s="22"/>
      <c r="S23" s="22"/>
      <c r="T23" s="11"/>
      <c r="U23" s="11"/>
      <c r="V23" s="11"/>
      <c r="W23" s="11"/>
      <c r="X23" s="22"/>
      <c r="Y23" s="11"/>
      <c r="Z23" s="11"/>
      <c r="AA23" s="11"/>
      <c r="AB23" s="194" t="str">
        <f>IF(DataColumns[[#This Row],[ColumnType]]="ResultValue",IF(MAX(AB$12:AB22)=0,1,MAX(AB$12:AB22)+1),"")</f>
        <v/>
      </c>
      <c r="AC23" s="138" t="str">
        <f>IF(DataColumns[[#This Row],[ColumnType]]="ResultValue",CONCATENATE(DataColumns[[#This Row],[ColumnType]],DataColumns[[#This Row],[ColumnLabel]]),CONCATENATE(DataColumns[[#This Row],[ColumnType]],DataColumns[[#This Row],[AppliesToColumn]]))</f>
        <v/>
      </c>
    </row>
    <row r="24" spans="1:29" x14ac:dyDescent="0.25">
      <c r="A24" s="58" t="str">
        <f>IF(COUNTA(DataColumns[[#This Row],[ColumnLabel]:[QualityCodeCV]])&gt;0,IF(MAX(A$12:A23)=0,1,MAX(A$12:A23)+1),"")</f>
        <v/>
      </c>
      <c r="B24" s="116"/>
      <c r="C24" s="11"/>
      <c r="D24" s="169"/>
      <c r="E24" s="175"/>
      <c r="F24" s="151"/>
      <c r="G24" s="10"/>
      <c r="H24" s="11"/>
      <c r="I24" s="11"/>
      <c r="J24" s="11"/>
      <c r="K24" s="40"/>
      <c r="L24" s="11"/>
      <c r="M24" s="145"/>
      <c r="N24" s="116"/>
      <c r="O24" s="10"/>
      <c r="P24" s="11"/>
      <c r="Q24" s="11"/>
      <c r="R24" s="22"/>
      <c r="S24" s="22"/>
      <c r="T24" s="11"/>
      <c r="U24" s="11"/>
      <c r="V24" s="11"/>
      <c r="W24" s="11"/>
      <c r="X24" s="22"/>
      <c r="Y24" s="11"/>
      <c r="Z24" s="11"/>
      <c r="AA24" s="11"/>
      <c r="AB24" s="194" t="str">
        <f>IF(DataColumns[[#This Row],[ColumnType]]="ResultValue",IF(MAX(AB$12:AB23)=0,1,MAX(AB$12:AB23)+1),"")</f>
        <v/>
      </c>
      <c r="AC24" s="138" t="str">
        <f>IF(DataColumns[[#This Row],[ColumnType]]="ResultValue",CONCATENATE(DataColumns[[#This Row],[ColumnType]],DataColumns[[#This Row],[ColumnLabel]]),CONCATENATE(DataColumns[[#This Row],[ColumnType]],DataColumns[[#This Row],[AppliesToColumn]]))</f>
        <v/>
      </c>
    </row>
    <row r="25" spans="1:29" x14ac:dyDescent="0.25">
      <c r="A25" s="58" t="str">
        <f>IF(COUNTA(DataColumns[[#This Row],[ColumnLabel]:[QualityCodeCV]])&gt;0,IF(MAX(A$12:A24)=0,1,MAX(A$12:A24)+1),"")</f>
        <v/>
      </c>
      <c r="B25" s="116"/>
      <c r="C25" s="11"/>
      <c r="D25" s="169"/>
      <c r="E25" s="175"/>
      <c r="F25" s="151"/>
      <c r="G25" s="10"/>
      <c r="H25" s="11"/>
      <c r="I25" s="11"/>
      <c r="J25" s="11"/>
      <c r="K25" s="40"/>
      <c r="L25" s="11"/>
      <c r="M25" s="145"/>
      <c r="N25" s="116"/>
      <c r="O25" s="10"/>
      <c r="P25" s="11"/>
      <c r="Q25" s="11"/>
      <c r="R25" s="22"/>
      <c r="S25" s="22"/>
      <c r="T25" s="11"/>
      <c r="U25" s="11"/>
      <c r="V25" s="11"/>
      <c r="W25" s="11"/>
      <c r="X25" s="22"/>
      <c r="Y25" s="11"/>
      <c r="Z25" s="11"/>
      <c r="AA25" s="11"/>
      <c r="AB25" s="194" t="str">
        <f>IF(DataColumns[[#This Row],[ColumnType]]="ResultValue",IF(MAX(AB$12:AB24)=0,1,MAX(AB$12:AB24)+1),"")</f>
        <v/>
      </c>
      <c r="AC25" s="138" t="str">
        <f>IF(DataColumns[[#This Row],[ColumnType]]="ResultValue",CONCATENATE(DataColumns[[#This Row],[ColumnType]],DataColumns[[#This Row],[ColumnLabel]]),CONCATENATE(DataColumns[[#This Row],[ColumnType]],DataColumns[[#This Row],[AppliesToColumn]]))</f>
        <v/>
      </c>
    </row>
    <row r="26" spans="1:29" x14ac:dyDescent="0.25">
      <c r="A26" s="58" t="str">
        <f>IF(COUNTA(DataColumns[[#This Row],[ColumnLabel]:[QualityCodeCV]])&gt;0,IF(MAX(A$12:A25)=0,1,MAX(A$12:A25)+1),"")</f>
        <v/>
      </c>
      <c r="B26" s="116"/>
      <c r="C26" s="11"/>
      <c r="D26" s="169"/>
      <c r="E26" s="175"/>
      <c r="F26" s="151"/>
      <c r="G26" s="10"/>
      <c r="H26" s="11"/>
      <c r="I26" s="11"/>
      <c r="J26" s="11"/>
      <c r="K26" s="40"/>
      <c r="L26" s="11"/>
      <c r="M26" s="145"/>
      <c r="N26" s="116"/>
      <c r="O26" s="10"/>
      <c r="P26" s="11"/>
      <c r="Q26" s="11"/>
      <c r="R26" s="22"/>
      <c r="S26" s="22"/>
      <c r="T26" s="11"/>
      <c r="U26" s="11"/>
      <c r="V26" s="11"/>
      <c r="W26" s="11"/>
      <c r="X26" s="22"/>
      <c r="Y26" s="11"/>
      <c r="Z26" s="11"/>
      <c r="AA26" s="11"/>
      <c r="AB26" s="194" t="str">
        <f>IF(DataColumns[[#This Row],[ColumnType]]="ResultValue",IF(MAX(AB$12:AB25)=0,1,MAX(AB$12:AB25)+1),"")</f>
        <v/>
      </c>
      <c r="AC26" s="138" t="str">
        <f>IF(DataColumns[[#This Row],[ColumnType]]="ResultValue",CONCATENATE(DataColumns[[#This Row],[ColumnType]],DataColumns[[#This Row],[ColumnLabel]]),CONCATENATE(DataColumns[[#This Row],[ColumnType]],DataColumns[[#This Row],[AppliesToColumn]]))</f>
        <v/>
      </c>
    </row>
    <row r="27" spans="1:29" x14ac:dyDescent="0.25">
      <c r="A27" s="58" t="str">
        <f>IF(COUNTA(DataColumns[[#This Row],[ColumnLabel]:[QualityCodeCV]])&gt;0,IF(MAX(A$12:A26)=0,1,MAX(A$12:A26)+1),"")</f>
        <v/>
      </c>
      <c r="B27" s="116"/>
      <c r="C27" s="11"/>
      <c r="D27" s="169"/>
      <c r="E27" s="175"/>
      <c r="F27" s="151"/>
      <c r="G27" s="10"/>
      <c r="H27" s="11"/>
      <c r="I27" s="11"/>
      <c r="J27" s="11"/>
      <c r="K27" s="40"/>
      <c r="L27" s="11"/>
      <c r="M27" s="145"/>
      <c r="N27" s="116"/>
      <c r="O27" s="10"/>
      <c r="P27" s="11"/>
      <c r="Q27" s="11"/>
      <c r="R27" s="22"/>
      <c r="S27" s="22"/>
      <c r="T27" s="11"/>
      <c r="U27" s="11"/>
      <c r="V27" s="11"/>
      <c r="W27" s="11"/>
      <c r="X27" s="22"/>
      <c r="Y27" s="11"/>
      <c r="Z27" s="11"/>
      <c r="AA27" s="11"/>
      <c r="AB27" s="194" t="str">
        <f>IF(DataColumns[[#This Row],[ColumnType]]="ResultValue",IF(MAX(AB$12:AB26)=0,1,MAX(AB$12:AB26)+1),"")</f>
        <v/>
      </c>
      <c r="AC27" s="138" t="str">
        <f>IF(DataColumns[[#This Row],[ColumnType]]="ResultValue",CONCATENATE(DataColumns[[#This Row],[ColumnType]],DataColumns[[#This Row],[ColumnLabel]]),CONCATENATE(DataColumns[[#This Row],[ColumnType]],DataColumns[[#This Row],[AppliesToColumn]]))</f>
        <v/>
      </c>
    </row>
    <row r="28" spans="1:29" x14ac:dyDescent="0.25">
      <c r="A28" s="58" t="str">
        <f>IF(COUNTA(DataColumns[[#This Row],[ColumnLabel]:[QualityCodeCV]])&gt;0,IF(MAX(A$12:A27)=0,1,MAX(A$12:A27)+1),"")</f>
        <v/>
      </c>
      <c r="B28" s="116"/>
      <c r="C28" s="11"/>
      <c r="D28" s="169"/>
      <c r="E28" s="175"/>
      <c r="F28" s="151"/>
      <c r="G28" s="10"/>
      <c r="H28" s="11"/>
      <c r="I28" s="11"/>
      <c r="J28" s="11"/>
      <c r="K28" s="40"/>
      <c r="L28" s="11"/>
      <c r="M28" s="145"/>
      <c r="N28" s="116"/>
      <c r="O28" s="10"/>
      <c r="P28" s="11"/>
      <c r="Q28" s="11"/>
      <c r="R28" s="22"/>
      <c r="S28" s="22"/>
      <c r="T28" s="11"/>
      <c r="U28" s="11"/>
      <c r="V28" s="11"/>
      <c r="W28" s="11"/>
      <c r="X28" s="22"/>
      <c r="Y28" s="11"/>
      <c r="Z28" s="11"/>
      <c r="AA28" s="11"/>
      <c r="AB28" s="194" t="str">
        <f>IF(DataColumns[[#This Row],[ColumnType]]="ResultValue",IF(MAX(AB$12:AB27)=0,1,MAX(AB$12:AB27)+1),"")</f>
        <v/>
      </c>
      <c r="AC28" s="138" t="str">
        <f>IF(DataColumns[[#This Row],[ColumnType]]="ResultValue",CONCATENATE(DataColumns[[#This Row],[ColumnType]],DataColumns[[#This Row],[ColumnLabel]]),CONCATENATE(DataColumns[[#This Row],[ColumnType]],DataColumns[[#This Row],[AppliesToColumn]]))</f>
        <v/>
      </c>
    </row>
    <row r="29" spans="1:29" x14ac:dyDescent="0.25">
      <c r="A29" s="58" t="str">
        <f>IF(COUNTA(DataColumns[[#This Row],[ColumnLabel]:[QualityCodeCV]])&gt;0,IF(MAX(A$12:A28)=0,1,MAX(A$12:A28)+1),"")</f>
        <v/>
      </c>
      <c r="B29" s="116"/>
      <c r="C29" s="11"/>
      <c r="D29" s="169"/>
      <c r="E29" s="175"/>
      <c r="F29" s="151"/>
      <c r="G29" s="10"/>
      <c r="H29" s="11"/>
      <c r="I29" s="11"/>
      <c r="J29" s="11"/>
      <c r="K29" s="40"/>
      <c r="L29" s="11"/>
      <c r="M29" s="145"/>
      <c r="N29" s="116"/>
      <c r="O29" s="10"/>
      <c r="P29" s="11"/>
      <c r="Q29" s="11"/>
      <c r="R29" s="22"/>
      <c r="S29" s="22"/>
      <c r="T29" s="11"/>
      <c r="U29" s="11"/>
      <c r="V29" s="11"/>
      <c r="W29" s="11"/>
      <c r="X29" s="22"/>
      <c r="Y29" s="11"/>
      <c r="Z29" s="11"/>
      <c r="AA29" s="11"/>
      <c r="AB29" s="194" t="str">
        <f>IF(DataColumns[[#This Row],[ColumnType]]="ResultValue",IF(MAX(AB$12:AB28)=0,1,MAX(AB$12:AB28)+1),"")</f>
        <v/>
      </c>
      <c r="AC29" s="138" t="str">
        <f>IF(DataColumns[[#This Row],[ColumnType]]="ResultValue",CONCATENATE(DataColumns[[#This Row],[ColumnType]],DataColumns[[#This Row],[ColumnLabel]]),CONCATENATE(DataColumns[[#This Row],[ColumnType]],DataColumns[[#This Row],[AppliesToColumn]]))</f>
        <v/>
      </c>
    </row>
    <row r="30" spans="1:29" x14ac:dyDescent="0.25">
      <c r="A30" s="58" t="str">
        <f>IF(COUNTA(DataColumns[[#This Row],[ColumnLabel]:[QualityCodeCV]])&gt;0,IF(MAX(A$12:A29)=0,1,MAX(A$12:A29)+1),"")</f>
        <v/>
      </c>
      <c r="B30" s="116"/>
      <c r="C30" s="11"/>
      <c r="D30" s="169"/>
      <c r="E30" s="175"/>
      <c r="F30" s="151"/>
      <c r="G30" s="10"/>
      <c r="H30" s="11"/>
      <c r="I30" s="11"/>
      <c r="J30" s="11"/>
      <c r="K30" s="40"/>
      <c r="L30" s="11"/>
      <c r="M30" s="145"/>
      <c r="N30" s="116"/>
      <c r="O30" s="10"/>
      <c r="P30" s="11"/>
      <c r="Q30" s="11"/>
      <c r="R30" s="22"/>
      <c r="S30" s="22"/>
      <c r="T30" s="11"/>
      <c r="U30" s="11"/>
      <c r="V30" s="11"/>
      <c r="W30" s="11"/>
      <c r="X30" s="22"/>
      <c r="Y30" s="11"/>
      <c r="Z30" s="11"/>
      <c r="AA30" s="11"/>
      <c r="AB30" s="194" t="str">
        <f>IF(DataColumns[[#This Row],[ColumnType]]="ResultValue",IF(MAX(AB$12:AB29)=0,1,MAX(AB$12:AB29)+1),"")</f>
        <v/>
      </c>
      <c r="AC30" s="138" t="str">
        <f>IF(DataColumns[[#This Row],[ColumnType]]="ResultValue",CONCATENATE(DataColumns[[#This Row],[ColumnType]],DataColumns[[#This Row],[ColumnLabel]]),CONCATENATE(DataColumns[[#This Row],[ColumnType]],DataColumns[[#This Row],[AppliesToColumn]]))</f>
        <v/>
      </c>
    </row>
    <row r="31" spans="1:29" x14ac:dyDescent="0.25">
      <c r="A31" s="58" t="str">
        <f>IF(COUNTA(DataColumns[[#This Row],[ColumnLabel]:[QualityCodeCV]])&gt;0,IF(MAX(A$12:A30)=0,1,MAX(A$12:A30)+1),"")</f>
        <v/>
      </c>
      <c r="B31" s="116"/>
      <c r="C31" s="11"/>
      <c r="D31" s="169"/>
      <c r="E31" s="175"/>
      <c r="F31" s="151"/>
      <c r="G31" s="10"/>
      <c r="H31" s="11"/>
      <c r="I31" s="11"/>
      <c r="J31" s="11"/>
      <c r="K31" s="40"/>
      <c r="L31" s="11"/>
      <c r="M31" s="145"/>
      <c r="N31" s="116"/>
      <c r="O31" s="10"/>
      <c r="P31" s="11"/>
      <c r="Q31" s="11"/>
      <c r="R31" s="22"/>
      <c r="S31" s="22"/>
      <c r="T31" s="11"/>
      <c r="U31" s="11"/>
      <c r="V31" s="11"/>
      <c r="W31" s="11"/>
      <c r="X31" s="22"/>
      <c r="Y31" s="11"/>
      <c r="Z31" s="11"/>
      <c r="AA31" s="11"/>
      <c r="AB31" s="194" t="str">
        <f>IF(DataColumns[[#This Row],[ColumnType]]="ResultValue",IF(MAX(AB$12:AB30)=0,1,MAX(AB$12:AB30)+1),"")</f>
        <v/>
      </c>
      <c r="AC31" s="138" t="str">
        <f>IF(DataColumns[[#This Row],[ColumnType]]="ResultValue",CONCATENATE(DataColumns[[#This Row],[ColumnType]],DataColumns[[#This Row],[ColumnLabel]]),CONCATENATE(DataColumns[[#This Row],[ColumnType]],DataColumns[[#This Row],[AppliesToColumn]]))</f>
        <v/>
      </c>
    </row>
    <row r="32" spans="1:29" x14ac:dyDescent="0.25">
      <c r="A32" s="58" t="str">
        <f>IF(COUNTA(DataColumns[[#This Row],[ColumnLabel]:[QualityCodeCV]])&gt;0,IF(MAX(A$12:A31)=0,1,MAX(A$12:A31)+1),"")</f>
        <v/>
      </c>
      <c r="B32" s="116"/>
      <c r="C32" s="11"/>
      <c r="D32" s="169"/>
      <c r="E32" s="175"/>
      <c r="F32" s="151"/>
      <c r="G32" s="10"/>
      <c r="H32" s="11"/>
      <c r="I32" s="11"/>
      <c r="J32" s="11"/>
      <c r="K32" s="40"/>
      <c r="L32" s="11"/>
      <c r="M32" s="145"/>
      <c r="N32" s="116"/>
      <c r="O32" s="10"/>
      <c r="P32" s="11"/>
      <c r="Q32" s="11"/>
      <c r="R32" s="22"/>
      <c r="S32" s="22"/>
      <c r="T32" s="11"/>
      <c r="U32" s="11"/>
      <c r="V32" s="11"/>
      <c r="W32" s="11"/>
      <c r="X32" s="22"/>
      <c r="Y32" s="11"/>
      <c r="Z32" s="11"/>
      <c r="AA32" s="11"/>
      <c r="AB32" s="194" t="str">
        <f>IF(DataColumns[[#This Row],[ColumnType]]="ResultValue",IF(MAX(AB$12:AB31)=0,1,MAX(AB$12:AB31)+1),"")</f>
        <v/>
      </c>
      <c r="AC32" s="138" t="str">
        <f>IF(DataColumns[[#This Row],[ColumnType]]="ResultValue",CONCATENATE(DataColumns[[#This Row],[ColumnType]],DataColumns[[#This Row],[ColumnLabel]]),CONCATENATE(DataColumns[[#This Row],[ColumnType]],DataColumns[[#This Row],[AppliesToColumn]]))</f>
        <v/>
      </c>
    </row>
    <row r="33" spans="1:29" x14ac:dyDescent="0.25">
      <c r="A33" s="58" t="str">
        <f>IF(COUNTA(DataColumns[[#This Row],[ColumnLabel]:[QualityCodeCV]])&gt;0,IF(MAX(A$12:A32)=0,1,MAX(A$12:A32)+1),"")</f>
        <v/>
      </c>
      <c r="B33" s="116"/>
      <c r="C33" s="11"/>
      <c r="D33" s="169"/>
      <c r="E33" s="175"/>
      <c r="F33" s="151"/>
      <c r="G33" s="10"/>
      <c r="H33" s="11"/>
      <c r="I33" s="11"/>
      <c r="J33" s="11"/>
      <c r="K33" s="40"/>
      <c r="L33" s="11"/>
      <c r="M33" s="145"/>
      <c r="N33" s="116"/>
      <c r="O33" s="10"/>
      <c r="P33" s="11"/>
      <c r="Q33" s="11"/>
      <c r="R33" s="22"/>
      <c r="S33" s="22"/>
      <c r="T33" s="11"/>
      <c r="U33" s="11"/>
      <c r="V33" s="11"/>
      <c r="W33" s="11"/>
      <c r="X33" s="22"/>
      <c r="Y33" s="11"/>
      <c r="Z33" s="11"/>
      <c r="AA33" s="11"/>
      <c r="AB33" s="194" t="str">
        <f>IF(DataColumns[[#This Row],[ColumnType]]="ResultValue",IF(MAX(AB$12:AB32)=0,1,MAX(AB$12:AB32)+1),"")</f>
        <v/>
      </c>
      <c r="AC33" s="138" t="str">
        <f>IF(DataColumns[[#This Row],[ColumnType]]="ResultValue",CONCATENATE(DataColumns[[#This Row],[ColumnType]],DataColumns[[#This Row],[ColumnLabel]]),CONCATENATE(DataColumns[[#This Row],[ColumnType]],DataColumns[[#This Row],[AppliesToColumn]]))</f>
        <v/>
      </c>
    </row>
    <row r="34" spans="1:29" x14ac:dyDescent="0.25">
      <c r="A34" s="58" t="str">
        <f>IF(COUNTA(DataColumns[[#This Row],[ColumnLabel]:[QualityCodeCV]])&gt;0,IF(MAX(A$12:A33)=0,1,MAX(A$12:A33)+1),"")</f>
        <v/>
      </c>
      <c r="B34" s="116"/>
      <c r="C34" s="11"/>
      <c r="D34" s="169"/>
      <c r="E34" s="175"/>
      <c r="F34" s="151"/>
      <c r="G34" s="10"/>
      <c r="H34" s="11"/>
      <c r="I34" s="11"/>
      <c r="J34" s="11"/>
      <c r="K34" s="40"/>
      <c r="L34" s="11"/>
      <c r="M34" s="145"/>
      <c r="N34" s="116"/>
      <c r="O34" s="10"/>
      <c r="P34" s="11"/>
      <c r="Q34" s="11"/>
      <c r="R34" s="22"/>
      <c r="S34" s="22"/>
      <c r="T34" s="11"/>
      <c r="U34" s="11"/>
      <c r="V34" s="11"/>
      <c r="W34" s="11"/>
      <c r="X34" s="22"/>
      <c r="Y34" s="11"/>
      <c r="Z34" s="11"/>
      <c r="AA34" s="11"/>
      <c r="AB34" s="194" t="str">
        <f>IF(DataColumns[[#This Row],[ColumnType]]="ResultValue",IF(MAX(AB$12:AB33)=0,1,MAX(AB$12:AB33)+1),"")</f>
        <v/>
      </c>
      <c r="AC34" s="138" t="str">
        <f>IF(DataColumns[[#This Row],[ColumnType]]="ResultValue",CONCATENATE(DataColumns[[#This Row],[ColumnType]],DataColumns[[#This Row],[ColumnLabel]]),CONCATENATE(DataColumns[[#This Row],[ColumnType]],DataColumns[[#This Row],[AppliesToColumn]]))</f>
        <v/>
      </c>
    </row>
    <row r="35" spans="1:29" x14ac:dyDescent="0.25">
      <c r="A35" s="58" t="str">
        <f>IF(COUNTA(DataColumns[[#This Row],[ColumnLabel]:[QualityCodeCV]])&gt;0,IF(MAX(A$12:A34)=0,1,MAX(A$12:A34)+1),"")</f>
        <v/>
      </c>
      <c r="B35" s="116"/>
      <c r="C35" s="11"/>
      <c r="D35" s="169"/>
      <c r="E35" s="175"/>
      <c r="F35" s="151"/>
      <c r="G35" s="10"/>
      <c r="H35" s="11"/>
      <c r="I35" s="11"/>
      <c r="J35" s="11"/>
      <c r="K35" s="40"/>
      <c r="L35" s="11"/>
      <c r="M35" s="145"/>
      <c r="N35" s="116"/>
      <c r="O35" s="10"/>
      <c r="P35" s="11"/>
      <c r="Q35" s="11"/>
      <c r="R35" s="22"/>
      <c r="S35" s="22"/>
      <c r="T35" s="11"/>
      <c r="U35" s="11"/>
      <c r="V35" s="11"/>
      <c r="W35" s="11"/>
      <c r="X35" s="22"/>
      <c r="Y35" s="11"/>
      <c r="Z35" s="11"/>
      <c r="AA35" s="11"/>
      <c r="AB35" s="194" t="str">
        <f>IF(DataColumns[[#This Row],[ColumnType]]="ResultValue",IF(MAX(AB$12:AB34)=0,1,MAX(AB$12:AB34)+1),"")</f>
        <v/>
      </c>
      <c r="AC35" s="138" t="str">
        <f>IF(DataColumns[[#This Row],[ColumnType]]="ResultValue",CONCATENATE(DataColumns[[#This Row],[ColumnType]],DataColumns[[#This Row],[ColumnLabel]]),CONCATENATE(DataColumns[[#This Row],[ColumnType]],DataColumns[[#This Row],[AppliesToColumn]]))</f>
        <v/>
      </c>
    </row>
    <row r="36" spans="1:29" x14ac:dyDescent="0.25">
      <c r="A36" s="58" t="str">
        <f>IF(COUNTA(DataColumns[[#This Row],[ColumnLabel]:[QualityCodeCV]])&gt;0,IF(MAX(A$12:A35)=0,1,MAX(A$12:A35)+1),"")</f>
        <v/>
      </c>
      <c r="B36" s="116"/>
      <c r="C36" s="11"/>
      <c r="D36" s="169"/>
      <c r="E36" s="175"/>
      <c r="F36" s="151"/>
      <c r="G36" s="10"/>
      <c r="H36" s="11"/>
      <c r="I36" s="11"/>
      <c r="J36" s="11"/>
      <c r="K36" s="40"/>
      <c r="L36" s="11"/>
      <c r="M36" s="145"/>
      <c r="N36" s="116"/>
      <c r="O36" s="10"/>
      <c r="P36" s="11"/>
      <c r="Q36" s="11"/>
      <c r="R36" s="22"/>
      <c r="S36" s="22"/>
      <c r="T36" s="11"/>
      <c r="U36" s="11"/>
      <c r="V36" s="11"/>
      <c r="W36" s="11"/>
      <c r="X36" s="22"/>
      <c r="Y36" s="11"/>
      <c r="Z36" s="11"/>
      <c r="AA36" s="11"/>
      <c r="AB36" s="194" t="str">
        <f>IF(DataColumns[[#This Row],[ColumnType]]="ResultValue",IF(MAX(AB$12:AB35)=0,1,MAX(AB$12:AB35)+1),"")</f>
        <v/>
      </c>
      <c r="AC36" s="138" t="str">
        <f>IF(DataColumns[[#This Row],[ColumnType]]="ResultValue",CONCATENATE(DataColumns[[#This Row],[ColumnType]],DataColumns[[#This Row],[ColumnLabel]]),CONCATENATE(DataColumns[[#This Row],[ColumnType]],DataColumns[[#This Row],[AppliesToColumn]]))</f>
        <v/>
      </c>
    </row>
    <row r="37" spans="1:29" x14ac:dyDescent="0.25">
      <c r="A37" s="58" t="str">
        <f>IF(COUNTA(DataColumns[[#This Row],[ColumnLabel]:[QualityCodeCV]])&gt;0,IF(MAX(A$12:A36)=0,1,MAX(A$12:A36)+1),"")</f>
        <v/>
      </c>
      <c r="B37" s="116"/>
      <c r="C37" s="11"/>
      <c r="D37" s="169"/>
      <c r="E37" s="175"/>
      <c r="F37" s="151"/>
      <c r="G37" s="10"/>
      <c r="H37" s="11"/>
      <c r="I37" s="11"/>
      <c r="J37" s="11"/>
      <c r="K37" s="40"/>
      <c r="L37" s="11"/>
      <c r="M37" s="145"/>
      <c r="N37" s="116"/>
      <c r="O37" s="10"/>
      <c r="P37" s="11"/>
      <c r="Q37" s="11"/>
      <c r="R37" s="22"/>
      <c r="S37" s="22"/>
      <c r="T37" s="11"/>
      <c r="U37" s="11"/>
      <c r="V37" s="11"/>
      <c r="W37" s="11"/>
      <c r="X37" s="22"/>
      <c r="Y37" s="11"/>
      <c r="Z37" s="11"/>
      <c r="AA37" s="11"/>
      <c r="AB37" s="194" t="str">
        <f>IF(DataColumns[[#This Row],[ColumnType]]="ResultValue",IF(MAX(AB$12:AB36)=0,1,MAX(AB$12:AB36)+1),"")</f>
        <v/>
      </c>
      <c r="AC37" s="138" t="str">
        <f>IF(DataColumns[[#This Row],[ColumnType]]="ResultValue",CONCATENATE(DataColumns[[#This Row],[ColumnType]],DataColumns[[#This Row],[ColumnLabel]]),CONCATENATE(DataColumns[[#This Row],[ColumnType]],DataColumns[[#This Row],[AppliesToColumn]]))</f>
        <v/>
      </c>
    </row>
    <row r="38" spans="1:29" x14ac:dyDescent="0.25">
      <c r="A38" s="58" t="str">
        <f>IF(COUNTA(DataColumns[[#This Row],[ColumnLabel]:[QualityCodeCV]])&gt;0,IF(MAX(A$12:A37)=0,1,MAX(A$12:A37)+1),"")</f>
        <v/>
      </c>
      <c r="B38" s="116"/>
      <c r="C38" s="11"/>
      <c r="D38" s="169"/>
      <c r="E38" s="175"/>
      <c r="F38" s="151"/>
      <c r="G38" s="10"/>
      <c r="H38" s="11"/>
      <c r="I38" s="11"/>
      <c r="J38" s="11"/>
      <c r="K38" s="40"/>
      <c r="L38" s="11"/>
      <c r="M38" s="145"/>
      <c r="N38" s="116"/>
      <c r="O38" s="10"/>
      <c r="P38" s="11"/>
      <c r="Q38" s="11"/>
      <c r="R38" s="22"/>
      <c r="S38" s="22"/>
      <c r="T38" s="11"/>
      <c r="U38" s="11"/>
      <c r="V38" s="11"/>
      <c r="W38" s="11"/>
      <c r="X38" s="22"/>
      <c r="Y38" s="11"/>
      <c r="Z38" s="11"/>
      <c r="AA38" s="11"/>
      <c r="AB38" s="194" t="str">
        <f>IF(DataColumns[[#This Row],[ColumnType]]="ResultValue",IF(MAX(AB$12:AB37)=0,1,MAX(AB$12:AB37)+1),"")</f>
        <v/>
      </c>
      <c r="AC38" s="138" t="str">
        <f>IF(DataColumns[[#This Row],[ColumnType]]="ResultValue",CONCATENATE(DataColumns[[#This Row],[ColumnType]],DataColumns[[#This Row],[ColumnLabel]]),CONCATENATE(DataColumns[[#This Row],[ColumnType]],DataColumns[[#This Row],[AppliesToColumn]]))</f>
        <v/>
      </c>
    </row>
    <row r="39" spans="1:29" x14ac:dyDescent="0.25">
      <c r="A39" s="58" t="str">
        <f>IF(COUNTA(DataColumns[[#This Row],[ColumnLabel]:[QualityCodeCV]])&gt;0,IF(MAX(A$12:A38)=0,1,MAX(A$12:A38)+1),"")</f>
        <v/>
      </c>
      <c r="B39" s="116"/>
      <c r="C39" s="11"/>
      <c r="D39" s="169"/>
      <c r="E39" s="175"/>
      <c r="F39" s="151"/>
      <c r="G39" s="10"/>
      <c r="H39" s="11"/>
      <c r="I39" s="11"/>
      <c r="J39" s="11"/>
      <c r="K39" s="40"/>
      <c r="L39" s="11"/>
      <c r="M39" s="145"/>
      <c r="N39" s="116"/>
      <c r="O39" s="10"/>
      <c r="P39" s="11"/>
      <c r="Q39" s="11"/>
      <c r="R39" s="22"/>
      <c r="S39" s="22"/>
      <c r="T39" s="11"/>
      <c r="U39" s="11"/>
      <c r="V39" s="11"/>
      <c r="W39" s="11"/>
      <c r="X39" s="22"/>
      <c r="Y39" s="11"/>
      <c r="Z39" s="11"/>
      <c r="AA39" s="11"/>
      <c r="AB39" s="194" t="str">
        <f>IF(DataColumns[[#This Row],[ColumnType]]="ResultValue",IF(MAX(AB$12:AB38)=0,1,MAX(AB$12:AB38)+1),"")</f>
        <v/>
      </c>
      <c r="AC39" s="138" t="str">
        <f>IF(DataColumns[[#This Row],[ColumnType]]="ResultValue",CONCATENATE(DataColumns[[#This Row],[ColumnType]],DataColumns[[#This Row],[ColumnLabel]]),CONCATENATE(DataColumns[[#This Row],[ColumnType]],DataColumns[[#This Row],[AppliesToColumn]]))</f>
        <v/>
      </c>
    </row>
    <row r="40" spans="1:29" x14ac:dyDescent="0.25">
      <c r="A40" s="58" t="str">
        <f>IF(COUNTA(DataColumns[[#This Row],[ColumnLabel]:[QualityCodeCV]])&gt;0,IF(MAX(A$12:A39)=0,1,MAX(A$12:A39)+1),"")</f>
        <v/>
      </c>
      <c r="B40" s="116"/>
      <c r="C40" s="11"/>
      <c r="D40" s="169"/>
      <c r="E40" s="175"/>
      <c r="F40" s="151"/>
      <c r="G40" s="10"/>
      <c r="H40" s="11"/>
      <c r="I40" s="11"/>
      <c r="J40" s="11"/>
      <c r="K40" s="40"/>
      <c r="L40" s="11"/>
      <c r="M40" s="145"/>
      <c r="N40" s="116"/>
      <c r="O40" s="10"/>
      <c r="P40" s="11"/>
      <c r="Q40" s="11"/>
      <c r="R40" s="22"/>
      <c r="S40" s="22"/>
      <c r="T40" s="11"/>
      <c r="U40" s="11"/>
      <c r="V40" s="11"/>
      <c r="W40" s="11"/>
      <c r="X40" s="22"/>
      <c r="Y40" s="11"/>
      <c r="Z40" s="11"/>
      <c r="AA40" s="11"/>
      <c r="AB40" s="194" t="str">
        <f>IF(DataColumns[[#This Row],[ColumnType]]="ResultValue",IF(MAX(AB$12:AB39)=0,1,MAX(AB$12:AB39)+1),"")</f>
        <v/>
      </c>
      <c r="AC40" s="138" t="str">
        <f>IF(DataColumns[[#This Row],[ColumnType]]="ResultValue",CONCATENATE(DataColumns[[#This Row],[ColumnType]],DataColumns[[#This Row],[ColumnLabel]]),CONCATENATE(DataColumns[[#This Row],[ColumnType]],DataColumns[[#This Row],[AppliesToColumn]]))</f>
        <v/>
      </c>
    </row>
    <row r="41" spans="1:29" x14ac:dyDescent="0.25">
      <c r="A41" s="58" t="str">
        <f>IF(COUNTA(DataColumns[[#This Row],[ColumnLabel]:[QualityCodeCV]])&gt;0,IF(MAX(A$12:A40)=0,1,MAX(A$12:A40)+1),"")</f>
        <v/>
      </c>
      <c r="B41" s="116"/>
      <c r="C41" s="11"/>
      <c r="D41" s="169"/>
      <c r="E41" s="175"/>
      <c r="F41" s="151"/>
      <c r="G41" s="10"/>
      <c r="H41" s="11"/>
      <c r="I41" s="11"/>
      <c r="J41" s="11"/>
      <c r="K41" s="40"/>
      <c r="L41" s="11"/>
      <c r="M41" s="145"/>
      <c r="N41" s="116"/>
      <c r="O41" s="10"/>
      <c r="P41" s="11"/>
      <c r="Q41" s="11"/>
      <c r="R41" s="22"/>
      <c r="S41" s="22"/>
      <c r="T41" s="11"/>
      <c r="U41" s="11"/>
      <c r="V41" s="11"/>
      <c r="W41" s="11"/>
      <c r="X41" s="22"/>
      <c r="Y41" s="11"/>
      <c r="Z41" s="11"/>
      <c r="AA41" s="11"/>
      <c r="AB41" s="194" t="str">
        <f>IF(DataColumns[[#This Row],[ColumnType]]="ResultValue",IF(MAX(AB$12:AB40)=0,1,MAX(AB$12:AB40)+1),"")</f>
        <v/>
      </c>
      <c r="AC41" s="138" t="str">
        <f>IF(DataColumns[[#This Row],[ColumnType]]="ResultValue",CONCATENATE(DataColumns[[#This Row],[ColumnType]],DataColumns[[#This Row],[ColumnLabel]]),CONCATENATE(DataColumns[[#This Row],[ColumnType]],DataColumns[[#This Row],[AppliesToColumn]]))</f>
        <v/>
      </c>
    </row>
    <row r="42" spans="1:29" x14ac:dyDescent="0.25">
      <c r="A42" s="58" t="str">
        <f>IF(COUNTA(DataColumns[[#This Row],[ColumnLabel]:[QualityCodeCV]])&gt;0,IF(MAX(A$12:A41)=0,1,MAX(A$12:A41)+1),"")</f>
        <v/>
      </c>
      <c r="B42" s="116"/>
      <c r="C42" s="11"/>
      <c r="D42" s="169"/>
      <c r="E42" s="175"/>
      <c r="F42" s="151"/>
      <c r="G42" s="10"/>
      <c r="H42" s="11"/>
      <c r="I42" s="11"/>
      <c r="J42" s="11"/>
      <c r="K42" s="40"/>
      <c r="L42" s="11"/>
      <c r="M42" s="145"/>
      <c r="N42" s="116"/>
      <c r="O42" s="10"/>
      <c r="P42" s="11"/>
      <c r="Q42" s="11"/>
      <c r="R42" s="22"/>
      <c r="S42" s="22"/>
      <c r="T42" s="11"/>
      <c r="U42" s="11"/>
      <c r="V42" s="11"/>
      <c r="W42" s="11"/>
      <c r="X42" s="22"/>
      <c r="Y42" s="11"/>
      <c r="Z42" s="11"/>
      <c r="AA42" s="11"/>
      <c r="AB42" s="194" t="str">
        <f>IF(DataColumns[[#This Row],[ColumnType]]="ResultValue",IF(MAX(AB$12:AB41)=0,1,MAX(AB$12:AB41)+1),"")</f>
        <v/>
      </c>
      <c r="AC42" s="138" t="str">
        <f>IF(DataColumns[[#This Row],[ColumnType]]="ResultValue",CONCATENATE(DataColumns[[#This Row],[ColumnType]],DataColumns[[#This Row],[ColumnLabel]]),CONCATENATE(DataColumns[[#This Row],[ColumnType]],DataColumns[[#This Row],[AppliesToColumn]]))</f>
        <v/>
      </c>
    </row>
    <row r="43" spans="1:29" x14ac:dyDescent="0.25">
      <c r="A43" s="58" t="str">
        <f>IF(COUNTA(DataColumns[[#This Row],[ColumnLabel]:[QualityCodeCV]])&gt;0,IF(MAX(A$12:A42)=0,1,MAX(A$12:A42)+1),"")</f>
        <v/>
      </c>
      <c r="B43" s="116"/>
      <c r="C43" s="11"/>
      <c r="D43" s="169"/>
      <c r="E43" s="175"/>
      <c r="F43" s="151"/>
      <c r="G43" s="10"/>
      <c r="H43" s="11"/>
      <c r="I43" s="11"/>
      <c r="J43" s="11"/>
      <c r="K43" s="40"/>
      <c r="L43" s="11"/>
      <c r="M43" s="145"/>
      <c r="N43" s="116"/>
      <c r="O43" s="10"/>
      <c r="P43" s="11"/>
      <c r="Q43" s="11"/>
      <c r="R43" s="22"/>
      <c r="S43" s="22"/>
      <c r="T43" s="11"/>
      <c r="U43" s="11"/>
      <c r="V43" s="11"/>
      <c r="W43" s="11"/>
      <c r="X43" s="22"/>
      <c r="Y43" s="11"/>
      <c r="Z43" s="11"/>
      <c r="AA43" s="11"/>
      <c r="AB43" s="194" t="str">
        <f>IF(DataColumns[[#This Row],[ColumnType]]="ResultValue",IF(MAX(AB$12:AB42)=0,1,MAX(AB$12:AB42)+1),"")</f>
        <v/>
      </c>
      <c r="AC43" s="138" t="str">
        <f>IF(DataColumns[[#This Row],[ColumnType]]="ResultValue",CONCATENATE(DataColumns[[#This Row],[ColumnType]],DataColumns[[#This Row],[ColumnLabel]]),CONCATENATE(DataColumns[[#This Row],[ColumnType]],DataColumns[[#This Row],[AppliesToColumn]]))</f>
        <v/>
      </c>
    </row>
    <row r="44" spans="1:29" x14ac:dyDescent="0.25">
      <c r="A44" s="58" t="str">
        <f>IF(COUNTA(DataColumns[[#This Row],[ColumnLabel]:[QualityCodeCV]])&gt;0,IF(MAX(A$12:A43)=0,1,MAX(A$12:A43)+1),"")</f>
        <v/>
      </c>
      <c r="B44" s="116"/>
      <c r="C44" s="11"/>
      <c r="D44" s="169"/>
      <c r="E44" s="175"/>
      <c r="F44" s="151"/>
      <c r="G44" s="10"/>
      <c r="H44" s="11"/>
      <c r="I44" s="11"/>
      <c r="J44" s="11"/>
      <c r="K44" s="40"/>
      <c r="L44" s="11"/>
      <c r="M44" s="145"/>
      <c r="N44" s="116"/>
      <c r="O44" s="10"/>
      <c r="P44" s="11"/>
      <c r="Q44" s="11"/>
      <c r="R44" s="22"/>
      <c r="S44" s="22"/>
      <c r="T44" s="11"/>
      <c r="U44" s="11"/>
      <c r="V44" s="11"/>
      <c r="W44" s="11"/>
      <c r="X44" s="22"/>
      <c r="Y44" s="11"/>
      <c r="Z44" s="11"/>
      <c r="AA44" s="11"/>
      <c r="AB44" s="194" t="str">
        <f>IF(DataColumns[[#This Row],[ColumnType]]="ResultValue",IF(MAX(AB$12:AB43)=0,1,MAX(AB$12:AB43)+1),"")</f>
        <v/>
      </c>
      <c r="AC44" s="138" t="str">
        <f>IF(DataColumns[[#This Row],[ColumnType]]="ResultValue",CONCATENATE(DataColumns[[#This Row],[ColumnType]],DataColumns[[#This Row],[ColumnLabel]]),CONCATENATE(DataColumns[[#This Row],[ColumnType]],DataColumns[[#This Row],[AppliesToColumn]]))</f>
        <v/>
      </c>
    </row>
    <row r="45" spans="1:29" x14ac:dyDescent="0.25">
      <c r="A45" s="58" t="str">
        <f>IF(COUNTA(DataColumns[[#This Row],[ColumnLabel]:[QualityCodeCV]])&gt;0,IF(MAX(A$12:A44)=0,1,MAX(A$12:A44)+1),"")</f>
        <v/>
      </c>
      <c r="B45" s="116"/>
      <c r="C45" s="11"/>
      <c r="D45" s="169"/>
      <c r="E45" s="175"/>
      <c r="F45" s="151"/>
      <c r="G45" s="10"/>
      <c r="H45" s="11"/>
      <c r="I45" s="11"/>
      <c r="J45" s="11"/>
      <c r="K45" s="40"/>
      <c r="L45" s="11"/>
      <c r="M45" s="145"/>
      <c r="N45" s="116"/>
      <c r="O45" s="10"/>
      <c r="P45" s="11"/>
      <c r="Q45" s="11"/>
      <c r="R45" s="22"/>
      <c r="S45" s="22"/>
      <c r="T45" s="11"/>
      <c r="U45" s="11"/>
      <c r="V45" s="11"/>
      <c r="W45" s="11"/>
      <c r="X45" s="22"/>
      <c r="Y45" s="11"/>
      <c r="Z45" s="11"/>
      <c r="AA45" s="11"/>
      <c r="AB45" s="194" t="str">
        <f>IF(DataColumns[[#This Row],[ColumnType]]="ResultValue",IF(MAX(AB$12:AB44)=0,1,MAX(AB$12:AB44)+1),"")</f>
        <v/>
      </c>
      <c r="AC45" s="138" t="str">
        <f>IF(DataColumns[[#This Row],[ColumnType]]="ResultValue",CONCATENATE(DataColumns[[#This Row],[ColumnType]],DataColumns[[#This Row],[ColumnLabel]]),CONCATENATE(DataColumns[[#This Row],[ColumnType]],DataColumns[[#This Row],[AppliesToColumn]]))</f>
        <v/>
      </c>
    </row>
    <row r="46" spans="1:29" x14ac:dyDescent="0.25">
      <c r="A46" s="58" t="str">
        <f>IF(COUNTA(DataColumns[[#This Row],[ColumnLabel]:[QualityCodeCV]])&gt;0,IF(MAX(A$12:A45)=0,1,MAX(A$12:A45)+1),"")</f>
        <v/>
      </c>
      <c r="B46" s="116"/>
      <c r="C46" s="11"/>
      <c r="D46" s="169"/>
      <c r="E46" s="175"/>
      <c r="F46" s="151"/>
      <c r="G46" s="10"/>
      <c r="H46" s="11"/>
      <c r="I46" s="11"/>
      <c r="J46" s="11"/>
      <c r="K46" s="40"/>
      <c r="L46" s="11"/>
      <c r="M46" s="145"/>
      <c r="N46" s="116"/>
      <c r="O46" s="10"/>
      <c r="P46" s="11"/>
      <c r="Q46" s="11"/>
      <c r="R46" s="22"/>
      <c r="S46" s="22"/>
      <c r="T46" s="11"/>
      <c r="U46" s="11"/>
      <c r="V46" s="11"/>
      <c r="W46" s="11"/>
      <c r="X46" s="22"/>
      <c r="Y46" s="11"/>
      <c r="Z46" s="11"/>
      <c r="AA46" s="11"/>
      <c r="AB46" s="194" t="str">
        <f>IF(DataColumns[[#This Row],[ColumnType]]="ResultValue",IF(MAX(AB$12:AB45)=0,1,MAX(AB$12:AB45)+1),"")</f>
        <v/>
      </c>
      <c r="AC46" s="138" t="str">
        <f>IF(DataColumns[[#This Row],[ColumnType]]="ResultValue",CONCATENATE(DataColumns[[#This Row],[ColumnType]],DataColumns[[#This Row],[ColumnLabel]]),CONCATENATE(DataColumns[[#This Row],[ColumnType]],DataColumns[[#This Row],[AppliesToColumn]]))</f>
        <v/>
      </c>
    </row>
    <row r="47" spans="1:29" x14ac:dyDescent="0.25">
      <c r="A47" s="58" t="str">
        <f>IF(COUNTA(DataColumns[[#This Row],[ColumnLabel]:[QualityCodeCV]])&gt;0,IF(MAX(A$12:A46)=0,1,MAX(A$12:A46)+1),"")</f>
        <v/>
      </c>
      <c r="B47" s="116"/>
      <c r="C47" s="11"/>
      <c r="D47" s="169"/>
      <c r="E47" s="175"/>
      <c r="F47" s="151"/>
      <c r="G47" s="10"/>
      <c r="H47" s="11"/>
      <c r="I47" s="11"/>
      <c r="J47" s="11"/>
      <c r="K47" s="40"/>
      <c r="L47" s="11"/>
      <c r="M47" s="145"/>
      <c r="N47" s="116"/>
      <c r="O47" s="10"/>
      <c r="P47" s="11"/>
      <c r="Q47" s="11"/>
      <c r="R47" s="22"/>
      <c r="S47" s="22"/>
      <c r="T47" s="11"/>
      <c r="U47" s="11"/>
      <c r="V47" s="11"/>
      <c r="W47" s="11"/>
      <c r="X47" s="22"/>
      <c r="Y47" s="11"/>
      <c r="Z47" s="11"/>
      <c r="AA47" s="11"/>
      <c r="AB47" s="194" t="str">
        <f>IF(DataColumns[[#This Row],[ColumnType]]="ResultValue",IF(MAX(AB$12:AB46)=0,1,MAX(AB$12:AB46)+1),"")</f>
        <v/>
      </c>
      <c r="AC47" s="138" t="str">
        <f>IF(DataColumns[[#This Row],[ColumnType]]="ResultValue",CONCATENATE(DataColumns[[#This Row],[ColumnType]],DataColumns[[#This Row],[ColumnLabel]]),CONCATENATE(DataColumns[[#This Row],[ColumnType]],DataColumns[[#This Row],[AppliesToColumn]]))</f>
        <v/>
      </c>
    </row>
    <row r="48" spans="1:29" x14ac:dyDescent="0.25">
      <c r="A48" s="58" t="str">
        <f>IF(COUNTA(DataColumns[[#This Row],[ColumnLabel]:[QualityCodeCV]])&gt;0,IF(MAX(A$12:A47)=0,1,MAX(A$12:A47)+1),"")</f>
        <v/>
      </c>
      <c r="B48" s="116"/>
      <c r="C48" s="11"/>
      <c r="D48" s="169"/>
      <c r="E48" s="175"/>
      <c r="F48" s="151"/>
      <c r="G48" s="10"/>
      <c r="H48" s="11"/>
      <c r="I48" s="11"/>
      <c r="J48" s="11"/>
      <c r="K48" s="40"/>
      <c r="L48" s="11"/>
      <c r="M48" s="145"/>
      <c r="N48" s="116"/>
      <c r="O48" s="10"/>
      <c r="P48" s="11"/>
      <c r="Q48" s="11"/>
      <c r="R48" s="22"/>
      <c r="S48" s="22"/>
      <c r="T48" s="11"/>
      <c r="U48" s="11"/>
      <c r="V48" s="11"/>
      <c r="W48" s="11"/>
      <c r="X48" s="22"/>
      <c r="Y48" s="11"/>
      <c r="Z48" s="11"/>
      <c r="AA48" s="11"/>
      <c r="AB48" s="194" t="str">
        <f>IF(DataColumns[[#This Row],[ColumnType]]="ResultValue",IF(MAX(AB$12:AB47)=0,1,MAX(AB$12:AB47)+1),"")</f>
        <v/>
      </c>
      <c r="AC48" s="138" t="str">
        <f>IF(DataColumns[[#This Row],[ColumnType]]="ResultValue",CONCATENATE(DataColumns[[#This Row],[ColumnType]],DataColumns[[#This Row],[ColumnLabel]]),CONCATENATE(DataColumns[[#This Row],[ColumnType]],DataColumns[[#This Row],[AppliesToColumn]]))</f>
        <v/>
      </c>
    </row>
    <row r="49" spans="1:29" x14ac:dyDescent="0.25">
      <c r="A49" s="58" t="str">
        <f>IF(COUNTA(DataColumns[[#This Row],[ColumnLabel]:[QualityCodeCV]])&gt;0,IF(MAX(A$12:A48)=0,1,MAX(A$12:A48)+1),"")</f>
        <v/>
      </c>
      <c r="B49" s="116"/>
      <c r="C49" s="11"/>
      <c r="D49" s="169"/>
      <c r="E49" s="175"/>
      <c r="F49" s="151"/>
      <c r="G49" s="10"/>
      <c r="H49" s="11"/>
      <c r="I49" s="11"/>
      <c r="J49" s="11"/>
      <c r="K49" s="40"/>
      <c r="L49" s="11"/>
      <c r="M49" s="145"/>
      <c r="N49" s="116"/>
      <c r="O49" s="10"/>
      <c r="P49" s="11"/>
      <c r="Q49" s="11"/>
      <c r="R49" s="22"/>
      <c r="S49" s="22"/>
      <c r="T49" s="11"/>
      <c r="U49" s="11"/>
      <c r="V49" s="11"/>
      <c r="W49" s="11"/>
      <c r="X49" s="22"/>
      <c r="Y49" s="11"/>
      <c r="Z49" s="11"/>
      <c r="AA49" s="11"/>
      <c r="AB49" s="194" t="str">
        <f>IF(DataColumns[[#This Row],[ColumnType]]="ResultValue",IF(MAX(AB$12:AB48)=0,1,MAX(AB$12:AB48)+1),"")</f>
        <v/>
      </c>
      <c r="AC49" s="138" t="str">
        <f>IF(DataColumns[[#This Row],[ColumnType]]="ResultValue",CONCATENATE(DataColumns[[#This Row],[ColumnType]],DataColumns[[#This Row],[ColumnLabel]]),CONCATENATE(DataColumns[[#This Row],[ColumnType]],DataColumns[[#This Row],[AppliesToColumn]]))</f>
        <v/>
      </c>
    </row>
    <row r="50" spans="1:29" x14ac:dyDescent="0.25">
      <c r="A50" s="58" t="str">
        <f>IF(COUNTA(DataColumns[[#This Row],[ColumnLabel]:[QualityCodeCV]])&gt;0,IF(MAX(A$12:A49)=0,1,MAX(A$12:A49)+1),"")</f>
        <v/>
      </c>
      <c r="B50" s="116"/>
      <c r="C50" s="11"/>
      <c r="D50" s="169"/>
      <c r="E50" s="175"/>
      <c r="F50" s="151"/>
      <c r="G50" s="10"/>
      <c r="H50" s="11"/>
      <c r="I50" s="11"/>
      <c r="J50" s="11"/>
      <c r="K50" s="40"/>
      <c r="L50" s="11"/>
      <c r="M50" s="145"/>
      <c r="N50" s="116"/>
      <c r="O50" s="10"/>
      <c r="P50" s="11"/>
      <c r="Q50" s="11"/>
      <c r="R50" s="22"/>
      <c r="S50" s="22"/>
      <c r="T50" s="11"/>
      <c r="U50" s="11"/>
      <c r="V50" s="11"/>
      <c r="W50" s="11"/>
      <c r="X50" s="22"/>
      <c r="Y50" s="11"/>
      <c r="Z50" s="11"/>
      <c r="AA50" s="11"/>
      <c r="AB50" s="194" t="str">
        <f>IF(DataColumns[[#This Row],[ColumnType]]="ResultValue",IF(MAX(AB$12:AB49)=0,1,MAX(AB$12:AB49)+1),"")</f>
        <v/>
      </c>
      <c r="AC50" s="138" t="str">
        <f>IF(DataColumns[[#This Row],[ColumnType]]="ResultValue",CONCATENATE(DataColumns[[#This Row],[ColumnType]],DataColumns[[#This Row],[ColumnLabel]]),CONCATENATE(DataColumns[[#This Row],[ColumnType]],DataColumns[[#This Row],[AppliesToColumn]]))</f>
        <v/>
      </c>
    </row>
    <row r="51" spans="1:29" x14ac:dyDescent="0.25">
      <c r="A51" s="58" t="str">
        <f>IF(COUNTA(DataColumns[[#This Row],[ColumnLabel]:[QualityCodeCV]])&gt;0,IF(MAX(A$12:A50)=0,1,MAX(A$12:A50)+1),"")</f>
        <v/>
      </c>
      <c r="B51" s="116"/>
      <c r="C51" s="11"/>
      <c r="D51" s="169"/>
      <c r="E51" s="175"/>
      <c r="F51" s="151"/>
      <c r="G51" s="10"/>
      <c r="H51" s="11"/>
      <c r="I51" s="11"/>
      <c r="J51" s="11"/>
      <c r="K51" s="40"/>
      <c r="L51" s="11"/>
      <c r="M51" s="145"/>
      <c r="N51" s="116"/>
      <c r="O51" s="10"/>
      <c r="P51" s="11"/>
      <c r="Q51" s="11"/>
      <c r="R51" s="22"/>
      <c r="S51" s="22"/>
      <c r="T51" s="11"/>
      <c r="U51" s="11"/>
      <c r="V51" s="11"/>
      <c r="W51" s="11"/>
      <c r="X51" s="22"/>
      <c r="Y51" s="11"/>
      <c r="Z51" s="11"/>
      <c r="AA51" s="11"/>
      <c r="AB51" s="194" t="str">
        <f>IF(DataColumns[[#This Row],[ColumnType]]="ResultValue",IF(MAX(AB$12:AB50)=0,1,MAX(AB$12:AB50)+1),"")</f>
        <v/>
      </c>
      <c r="AC51" s="138" t="str">
        <f>IF(DataColumns[[#This Row],[ColumnType]]="ResultValue",CONCATENATE(DataColumns[[#This Row],[ColumnType]],DataColumns[[#This Row],[ColumnLabel]]),CONCATENATE(DataColumns[[#This Row],[ColumnType]],DataColumns[[#This Row],[AppliesToColumn]]))</f>
        <v/>
      </c>
    </row>
    <row r="52" spans="1:29" x14ac:dyDescent="0.25">
      <c r="A52" s="58" t="str">
        <f>IF(COUNTA(DataColumns[[#This Row],[ColumnLabel]:[QualityCodeCV]])&gt;0,IF(MAX(A$12:A51)=0,1,MAX(A$12:A51)+1),"")</f>
        <v/>
      </c>
      <c r="B52" s="116"/>
      <c r="C52" s="11"/>
      <c r="D52" s="169"/>
      <c r="E52" s="175"/>
      <c r="F52" s="151"/>
      <c r="G52" s="10"/>
      <c r="H52" s="11"/>
      <c r="I52" s="11"/>
      <c r="J52" s="11"/>
      <c r="K52" s="40"/>
      <c r="L52" s="11"/>
      <c r="M52" s="145"/>
      <c r="N52" s="116"/>
      <c r="O52" s="10"/>
      <c r="P52" s="11"/>
      <c r="Q52" s="11"/>
      <c r="R52" s="22"/>
      <c r="S52" s="22"/>
      <c r="T52" s="11"/>
      <c r="U52" s="11"/>
      <c r="V52" s="11"/>
      <c r="W52" s="11"/>
      <c r="X52" s="22"/>
      <c r="Y52" s="11"/>
      <c r="Z52" s="11"/>
      <c r="AA52" s="11"/>
      <c r="AB52" s="194" t="str">
        <f>IF(DataColumns[[#This Row],[ColumnType]]="ResultValue",IF(MAX(AB$12:AB51)=0,1,MAX(AB$12:AB51)+1),"")</f>
        <v/>
      </c>
      <c r="AC52" s="138" t="str">
        <f>IF(DataColumns[[#This Row],[ColumnType]]="ResultValue",CONCATENATE(DataColumns[[#This Row],[ColumnType]],DataColumns[[#This Row],[ColumnLabel]]),CONCATENATE(DataColumns[[#This Row],[ColumnType]],DataColumns[[#This Row],[AppliesToColumn]]))</f>
        <v/>
      </c>
    </row>
    <row r="53" spans="1:29" x14ac:dyDescent="0.25">
      <c r="A53" s="58" t="str">
        <f>IF(COUNTA(DataColumns[[#This Row],[ColumnLabel]:[QualityCodeCV]])&gt;0,IF(MAX(A$12:A52)=0,1,MAX(A$12:A52)+1),"")</f>
        <v/>
      </c>
      <c r="B53" s="116"/>
      <c r="C53" s="11"/>
      <c r="D53" s="169"/>
      <c r="E53" s="175"/>
      <c r="F53" s="151"/>
      <c r="G53" s="10"/>
      <c r="H53" s="11"/>
      <c r="I53" s="11"/>
      <c r="J53" s="11"/>
      <c r="K53" s="40"/>
      <c r="L53" s="11"/>
      <c r="M53" s="145"/>
      <c r="N53" s="116"/>
      <c r="O53" s="10"/>
      <c r="P53" s="11"/>
      <c r="Q53" s="11"/>
      <c r="R53" s="22"/>
      <c r="S53" s="22"/>
      <c r="T53" s="11"/>
      <c r="U53" s="11"/>
      <c r="V53" s="11"/>
      <c r="W53" s="11"/>
      <c r="X53" s="22"/>
      <c r="Y53" s="11"/>
      <c r="Z53" s="11"/>
      <c r="AA53" s="11"/>
      <c r="AB53" s="194" t="str">
        <f>IF(DataColumns[[#This Row],[ColumnType]]="ResultValue",IF(MAX(AB$12:AB52)=0,1,MAX(AB$12:AB52)+1),"")</f>
        <v/>
      </c>
      <c r="AC53" s="138" t="str">
        <f>IF(DataColumns[[#This Row],[ColumnType]]="ResultValue",CONCATENATE(DataColumns[[#This Row],[ColumnType]],DataColumns[[#This Row],[ColumnLabel]]),CONCATENATE(DataColumns[[#This Row],[ColumnType]],DataColumns[[#This Row],[AppliesToColumn]]))</f>
        <v/>
      </c>
    </row>
    <row r="54" spans="1:29" x14ac:dyDescent="0.25">
      <c r="A54" s="58" t="str">
        <f>IF(COUNTA(DataColumns[[#This Row],[ColumnLabel]:[QualityCodeCV]])&gt;0,IF(MAX(A$12:A53)=0,1,MAX(A$12:A53)+1),"")</f>
        <v/>
      </c>
      <c r="B54" s="116"/>
      <c r="C54" s="11"/>
      <c r="D54" s="169"/>
      <c r="E54" s="175"/>
      <c r="F54" s="151"/>
      <c r="G54" s="10"/>
      <c r="H54" s="11"/>
      <c r="I54" s="11"/>
      <c r="J54" s="11"/>
      <c r="K54" s="40"/>
      <c r="L54" s="11"/>
      <c r="M54" s="145"/>
      <c r="N54" s="116"/>
      <c r="O54" s="10"/>
      <c r="P54" s="11"/>
      <c r="Q54" s="11"/>
      <c r="R54" s="22"/>
      <c r="S54" s="22"/>
      <c r="T54" s="11"/>
      <c r="U54" s="11"/>
      <c r="V54" s="11"/>
      <c r="W54" s="11"/>
      <c r="X54" s="22"/>
      <c r="Y54" s="11"/>
      <c r="Z54" s="11"/>
      <c r="AA54" s="11"/>
      <c r="AB54" s="194" t="str">
        <f>IF(DataColumns[[#This Row],[ColumnType]]="ResultValue",IF(MAX(AB$12:AB53)=0,1,MAX(AB$12:AB53)+1),"")</f>
        <v/>
      </c>
      <c r="AC54" s="138" t="str">
        <f>IF(DataColumns[[#This Row],[ColumnType]]="ResultValue",CONCATENATE(DataColumns[[#This Row],[ColumnType]],DataColumns[[#This Row],[ColumnLabel]]),CONCATENATE(DataColumns[[#This Row],[ColumnType]],DataColumns[[#This Row],[AppliesToColumn]]))</f>
        <v/>
      </c>
    </row>
    <row r="55" spans="1:29" x14ac:dyDescent="0.25">
      <c r="A55" s="58" t="str">
        <f>IF(COUNTA(DataColumns[[#This Row],[ColumnLabel]:[QualityCodeCV]])&gt;0,IF(MAX(A$12:A54)=0,1,MAX(A$12:A54)+1),"")</f>
        <v/>
      </c>
      <c r="B55" s="116"/>
      <c r="C55" s="11"/>
      <c r="D55" s="169"/>
      <c r="E55" s="175"/>
      <c r="F55" s="151"/>
      <c r="G55" s="10"/>
      <c r="H55" s="11"/>
      <c r="I55" s="11"/>
      <c r="J55" s="11"/>
      <c r="K55" s="40"/>
      <c r="L55" s="11"/>
      <c r="M55" s="145"/>
      <c r="N55" s="116"/>
      <c r="O55" s="10"/>
      <c r="P55" s="11"/>
      <c r="Q55" s="11"/>
      <c r="R55" s="22"/>
      <c r="S55" s="22"/>
      <c r="T55" s="11"/>
      <c r="U55" s="11"/>
      <c r="V55" s="11"/>
      <c r="W55" s="11"/>
      <c r="X55" s="22"/>
      <c r="Y55" s="11"/>
      <c r="Z55" s="11"/>
      <c r="AA55" s="11"/>
      <c r="AB55" s="194" t="str">
        <f>IF(DataColumns[[#This Row],[ColumnType]]="ResultValue",IF(MAX(AB$12:AB54)=0,1,MAX(AB$12:AB54)+1),"")</f>
        <v/>
      </c>
      <c r="AC55" s="138" t="str">
        <f>IF(DataColumns[[#This Row],[ColumnType]]="ResultValue",CONCATENATE(DataColumns[[#This Row],[ColumnType]],DataColumns[[#This Row],[ColumnLabel]]),CONCATENATE(DataColumns[[#This Row],[ColumnType]],DataColumns[[#This Row],[AppliesToColumn]]))</f>
        <v/>
      </c>
    </row>
    <row r="56" spans="1:29" x14ac:dyDescent="0.25">
      <c r="A56" s="58" t="str">
        <f>IF(COUNTA(DataColumns[[#This Row],[ColumnLabel]:[QualityCodeCV]])&gt;0,IF(MAX(A$12:A55)=0,1,MAX(A$12:A55)+1),"")</f>
        <v/>
      </c>
      <c r="B56" s="116"/>
      <c r="C56" s="11"/>
      <c r="D56" s="169"/>
      <c r="E56" s="175"/>
      <c r="F56" s="151"/>
      <c r="G56" s="10"/>
      <c r="H56" s="11"/>
      <c r="I56" s="11"/>
      <c r="J56" s="11"/>
      <c r="K56" s="40"/>
      <c r="L56" s="11"/>
      <c r="M56" s="145"/>
      <c r="N56" s="116"/>
      <c r="O56" s="10"/>
      <c r="P56" s="11"/>
      <c r="Q56" s="11"/>
      <c r="R56" s="22"/>
      <c r="S56" s="22"/>
      <c r="T56" s="11"/>
      <c r="U56" s="11"/>
      <c r="V56" s="11"/>
      <c r="W56" s="11"/>
      <c r="X56" s="22"/>
      <c r="Y56" s="11"/>
      <c r="Z56" s="11"/>
      <c r="AA56" s="11"/>
      <c r="AB56" s="194" t="str">
        <f>IF(DataColumns[[#This Row],[ColumnType]]="ResultValue",IF(MAX(AB$12:AB55)=0,1,MAX(AB$12:AB55)+1),"")</f>
        <v/>
      </c>
      <c r="AC56" s="138" t="str">
        <f>IF(DataColumns[[#This Row],[ColumnType]]="ResultValue",CONCATENATE(DataColumns[[#This Row],[ColumnType]],DataColumns[[#This Row],[ColumnLabel]]),CONCATENATE(DataColumns[[#This Row],[ColumnType]],DataColumns[[#This Row],[AppliesToColumn]]))</f>
        <v/>
      </c>
    </row>
    <row r="57" spans="1:29" x14ac:dyDescent="0.25">
      <c r="A57" s="58" t="str">
        <f>IF(COUNTA(DataColumns[[#This Row],[ColumnLabel]:[QualityCodeCV]])&gt;0,IF(MAX(A$12:A56)=0,1,MAX(A$12:A56)+1),"")</f>
        <v/>
      </c>
      <c r="B57" s="116"/>
      <c r="C57" s="11"/>
      <c r="D57" s="169"/>
      <c r="E57" s="175"/>
      <c r="F57" s="151"/>
      <c r="G57" s="10"/>
      <c r="H57" s="11"/>
      <c r="I57" s="11"/>
      <c r="J57" s="11"/>
      <c r="K57" s="40"/>
      <c r="L57" s="11"/>
      <c r="M57" s="145"/>
      <c r="N57" s="116"/>
      <c r="O57" s="10"/>
      <c r="P57" s="11"/>
      <c r="Q57" s="11"/>
      <c r="R57" s="22"/>
      <c r="S57" s="22"/>
      <c r="T57" s="11"/>
      <c r="U57" s="11"/>
      <c r="V57" s="11"/>
      <c r="W57" s="11"/>
      <c r="X57" s="22"/>
      <c r="Y57" s="11"/>
      <c r="Z57" s="11"/>
      <c r="AA57" s="11"/>
      <c r="AB57" s="194" t="str">
        <f>IF(DataColumns[[#This Row],[ColumnType]]="ResultValue",IF(MAX(AB$12:AB56)=0,1,MAX(AB$12:AB56)+1),"")</f>
        <v/>
      </c>
      <c r="AC57" s="138" t="str">
        <f>IF(DataColumns[[#This Row],[ColumnType]]="ResultValue",CONCATENATE(DataColumns[[#This Row],[ColumnType]],DataColumns[[#This Row],[ColumnLabel]]),CONCATENATE(DataColumns[[#This Row],[ColumnType]],DataColumns[[#This Row],[AppliesToColumn]]))</f>
        <v/>
      </c>
    </row>
    <row r="58" spans="1:29" x14ac:dyDescent="0.25">
      <c r="A58" s="58" t="str">
        <f>IF(COUNTA(DataColumns[[#This Row],[ColumnLabel]:[QualityCodeCV]])&gt;0,IF(MAX(A$12:A57)=0,1,MAX(A$12:A57)+1),"")</f>
        <v/>
      </c>
      <c r="B58" s="116"/>
      <c r="C58" s="11"/>
      <c r="D58" s="169"/>
      <c r="E58" s="175"/>
      <c r="F58" s="151"/>
      <c r="G58" s="10"/>
      <c r="H58" s="11"/>
      <c r="I58" s="11"/>
      <c r="J58" s="11"/>
      <c r="K58" s="40"/>
      <c r="L58" s="11"/>
      <c r="M58" s="145"/>
      <c r="N58" s="116"/>
      <c r="O58" s="10"/>
      <c r="P58" s="11"/>
      <c r="Q58" s="11"/>
      <c r="R58" s="22"/>
      <c r="S58" s="22"/>
      <c r="T58" s="11"/>
      <c r="U58" s="11"/>
      <c r="V58" s="11"/>
      <c r="W58" s="11"/>
      <c r="X58" s="22"/>
      <c r="Y58" s="11"/>
      <c r="Z58" s="11"/>
      <c r="AA58" s="11"/>
      <c r="AB58" s="194" t="str">
        <f>IF(DataColumns[[#This Row],[ColumnType]]="ResultValue",IF(MAX(AB$12:AB57)=0,1,MAX(AB$12:AB57)+1),"")</f>
        <v/>
      </c>
      <c r="AC58" s="138" t="str">
        <f>IF(DataColumns[[#This Row],[ColumnType]]="ResultValue",CONCATENATE(DataColumns[[#This Row],[ColumnType]],DataColumns[[#This Row],[ColumnLabel]]),CONCATENATE(DataColumns[[#This Row],[ColumnType]],DataColumns[[#This Row],[AppliesToColumn]]))</f>
        <v/>
      </c>
    </row>
    <row r="59" spans="1:29" x14ac:dyDescent="0.25">
      <c r="A59" s="58" t="str">
        <f>IF(COUNTA(DataColumns[[#This Row],[ColumnLabel]:[QualityCodeCV]])&gt;0,IF(MAX(A$12:A58)=0,1,MAX(A$12:A58)+1),"")</f>
        <v/>
      </c>
      <c r="B59" s="116"/>
      <c r="C59" s="11"/>
      <c r="D59" s="169"/>
      <c r="E59" s="175"/>
      <c r="F59" s="151"/>
      <c r="G59" s="10"/>
      <c r="H59" s="11"/>
      <c r="I59" s="11"/>
      <c r="J59" s="11"/>
      <c r="K59" s="40"/>
      <c r="L59" s="11"/>
      <c r="M59" s="145"/>
      <c r="N59" s="116"/>
      <c r="O59" s="10"/>
      <c r="P59" s="11"/>
      <c r="Q59" s="11"/>
      <c r="R59" s="22"/>
      <c r="S59" s="22"/>
      <c r="T59" s="11"/>
      <c r="U59" s="11"/>
      <c r="V59" s="11"/>
      <c r="W59" s="11"/>
      <c r="X59" s="22"/>
      <c r="Y59" s="11"/>
      <c r="Z59" s="11"/>
      <c r="AA59" s="11"/>
      <c r="AB59" s="194" t="str">
        <f>IF(DataColumns[[#This Row],[ColumnType]]="ResultValue",IF(MAX(AB$12:AB58)=0,1,MAX(AB$12:AB58)+1),"")</f>
        <v/>
      </c>
      <c r="AC59" s="138" t="str">
        <f>IF(DataColumns[[#This Row],[ColumnType]]="ResultValue",CONCATENATE(DataColumns[[#This Row],[ColumnType]],DataColumns[[#This Row],[ColumnLabel]]),CONCATENATE(DataColumns[[#This Row],[ColumnType]],DataColumns[[#This Row],[AppliesToColumn]]))</f>
        <v/>
      </c>
    </row>
    <row r="60" spans="1:29" x14ac:dyDescent="0.25">
      <c r="A60" s="58" t="str">
        <f>IF(COUNTA(DataColumns[[#This Row],[ColumnLabel]:[QualityCodeCV]])&gt;0,IF(MAX(A$12:A59)=0,1,MAX(A$12:A59)+1),"")</f>
        <v/>
      </c>
      <c r="B60" s="116"/>
      <c r="C60" s="11"/>
      <c r="D60" s="169"/>
      <c r="E60" s="175"/>
      <c r="F60" s="151"/>
      <c r="G60" s="10"/>
      <c r="H60" s="11"/>
      <c r="I60" s="11"/>
      <c r="J60" s="11"/>
      <c r="K60" s="40"/>
      <c r="L60" s="11"/>
      <c r="M60" s="145"/>
      <c r="N60" s="116"/>
      <c r="O60" s="10"/>
      <c r="P60" s="11"/>
      <c r="Q60" s="11"/>
      <c r="R60" s="22"/>
      <c r="S60" s="22"/>
      <c r="T60" s="11"/>
      <c r="U60" s="11"/>
      <c r="V60" s="11"/>
      <c r="W60" s="11"/>
      <c r="X60" s="22"/>
      <c r="Y60" s="11"/>
      <c r="Z60" s="11"/>
      <c r="AA60" s="11"/>
      <c r="AB60" s="194" t="str">
        <f>IF(DataColumns[[#This Row],[ColumnType]]="ResultValue",IF(MAX(AB$12:AB59)=0,1,MAX(AB$12:AB59)+1),"")</f>
        <v/>
      </c>
      <c r="AC60" s="138" t="str">
        <f>IF(DataColumns[[#This Row],[ColumnType]]="ResultValue",CONCATENATE(DataColumns[[#This Row],[ColumnType]],DataColumns[[#This Row],[ColumnLabel]]),CONCATENATE(DataColumns[[#This Row],[ColumnType]],DataColumns[[#This Row],[AppliesToColumn]]))</f>
        <v/>
      </c>
    </row>
    <row r="61" spans="1:29" x14ac:dyDescent="0.25">
      <c r="A61" s="58" t="str">
        <f>IF(COUNTA(DataColumns[[#This Row],[ColumnLabel]:[QualityCodeCV]])&gt;0,IF(MAX(A$12:A60)=0,1,MAX(A$12:A60)+1),"")</f>
        <v/>
      </c>
      <c r="B61" s="116"/>
      <c r="C61" s="11"/>
      <c r="D61" s="169"/>
      <c r="E61" s="175"/>
      <c r="F61" s="151"/>
      <c r="G61" s="10"/>
      <c r="H61" s="11"/>
      <c r="I61" s="11"/>
      <c r="J61" s="11"/>
      <c r="K61" s="40"/>
      <c r="L61" s="11"/>
      <c r="M61" s="145"/>
      <c r="N61" s="116"/>
      <c r="O61" s="10"/>
      <c r="P61" s="11"/>
      <c r="Q61" s="11"/>
      <c r="R61" s="22"/>
      <c r="S61" s="22"/>
      <c r="T61" s="11"/>
      <c r="U61" s="11"/>
      <c r="V61" s="11"/>
      <c r="W61" s="11"/>
      <c r="X61" s="22"/>
      <c r="Y61" s="11"/>
      <c r="Z61" s="11"/>
      <c r="AA61" s="11"/>
      <c r="AB61" s="194" t="str">
        <f>IF(DataColumns[[#This Row],[ColumnType]]="ResultValue",IF(MAX(AB$12:AB60)=0,1,MAX(AB$12:AB60)+1),"")</f>
        <v/>
      </c>
      <c r="AC61" s="138" t="str">
        <f>IF(DataColumns[[#This Row],[ColumnType]]="ResultValue",CONCATENATE(DataColumns[[#This Row],[ColumnType]],DataColumns[[#This Row],[ColumnLabel]]),CONCATENATE(DataColumns[[#This Row],[ColumnType]],DataColumns[[#This Row],[AppliesToColumn]]))</f>
        <v/>
      </c>
    </row>
    <row r="62" spans="1:29" x14ac:dyDescent="0.25">
      <c r="A62" s="58" t="str">
        <f>IF(COUNTA(DataColumns[[#This Row],[ColumnLabel]:[QualityCodeCV]])&gt;0,IF(MAX(A$12:A61)=0,1,MAX(A$12:A61)+1),"")</f>
        <v/>
      </c>
      <c r="B62" s="116"/>
      <c r="C62" s="11"/>
      <c r="D62" s="169"/>
      <c r="E62" s="175"/>
      <c r="F62" s="151"/>
      <c r="G62" s="10"/>
      <c r="H62" s="11"/>
      <c r="I62" s="11"/>
      <c r="J62" s="11"/>
      <c r="K62" s="40"/>
      <c r="L62" s="11"/>
      <c r="M62" s="145"/>
      <c r="N62" s="116"/>
      <c r="O62" s="10"/>
      <c r="P62" s="11"/>
      <c r="Q62" s="11"/>
      <c r="R62" s="22"/>
      <c r="S62" s="22"/>
      <c r="T62" s="11"/>
      <c r="U62" s="11"/>
      <c r="V62" s="11"/>
      <c r="W62" s="11"/>
      <c r="X62" s="22"/>
      <c r="Y62" s="11"/>
      <c r="Z62" s="11"/>
      <c r="AA62" s="11"/>
      <c r="AB62" s="194" t="str">
        <f>IF(DataColumns[[#This Row],[ColumnType]]="ResultValue",IF(MAX(AB$12:AB61)=0,1,MAX(AB$12:AB61)+1),"")</f>
        <v/>
      </c>
      <c r="AC62" s="138" t="str">
        <f>IF(DataColumns[[#This Row],[ColumnType]]="ResultValue",CONCATENATE(DataColumns[[#This Row],[ColumnType]],DataColumns[[#This Row],[ColumnLabel]]),CONCATENATE(DataColumns[[#This Row],[ColumnType]],DataColumns[[#This Row],[AppliesToColumn]]))</f>
        <v/>
      </c>
    </row>
    <row r="63" spans="1:29" x14ac:dyDescent="0.25">
      <c r="A63" s="58" t="str">
        <f>IF(COUNTA(DataColumns[[#This Row],[ColumnLabel]:[QualityCodeCV]])&gt;0,IF(MAX(A$12:A62)=0,1,MAX(A$12:A62)+1),"")</f>
        <v/>
      </c>
      <c r="B63" s="116"/>
      <c r="C63" s="11"/>
      <c r="D63" s="169"/>
      <c r="E63" s="175"/>
      <c r="F63" s="151"/>
      <c r="G63" s="10"/>
      <c r="H63" s="11"/>
      <c r="I63" s="11"/>
      <c r="J63" s="11"/>
      <c r="K63" s="40"/>
      <c r="L63" s="11"/>
      <c r="M63" s="145"/>
      <c r="N63" s="116"/>
      <c r="O63" s="10"/>
      <c r="P63" s="11"/>
      <c r="Q63" s="11"/>
      <c r="R63" s="22"/>
      <c r="S63" s="22"/>
      <c r="T63" s="11"/>
      <c r="U63" s="11"/>
      <c r="V63" s="11"/>
      <c r="W63" s="11"/>
      <c r="X63" s="22"/>
      <c r="Y63" s="11"/>
      <c r="Z63" s="11"/>
      <c r="AA63" s="11"/>
      <c r="AB63" s="194" t="str">
        <f>IF(DataColumns[[#This Row],[ColumnType]]="ResultValue",IF(MAX(AB$12:AB62)=0,1,MAX(AB$12:AB62)+1),"")</f>
        <v/>
      </c>
      <c r="AC63" s="138" t="str">
        <f>IF(DataColumns[[#This Row],[ColumnType]]="ResultValue",CONCATENATE(DataColumns[[#This Row],[ColumnType]],DataColumns[[#This Row],[ColumnLabel]]),CONCATENATE(DataColumns[[#This Row],[ColumnType]],DataColumns[[#This Row],[AppliesToColumn]]))</f>
        <v/>
      </c>
    </row>
    <row r="64" spans="1:29" x14ac:dyDescent="0.25">
      <c r="A64" s="58" t="str">
        <f>IF(COUNTA(DataColumns[[#This Row],[ColumnLabel]:[QualityCodeCV]])&gt;0,IF(MAX(A$12:A63)=0,1,MAX(A$12:A63)+1),"")</f>
        <v/>
      </c>
      <c r="B64" s="116"/>
      <c r="C64" s="11"/>
      <c r="D64" s="169"/>
      <c r="E64" s="175"/>
      <c r="F64" s="151"/>
      <c r="G64" s="10"/>
      <c r="H64" s="11"/>
      <c r="I64" s="11"/>
      <c r="J64" s="11"/>
      <c r="K64" s="40"/>
      <c r="L64" s="11"/>
      <c r="M64" s="145"/>
      <c r="N64" s="116"/>
      <c r="O64" s="10"/>
      <c r="P64" s="11"/>
      <c r="Q64" s="11"/>
      <c r="R64" s="22"/>
      <c r="S64" s="22"/>
      <c r="T64" s="11"/>
      <c r="U64" s="11"/>
      <c r="V64" s="11"/>
      <c r="W64" s="11"/>
      <c r="X64" s="22"/>
      <c r="Y64" s="11"/>
      <c r="Z64" s="11"/>
      <c r="AA64" s="11"/>
      <c r="AB64" s="194" t="str">
        <f>IF(DataColumns[[#This Row],[ColumnType]]="ResultValue",IF(MAX(AB$12:AB63)=0,1,MAX(AB$12:AB63)+1),"")</f>
        <v/>
      </c>
      <c r="AC64" s="138" t="str">
        <f>IF(DataColumns[[#This Row],[ColumnType]]="ResultValue",CONCATENATE(DataColumns[[#This Row],[ColumnType]],DataColumns[[#This Row],[ColumnLabel]]),CONCATENATE(DataColumns[[#This Row],[ColumnType]],DataColumns[[#This Row],[AppliesToColumn]]))</f>
        <v/>
      </c>
    </row>
    <row r="65" spans="1:29" x14ac:dyDescent="0.25">
      <c r="A65" s="58" t="str">
        <f>IF(COUNTA(DataColumns[[#This Row],[ColumnLabel]:[QualityCodeCV]])&gt;0,IF(MAX(A$12:A64)=0,1,MAX(A$12:A64)+1),"")</f>
        <v/>
      </c>
      <c r="B65" s="116"/>
      <c r="C65" s="11"/>
      <c r="D65" s="169"/>
      <c r="E65" s="175"/>
      <c r="F65" s="151"/>
      <c r="G65" s="10"/>
      <c r="H65" s="11"/>
      <c r="I65" s="11"/>
      <c r="J65" s="11"/>
      <c r="K65" s="40"/>
      <c r="L65" s="11"/>
      <c r="M65" s="145"/>
      <c r="N65" s="116"/>
      <c r="O65" s="10"/>
      <c r="P65" s="11"/>
      <c r="Q65" s="11"/>
      <c r="R65" s="22"/>
      <c r="S65" s="22"/>
      <c r="T65" s="11"/>
      <c r="U65" s="11"/>
      <c r="V65" s="11"/>
      <c r="W65" s="11"/>
      <c r="X65" s="22"/>
      <c r="Y65" s="11"/>
      <c r="Z65" s="11"/>
      <c r="AA65" s="11"/>
      <c r="AB65" s="194" t="str">
        <f>IF(DataColumns[[#This Row],[ColumnType]]="ResultValue",IF(MAX(AB$12:AB64)=0,1,MAX(AB$12:AB64)+1),"")</f>
        <v/>
      </c>
      <c r="AC65" s="138" t="str">
        <f>IF(DataColumns[[#This Row],[ColumnType]]="ResultValue",CONCATENATE(DataColumns[[#This Row],[ColumnType]],DataColumns[[#This Row],[ColumnLabel]]),CONCATENATE(DataColumns[[#This Row],[ColumnType]],DataColumns[[#This Row],[AppliesToColumn]]))</f>
        <v/>
      </c>
    </row>
    <row r="66" spans="1:29" x14ac:dyDescent="0.25">
      <c r="A66" s="58" t="str">
        <f>IF(COUNTA(DataColumns[[#This Row],[ColumnLabel]:[QualityCodeCV]])&gt;0,IF(MAX(A$12:A65)=0,1,MAX(A$12:A65)+1),"")</f>
        <v/>
      </c>
      <c r="B66" s="116"/>
      <c r="C66" s="11"/>
      <c r="D66" s="169"/>
      <c r="E66" s="175"/>
      <c r="F66" s="151"/>
      <c r="G66" s="10"/>
      <c r="H66" s="11"/>
      <c r="I66" s="11"/>
      <c r="J66" s="11"/>
      <c r="K66" s="40"/>
      <c r="L66" s="11"/>
      <c r="M66" s="145"/>
      <c r="N66" s="116"/>
      <c r="O66" s="10"/>
      <c r="P66" s="11"/>
      <c r="Q66" s="11"/>
      <c r="R66" s="22"/>
      <c r="S66" s="22"/>
      <c r="T66" s="11"/>
      <c r="U66" s="11"/>
      <c r="V66" s="11"/>
      <c r="W66" s="11"/>
      <c r="X66" s="22"/>
      <c r="Y66" s="11"/>
      <c r="Z66" s="11"/>
      <c r="AA66" s="11"/>
      <c r="AB66" s="194" t="str">
        <f>IF(DataColumns[[#This Row],[ColumnType]]="ResultValue",IF(MAX(AB$12:AB65)=0,1,MAX(AB$12:AB65)+1),"")</f>
        <v/>
      </c>
      <c r="AC66" s="138" t="str">
        <f>IF(DataColumns[[#This Row],[ColumnType]]="ResultValue",CONCATENATE(DataColumns[[#This Row],[ColumnType]],DataColumns[[#This Row],[ColumnLabel]]),CONCATENATE(DataColumns[[#This Row],[ColumnType]],DataColumns[[#This Row],[AppliesToColumn]]))</f>
        <v/>
      </c>
    </row>
    <row r="67" spans="1:29" x14ac:dyDescent="0.25">
      <c r="A67" s="58" t="str">
        <f>IF(COUNTA(DataColumns[[#This Row],[ColumnLabel]:[QualityCodeCV]])&gt;0,IF(MAX(A$12:A66)=0,1,MAX(A$12:A66)+1),"")</f>
        <v/>
      </c>
      <c r="B67" s="116"/>
      <c r="C67" s="11"/>
      <c r="D67" s="169"/>
      <c r="E67" s="175"/>
      <c r="F67" s="151"/>
      <c r="G67" s="10"/>
      <c r="H67" s="11"/>
      <c r="I67" s="11"/>
      <c r="J67" s="11"/>
      <c r="K67" s="40"/>
      <c r="L67" s="11"/>
      <c r="M67" s="145"/>
      <c r="N67" s="116"/>
      <c r="O67" s="10"/>
      <c r="P67" s="11"/>
      <c r="Q67" s="11"/>
      <c r="R67" s="22"/>
      <c r="S67" s="22"/>
      <c r="T67" s="11"/>
      <c r="U67" s="11"/>
      <c r="V67" s="11"/>
      <c r="W67" s="11"/>
      <c r="X67" s="22"/>
      <c r="Y67" s="11"/>
      <c r="Z67" s="11"/>
      <c r="AA67" s="11"/>
      <c r="AB67" s="194" t="str">
        <f>IF(DataColumns[[#This Row],[ColumnType]]="ResultValue",IF(MAX(AB$12:AB66)=0,1,MAX(AB$12:AB66)+1),"")</f>
        <v/>
      </c>
      <c r="AC67" s="138" t="str">
        <f>IF(DataColumns[[#This Row],[ColumnType]]="ResultValue",CONCATENATE(DataColumns[[#This Row],[ColumnType]],DataColumns[[#This Row],[ColumnLabel]]),CONCATENATE(DataColumns[[#This Row],[ColumnType]],DataColumns[[#This Row],[AppliesToColumn]]))</f>
        <v/>
      </c>
    </row>
    <row r="68" spans="1:29" x14ac:dyDescent="0.25">
      <c r="A68" s="58" t="str">
        <f>IF(COUNTA(DataColumns[[#This Row],[ColumnLabel]:[QualityCodeCV]])&gt;0,IF(MAX(A$12:A67)=0,1,MAX(A$12:A67)+1),"")</f>
        <v/>
      </c>
      <c r="B68" s="116"/>
      <c r="C68" s="11"/>
      <c r="D68" s="169"/>
      <c r="E68" s="175"/>
      <c r="F68" s="151"/>
      <c r="G68" s="10"/>
      <c r="H68" s="11"/>
      <c r="I68" s="11"/>
      <c r="J68" s="11"/>
      <c r="K68" s="40"/>
      <c r="L68" s="11"/>
      <c r="M68" s="145"/>
      <c r="N68" s="116"/>
      <c r="O68" s="10"/>
      <c r="P68" s="11"/>
      <c r="Q68" s="11"/>
      <c r="R68" s="22"/>
      <c r="S68" s="22"/>
      <c r="T68" s="11"/>
      <c r="U68" s="11"/>
      <c r="V68" s="11"/>
      <c r="W68" s="11"/>
      <c r="X68" s="22"/>
      <c r="Y68" s="11"/>
      <c r="Z68" s="11"/>
      <c r="AA68" s="11"/>
      <c r="AB68" s="194" t="str">
        <f>IF(DataColumns[[#This Row],[ColumnType]]="ResultValue",IF(MAX(AB$12:AB67)=0,1,MAX(AB$12:AB67)+1),"")</f>
        <v/>
      </c>
      <c r="AC68" s="138" t="str">
        <f>IF(DataColumns[[#This Row],[ColumnType]]="ResultValue",CONCATENATE(DataColumns[[#This Row],[ColumnType]],DataColumns[[#This Row],[ColumnLabel]]),CONCATENATE(DataColumns[[#This Row],[ColumnType]],DataColumns[[#This Row],[AppliesToColumn]]))</f>
        <v/>
      </c>
    </row>
    <row r="69" spans="1:29" x14ac:dyDescent="0.25">
      <c r="A69" s="58" t="str">
        <f>IF(COUNTA(DataColumns[[#This Row],[ColumnLabel]:[QualityCodeCV]])&gt;0,IF(MAX(A$12:A68)=0,1,MAX(A$12:A68)+1),"")</f>
        <v/>
      </c>
      <c r="B69" s="116"/>
      <c r="C69" s="11"/>
      <c r="D69" s="169"/>
      <c r="E69" s="175"/>
      <c r="F69" s="151"/>
      <c r="G69" s="10"/>
      <c r="H69" s="11"/>
      <c r="I69" s="11"/>
      <c r="J69" s="11"/>
      <c r="K69" s="40"/>
      <c r="L69" s="11"/>
      <c r="M69" s="145"/>
      <c r="N69" s="116"/>
      <c r="O69" s="10"/>
      <c r="P69" s="11"/>
      <c r="Q69" s="11"/>
      <c r="R69" s="22"/>
      <c r="S69" s="22"/>
      <c r="T69" s="11"/>
      <c r="U69" s="11"/>
      <c r="V69" s="11"/>
      <c r="W69" s="11"/>
      <c r="X69" s="22"/>
      <c r="Y69" s="11"/>
      <c r="Z69" s="11"/>
      <c r="AA69" s="11"/>
      <c r="AB69" s="194" t="str">
        <f>IF(DataColumns[[#This Row],[ColumnType]]="ResultValue",IF(MAX(AB$12:AB68)=0,1,MAX(AB$12:AB68)+1),"")</f>
        <v/>
      </c>
      <c r="AC69" s="138" t="str">
        <f>IF(DataColumns[[#This Row],[ColumnType]]="ResultValue",CONCATENATE(DataColumns[[#This Row],[ColumnType]],DataColumns[[#This Row],[ColumnLabel]]),CONCATENATE(DataColumns[[#This Row],[ColumnType]],DataColumns[[#This Row],[AppliesToColumn]]))</f>
        <v/>
      </c>
    </row>
    <row r="70" spans="1:29" x14ac:dyDescent="0.25">
      <c r="A70" s="58" t="str">
        <f>IF(COUNTA(DataColumns[[#This Row],[ColumnLabel]:[QualityCodeCV]])&gt;0,IF(MAX(A$12:A69)=0,1,MAX(A$12:A69)+1),"")</f>
        <v/>
      </c>
      <c r="B70" s="116"/>
      <c r="C70" s="11"/>
      <c r="D70" s="169"/>
      <c r="E70" s="175"/>
      <c r="F70" s="151"/>
      <c r="G70" s="10"/>
      <c r="H70" s="11"/>
      <c r="I70" s="11"/>
      <c r="J70" s="11"/>
      <c r="K70" s="40"/>
      <c r="L70" s="11"/>
      <c r="M70" s="145"/>
      <c r="N70" s="116"/>
      <c r="O70" s="10"/>
      <c r="P70" s="11"/>
      <c r="Q70" s="11"/>
      <c r="R70" s="22"/>
      <c r="S70" s="22"/>
      <c r="T70" s="11"/>
      <c r="U70" s="11"/>
      <c r="V70" s="11"/>
      <c r="W70" s="11"/>
      <c r="X70" s="22"/>
      <c r="Y70" s="11"/>
      <c r="Z70" s="11"/>
      <c r="AA70" s="11"/>
      <c r="AB70" s="194" t="str">
        <f>IF(DataColumns[[#This Row],[ColumnType]]="ResultValue",IF(MAX(AB$12:AB69)=0,1,MAX(AB$12:AB69)+1),"")</f>
        <v/>
      </c>
      <c r="AC70" s="138" t="str">
        <f>IF(DataColumns[[#This Row],[ColumnType]]="ResultValue",CONCATENATE(DataColumns[[#This Row],[ColumnType]],DataColumns[[#This Row],[ColumnLabel]]),CONCATENATE(DataColumns[[#This Row],[ColumnType]],DataColumns[[#This Row],[AppliesToColumn]]))</f>
        <v/>
      </c>
    </row>
    <row r="71" spans="1:29" x14ac:dyDescent="0.25">
      <c r="A71" s="58" t="str">
        <f>IF(COUNTA(DataColumns[[#This Row],[ColumnLabel]:[QualityCodeCV]])&gt;0,IF(MAX(A$12:A70)=0,1,MAX(A$12:A70)+1),"")</f>
        <v/>
      </c>
      <c r="B71" s="116"/>
      <c r="C71" s="11"/>
      <c r="D71" s="169"/>
      <c r="E71" s="175"/>
      <c r="F71" s="151"/>
      <c r="G71" s="10"/>
      <c r="H71" s="11"/>
      <c r="I71" s="11"/>
      <c r="J71" s="11"/>
      <c r="K71" s="40"/>
      <c r="L71" s="11"/>
      <c r="M71" s="145"/>
      <c r="N71" s="116"/>
      <c r="O71" s="10"/>
      <c r="P71" s="11"/>
      <c r="Q71" s="11"/>
      <c r="R71" s="22"/>
      <c r="S71" s="22"/>
      <c r="T71" s="11"/>
      <c r="U71" s="11"/>
      <c r="V71" s="11"/>
      <c r="W71" s="11"/>
      <c r="X71" s="22"/>
      <c r="Y71" s="11"/>
      <c r="Z71" s="11"/>
      <c r="AA71" s="11"/>
      <c r="AB71" s="194" t="str">
        <f>IF(DataColumns[[#This Row],[ColumnType]]="ResultValue",IF(MAX(AB$12:AB70)=0,1,MAX(AB$12:AB70)+1),"")</f>
        <v/>
      </c>
      <c r="AC71" s="138" t="str">
        <f>IF(DataColumns[[#This Row],[ColumnType]]="ResultValue",CONCATENATE(DataColumns[[#This Row],[ColumnType]],DataColumns[[#This Row],[ColumnLabel]]),CONCATENATE(DataColumns[[#This Row],[ColumnType]],DataColumns[[#This Row],[AppliesToColumn]]))</f>
        <v/>
      </c>
    </row>
    <row r="72" spans="1:29" x14ac:dyDescent="0.25">
      <c r="A72" s="58" t="str">
        <f>IF(COUNTA(DataColumns[[#This Row],[ColumnLabel]:[QualityCodeCV]])&gt;0,IF(MAX(A$12:A71)=0,1,MAX(A$12:A71)+1),"")</f>
        <v/>
      </c>
      <c r="B72" s="116"/>
      <c r="C72" s="11"/>
      <c r="D72" s="169"/>
      <c r="E72" s="175"/>
      <c r="F72" s="151"/>
      <c r="G72" s="10"/>
      <c r="H72" s="11"/>
      <c r="I72" s="11"/>
      <c r="J72" s="11"/>
      <c r="K72" s="40"/>
      <c r="L72" s="11"/>
      <c r="M72" s="145"/>
      <c r="N72" s="116"/>
      <c r="O72" s="10"/>
      <c r="P72" s="11"/>
      <c r="Q72" s="11"/>
      <c r="R72" s="22"/>
      <c r="S72" s="22"/>
      <c r="T72" s="11"/>
      <c r="U72" s="11"/>
      <c r="V72" s="11"/>
      <c r="W72" s="11"/>
      <c r="X72" s="22"/>
      <c r="Y72" s="11"/>
      <c r="Z72" s="11"/>
      <c r="AA72" s="11"/>
      <c r="AB72" s="194" t="str">
        <f>IF(DataColumns[[#This Row],[ColumnType]]="ResultValue",IF(MAX(AB$12:AB71)=0,1,MAX(AB$12:AB71)+1),"")</f>
        <v/>
      </c>
      <c r="AC72" s="138" t="str">
        <f>IF(DataColumns[[#This Row],[ColumnType]]="ResultValue",CONCATENATE(DataColumns[[#This Row],[ColumnType]],DataColumns[[#This Row],[ColumnLabel]]),CONCATENATE(DataColumns[[#This Row],[ColumnType]],DataColumns[[#This Row],[AppliesToColumn]]))</f>
        <v/>
      </c>
    </row>
    <row r="73" spans="1:29" x14ac:dyDescent="0.25">
      <c r="A73" s="58" t="str">
        <f>IF(COUNTA(DataColumns[[#This Row],[ColumnLabel]:[QualityCodeCV]])&gt;0,IF(MAX(A$12:A72)=0,1,MAX(A$12:A72)+1),"")</f>
        <v/>
      </c>
      <c r="B73" s="116"/>
      <c r="C73" s="11"/>
      <c r="D73" s="169"/>
      <c r="E73" s="175"/>
      <c r="F73" s="151"/>
      <c r="G73" s="10"/>
      <c r="H73" s="11"/>
      <c r="I73" s="11"/>
      <c r="J73" s="11"/>
      <c r="K73" s="40"/>
      <c r="L73" s="11"/>
      <c r="M73" s="145"/>
      <c r="N73" s="116"/>
      <c r="O73" s="10"/>
      <c r="P73" s="11"/>
      <c r="Q73" s="11"/>
      <c r="R73" s="22"/>
      <c r="S73" s="22"/>
      <c r="T73" s="11"/>
      <c r="U73" s="11"/>
      <c r="V73" s="11"/>
      <c r="W73" s="11"/>
      <c r="X73" s="22"/>
      <c r="Y73" s="11"/>
      <c r="Z73" s="11"/>
      <c r="AA73" s="11"/>
      <c r="AB73" s="194" t="str">
        <f>IF(DataColumns[[#This Row],[ColumnType]]="ResultValue",IF(MAX(AB$12:AB72)=0,1,MAX(AB$12:AB72)+1),"")</f>
        <v/>
      </c>
      <c r="AC73" s="138" t="str">
        <f>IF(DataColumns[[#This Row],[ColumnType]]="ResultValue",CONCATENATE(DataColumns[[#This Row],[ColumnType]],DataColumns[[#This Row],[ColumnLabel]]),CONCATENATE(DataColumns[[#This Row],[ColumnType]],DataColumns[[#This Row],[AppliesToColumn]]))</f>
        <v/>
      </c>
    </row>
    <row r="74" spans="1:29" x14ac:dyDescent="0.25">
      <c r="A74" s="58" t="str">
        <f>IF(COUNTA(DataColumns[[#This Row],[ColumnLabel]:[QualityCodeCV]])&gt;0,IF(MAX(A$12:A73)=0,1,MAX(A$12:A73)+1),"")</f>
        <v/>
      </c>
      <c r="B74" s="116"/>
      <c r="C74" s="11"/>
      <c r="D74" s="169"/>
      <c r="E74" s="175"/>
      <c r="F74" s="151"/>
      <c r="G74" s="10"/>
      <c r="H74" s="11"/>
      <c r="I74" s="11"/>
      <c r="J74" s="11"/>
      <c r="K74" s="40"/>
      <c r="L74" s="11"/>
      <c r="M74" s="145"/>
      <c r="N74" s="116"/>
      <c r="O74" s="10"/>
      <c r="P74" s="11"/>
      <c r="Q74" s="11"/>
      <c r="R74" s="22"/>
      <c r="S74" s="22"/>
      <c r="T74" s="11"/>
      <c r="U74" s="11"/>
      <c r="V74" s="11"/>
      <c r="W74" s="11"/>
      <c r="X74" s="22"/>
      <c r="Y74" s="11"/>
      <c r="Z74" s="11"/>
      <c r="AA74" s="11"/>
      <c r="AB74" s="194" t="str">
        <f>IF(DataColumns[[#This Row],[ColumnType]]="ResultValue",IF(MAX(AB$12:AB73)=0,1,MAX(AB$12:AB73)+1),"")</f>
        <v/>
      </c>
      <c r="AC74" s="138" t="str">
        <f>IF(DataColumns[[#This Row],[ColumnType]]="ResultValue",CONCATENATE(DataColumns[[#This Row],[ColumnType]],DataColumns[[#This Row],[ColumnLabel]]),CONCATENATE(DataColumns[[#This Row],[ColumnType]],DataColumns[[#This Row],[AppliesToColumn]]))</f>
        <v/>
      </c>
    </row>
    <row r="75" spans="1:29" x14ac:dyDescent="0.25">
      <c r="A75" s="58" t="str">
        <f>IF(COUNTA(DataColumns[[#This Row],[ColumnLabel]:[QualityCodeCV]])&gt;0,IF(MAX(A$12:A74)=0,1,MAX(A$12:A74)+1),"")</f>
        <v/>
      </c>
      <c r="B75" s="116"/>
      <c r="C75" s="11"/>
      <c r="D75" s="169"/>
      <c r="E75" s="175"/>
      <c r="F75" s="151"/>
      <c r="G75" s="10"/>
      <c r="H75" s="11"/>
      <c r="I75" s="11"/>
      <c r="J75" s="11"/>
      <c r="K75" s="40"/>
      <c r="L75" s="11"/>
      <c r="M75" s="145"/>
      <c r="N75" s="116"/>
      <c r="O75" s="10"/>
      <c r="P75" s="11"/>
      <c r="Q75" s="11"/>
      <c r="R75" s="22"/>
      <c r="S75" s="22"/>
      <c r="T75" s="11"/>
      <c r="U75" s="11"/>
      <c r="V75" s="11"/>
      <c r="W75" s="11"/>
      <c r="X75" s="22"/>
      <c r="Y75" s="11"/>
      <c r="Z75" s="11"/>
      <c r="AA75" s="11"/>
      <c r="AB75" s="194" t="str">
        <f>IF(DataColumns[[#This Row],[ColumnType]]="ResultValue",IF(MAX(AB$12:AB74)=0,1,MAX(AB$12:AB74)+1),"")</f>
        <v/>
      </c>
      <c r="AC75" s="138" t="str">
        <f>IF(DataColumns[[#This Row],[ColumnType]]="ResultValue",CONCATENATE(DataColumns[[#This Row],[ColumnType]],DataColumns[[#This Row],[ColumnLabel]]),CONCATENATE(DataColumns[[#This Row],[ColumnType]],DataColumns[[#This Row],[AppliesToColumn]]))</f>
        <v/>
      </c>
    </row>
    <row r="76" spans="1:29" x14ac:dyDescent="0.25">
      <c r="A76" s="58" t="str">
        <f>IF(COUNTA(DataColumns[[#This Row],[ColumnLabel]:[QualityCodeCV]])&gt;0,IF(MAX(A$12:A75)=0,1,MAX(A$12:A75)+1),"")</f>
        <v/>
      </c>
      <c r="B76" s="116"/>
      <c r="C76" s="11"/>
      <c r="D76" s="169"/>
      <c r="E76" s="175"/>
      <c r="F76" s="151"/>
      <c r="G76" s="10"/>
      <c r="H76" s="11"/>
      <c r="I76" s="11"/>
      <c r="J76" s="11"/>
      <c r="K76" s="40"/>
      <c r="L76" s="11"/>
      <c r="M76" s="145"/>
      <c r="N76" s="116"/>
      <c r="O76" s="10"/>
      <c r="P76" s="11"/>
      <c r="Q76" s="11"/>
      <c r="R76" s="22"/>
      <c r="S76" s="22"/>
      <c r="T76" s="11"/>
      <c r="U76" s="11"/>
      <c r="V76" s="11"/>
      <c r="W76" s="11"/>
      <c r="X76" s="22"/>
      <c r="Y76" s="11"/>
      <c r="Z76" s="11"/>
      <c r="AA76" s="11"/>
      <c r="AB76" s="194" t="str">
        <f>IF(DataColumns[[#This Row],[ColumnType]]="ResultValue",IF(MAX(AB$12:AB75)=0,1,MAX(AB$12:AB75)+1),"")</f>
        <v/>
      </c>
      <c r="AC76" s="138" t="str">
        <f>IF(DataColumns[[#This Row],[ColumnType]]="ResultValue",CONCATENATE(DataColumns[[#This Row],[ColumnType]],DataColumns[[#This Row],[ColumnLabel]]),CONCATENATE(DataColumns[[#This Row],[ColumnType]],DataColumns[[#This Row],[AppliesToColumn]]))</f>
        <v/>
      </c>
    </row>
    <row r="77" spans="1:29" x14ac:dyDescent="0.25">
      <c r="A77" s="58" t="str">
        <f>IF(COUNTA(DataColumns[[#This Row],[ColumnLabel]:[QualityCodeCV]])&gt;0,IF(MAX(A$12:A76)=0,1,MAX(A$12:A76)+1),"")</f>
        <v/>
      </c>
      <c r="B77" s="116"/>
      <c r="C77" s="11"/>
      <c r="D77" s="169"/>
      <c r="E77" s="175"/>
      <c r="F77" s="151"/>
      <c r="G77" s="10"/>
      <c r="H77" s="11"/>
      <c r="I77" s="11"/>
      <c r="J77" s="11"/>
      <c r="K77" s="40"/>
      <c r="L77" s="11"/>
      <c r="M77" s="145"/>
      <c r="N77" s="116"/>
      <c r="O77" s="10"/>
      <c r="P77" s="11"/>
      <c r="Q77" s="11"/>
      <c r="R77" s="22"/>
      <c r="S77" s="22"/>
      <c r="T77" s="11"/>
      <c r="U77" s="11"/>
      <c r="V77" s="11"/>
      <c r="W77" s="11"/>
      <c r="X77" s="22"/>
      <c r="Y77" s="11"/>
      <c r="Z77" s="11"/>
      <c r="AA77" s="11"/>
      <c r="AB77" s="194" t="str">
        <f>IF(DataColumns[[#This Row],[ColumnType]]="ResultValue",IF(MAX(AB$12:AB76)=0,1,MAX(AB$12:AB76)+1),"")</f>
        <v/>
      </c>
      <c r="AC77" s="138" t="str">
        <f>IF(DataColumns[[#This Row],[ColumnType]]="ResultValue",CONCATENATE(DataColumns[[#This Row],[ColumnType]],DataColumns[[#This Row],[ColumnLabel]]),CONCATENATE(DataColumns[[#This Row],[ColumnType]],DataColumns[[#This Row],[AppliesToColumn]]))</f>
        <v/>
      </c>
    </row>
    <row r="78" spans="1:29" x14ac:dyDescent="0.25">
      <c r="A78" s="58" t="str">
        <f>IF(COUNTA(DataColumns[[#This Row],[ColumnLabel]:[QualityCodeCV]])&gt;0,IF(MAX(A$12:A77)=0,1,MAX(A$12:A77)+1),"")</f>
        <v/>
      </c>
      <c r="B78" s="116"/>
      <c r="C78" s="11"/>
      <c r="D78" s="169"/>
      <c r="E78" s="175"/>
      <c r="F78" s="151"/>
      <c r="G78" s="10"/>
      <c r="H78" s="11"/>
      <c r="I78" s="11"/>
      <c r="J78" s="11"/>
      <c r="K78" s="40"/>
      <c r="L78" s="11"/>
      <c r="M78" s="145"/>
      <c r="N78" s="116"/>
      <c r="O78" s="10"/>
      <c r="P78" s="11"/>
      <c r="Q78" s="11"/>
      <c r="R78" s="22"/>
      <c r="S78" s="22"/>
      <c r="T78" s="11"/>
      <c r="U78" s="11"/>
      <c r="V78" s="11"/>
      <c r="W78" s="11"/>
      <c r="X78" s="22"/>
      <c r="Y78" s="11"/>
      <c r="Z78" s="11"/>
      <c r="AA78" s="11"/>
      <c r="AB78" s="194" t="str">
        <f>IF(DataColumns[[#This Row],[ColumnType]]="ResultValue",IF(MAX(AB$12:AB77)=0,1,MAX(AB$12:AB77)+1),"")</f>
        <v/>
      </c>
      <c r="AC78" s="138" t="str">
        <f>IF(DataColumns[[#This Row],[ColumnType]]="ResultValue",CONCATENATE(DataColumns[[#This Row],[ColumnType]],DataColumns[[#This Row],[ColumnLabel]]),CONCATENATE(DataColumns[[#This Row],[ColumnType]],DataColumns[[#This Row],[AppliesToColumn]]))</f>
        <v/>
      </c>
    </row>
    <row r="79" spans="1:29" x14ac:dyDescent="0.25">
      <c r="A79" s="58" t="str">
        <f>IF(COUNTA(DataColumns[[#This Row],[ColumnLabel]:[QualityCodeCV]])&gt;0,IF(MAX(A$12:A78)=0,1,MAX(A$12:A78)+1),"")</f>
        <v/>
      </c>
      <c r="B79" s="116"/>
      <c r="C79" s="11"/>
      <c r="D79" s="169"/>
      <c r="E79" s="175"/>
      <c r="F79" s="151"/>
      <c r="G79" s="10"/>
      <c r="H79" s="11"/>
      <c r="I79" s="11"/>
      <c r="J79" s="11"/>
      <c r="K79" s="40"/>
      <c r="L79" s="11"/>
      <c r="M79" s="145"/>
      <c r="N79" s="116"/>
      <c r="O79" s="10"/>
      <c r="P79" s="11"/>
      <c r="Q79" s="11"/>
      <c r="R79" s="22"/>
      <c r="S79" s="22"/>
      <c r="T79" s="11"/>
      <c r="U79" s="11"/>
      <c r="V79" s="11"/>
      <c r="W79" s="11"/>
      <c r="X79" s="22"/>
      <c r="Y79" s="11"/>
      <c r="Z79" s="11"/>
      <c r="AA79" s="11"/>
      <c r="AB79" s="194" t="str">
        <f>IF(DataColumns[[#This Row],[ColumnType]]="ResultValue",IF(MAX(AB$12:AB78)=0,1,MAX(AB$12:AB78)+1),"")</f>
        <v/>
      </c>
      <c r="AC79" s="138" t="str">
        <f>IF(DataColumns[[#This Row],[ColumnType]]="ResultValue",CONCATENATE(DataColumns[[#This Row],[ColumnType]],DataColumns[[#This Row],[ColumnLabel]]),CONCATENATE(DataColumns[[#This Row],[ColumnType]],DataColumns[[#This Row],[AppliesToColumn]]))</f>
        <v/>
      </c>
    </row>
    <row r="80" spans="1:29" x14ac:dyDescent="0.25">
      <c r="A80" s="58" t="str">
        <f>IF(COUNTA(DataColumns[[#This Row],[ColumnLabel]:[QualityCodeCV]])&gt;0,IF(MAX(A$12:A79)=0,1,MAX(A$12:A79)+1),"")</f>
        <v/>
      </c>
      <c r="B80" s="116"/>
      <c r="C80" s="11"/>
      <c r="D80" s="169"/>
      <c r="E80" s="175"/>
      <c r="F80" s="151"/>
      <c r="G80" s="10"/>
      <c r="H80" s="11"/>
      <c r="I80" s="11"/>
      <c r="J80" s="11"/>
      <c r="K80" s="40"/>
      <c r="L80" s="11"/>
      <c r="M80" s="145"/>
      <c r="N80" s="116"/>
      <c r="O80" s="10"/>
      <c r="P80" s="11"/>
      <c r="Q80" s="11"/>
      <c r="R80" s="22"/>
      <c r="S80" s="22"/>
      <c r="T80" s="11"/>
      <c r="U80" s="11"/>
      <c r="V80" s="11"/>
      <c r="W80" s="11"/>
      <c r="X80" s="22"/>
      <c r="Y80" s="11"/>
      <c r="Z80" s="11"/>
      <c r="AA80" s="11"/>
      <c r="AB80" s="194" t="str">
        <f>IF(DataColumns[[#This Row],[ColumnType]]="ResultValue",IF(MAX(AB$12:AB79)=0,1,MAX(AB$12:AB79)+1),"")</f>
        <v/>
      </c>
      <c r="AC80" s="138" t="str">
        <f>IF(DataColumns[[#This Row],[ColumnType]]="ResultValue",CONCATENATE(DataColumns[[#This Row],[ColumnType]],DataColumns[[#This Row],[ColumnLabel]]),CONCATENATE(DataColumns[[#This Row],[ColumnType]],DataColumns[[#This Row],[AppliesToColumn]]))</f>
        <v/>
      </c>
    </row>
    <row r="81" spans="1:29" x14ac:dyDescent="0.25">
      <c r="A81" s="58" t="str">
        <f>IF(COUNTA(DataColumns[[#This Row],[ColumnLabel]:[QualityCodeCV]])&gt;0,IF(MAX(A$12:A80)=0,1,MAX(A$12:A80)+1),"")</f>
        <v/>
      </c>
      <c r="B81" s="116"/>
      <c r="C81" s="11"/>
      <c r="D81" s="169"/>
      <c r="E81" s="175"/>
      <c r="F81" s="151"/>
      <c r="G81" s="10"/>
      <c r="H81" s="11"/>
      <c r="I81" s="11"/>
      <c r="J81" s="11"/>
      <c r="K81" s="40"/>
      <c r="L81" s="11"/>
      <c r="M81" s="145"/>
      <c r="N81" s="116"/>
      <c r="O81" s="10"/>
      <c r="P81" s="11"/>
      <c r="Q81" s="11"/>
      <c r="R81" s="22"/>
      <c r="S81" s="22"/>
      <c r="T81" s="11"/>
      <c r="U81" s="11"/>
      <c r="V81" s="11"/>
      <c r="W81" s="11"/>
      <c r="X81" s="22"/>
      <c r="Y81" s="11"/>
      <c r="Z81" s="11"/>
      <c r="AA81" s="11"/>
      <c r="AB81" s="194" t="str">
        <f>IF(DataColumns[[#This Row],[ColumnType]]="ResultValue",IF(MAX(AB$12:AB80)=0,1,MAX(AB$12:AB80)+1),"")</f>
        <v/>
      </c>
      <c r="AC81" s="138" t="str">
        <f>IF(DataColumns[[#This Row],[ColumnType]]="ResultValue",CONCATENATE(DataColumns[[#This Row],[ColumnType]],DataColumns[[#This Row],[ColumnLabel]]),CONCATENATE(DataColumns[[#This Row],[ColumnType]],DataColumns[[#This Row],[AppliesToColumn]]))</f>
        <v/>
      </c>
    </row>
    <row r="82" spans="1:29" x14ac:dyDescent="0.25">
      <c r="A82" s="58" t="str">
        <f>IF(COUNTA(DataColumns[[#This Row],[ColumnLabel]:[QualityCodeCV]])&gt;0,IF(MAX(A$12:A81)=0,1,MAX(A$12:A81)+1),"")</f>
        <v/>
      </c>
      <c r="B82" s="116"/>
      <c r="C82" s="11"/>
      <c r="D82" s="169"/>
      <c r="E82" s="175"/>
      <c r="F82" s="151"/>
      <c r="G82" s="10"/>
      <c r="H82" s="11"/>
      <c r="I82" s="11"/>
      <c r="J82" s="11"/>
      <c r="K82" s="40"/>
      <c r="L82" s="11"/>
      <c r="M82" s="145"/>
      <c r="N82" s="116"/>
      <c r="O82" s="10"/>
      <c r="P82" s="11"/>
      <c r="Q82" s="11"/>
      <c r="R82" s="22"/>
      <c r="S82" s="22"/>
      <c r="T82" s="11"/>
      <c r="U82" s="11"/>
      <c r="V82" s="11"/>
      <c r="W82" s="11"/>
      <c r="X82" s="22"/>
      <c r="Y82" s="11"/>
      <c r="Z82" s="11"/>
      <c r="AA82" s="11"/>
      <c r="AB82" s="194" t="str">
        <f>IF(DataColumns[[#This Row],[ColumnType]]="ResultValue",IF(MAX(AB$12:AB81)=0,1,MAX(AB$12:AB81)+1),"")</f>
        <v/>
      </c>
      <c r="AC82" s="138" t="str">
        <f>IF(DataColumns[[#This Row],[ColumnType]]="ResultValue",CONCATENATE(DataColumns[[#This Row],[ColumnType]],DataColumns[[#This Row],[ColumnLabel]]),CONCATENATE(DataColumns[[#This Row],[ColumnType]],DataColumns[[#This Row],[AppliesToColumn]]))</f>
        <v/>
      </c>
    </row>
    <row r="83" spans="1:29" x14ac:dyDescent="0.25">
      <c r="A83" s="58" t="str">
        <f>IF(COUNTA(DataColumns[[#This Row],[ColumnLabel]:[QualityCodeCV]])&gt;0,IF(MAX(A$12:A82)=0,1,MAX(A$12:A82)+1),"")</f>
        <v/>
      </c>
      <c r="B83" s="116"/>
      <c r="C83" s="11"/>
      <c r="D83" s="169"/>
      <c r="E83" s="175"/>
      <c r="F83" s="151"/>
      <c r="G83" s="10"/>
      <c r="H83" s="11"/>
      <c r="I83" s="11"/>
      <c r="J83" s="11"/>
      <c r="K83" s="40"/>
      <c r="L83" s="11"/>
      <c r="M83" s="145"/>
      <c r="N83" s="116"/>
      <c r="O83" s="10"/>
      <c r="P83" s="11"/>
      <c r="Q83" s="11"/>
      <c r="R83" s="22"/>
      <c r="S83" s="22"/>
      <c r="T83" s="11"/>
      <c r="U83" s="11"/>
      <c r="V83" s="11"/>
      <c r="W83" s="11"/>
      <c r="X83" s="22"/>
      <c r="Y83" s="11"/>
      <c r="Z83" s="11"/>
      <c r="AA83" s="11"/>
      <c r="AB83" s="194" t="str">
        <f>IF(DataColumns[[#This Row],[ColumnType]]="ResultValue",IF(MAX(AB$12:AB82)=0,1,MAX(AB$12:AB82)+1),"")</f>
        <v/>
      </c>
      <c r="AC83" s="138" t="str">
        <f>IF(DataColumns[[#This Row],[ColumnType]]="ResultValue",CONCATENATE(DataColumns[[#This Row],[ColumnType]],DataColumns[[#This Row],[ColumnLabel]]),CONCATENATE(DataColumns[[#This Row],[ColumnType]],DataColumns[[#This Row],[AppliesToColumn]]))</f>
        <v/>
      </c>
    </row>
    <row r="84" spans="1:29" x14ac:dyDescent="0.25">
      <c r="A84" s="58" t="str">
        <f>IF(COUNTA(DataColumns[[#This Row],[ColumnLabel]:[QualityCodeCV]])&gt;0,IF(MAX(A$12:A83)=0,1,MAX(A$12:A83)+1),"")</f>
        <v/>
      </c>
      <c r="B84" s="116"/>
      <c r="C84" s="11"/>
      <c r="D84" s="169"/>
      <c r="E84" s="175"/>
      <c r="F84" s="151"/>
      <c r="G84" s="10"/>
      <c r="H84" s="11"/>
      <c r="I84" s="11"/>
      <c r="J84" s="11"/>
      <c r="K84" s="40"/>
      <c r="L84" s="11"/>
      <c r="M84" s="145"/>
      <c r="N84" s="116"/>
      <c r="O84" s="10"/>
      <c r="P84" s="11"/>
      <c r="Q84" s="11"/>
      <c r="R84" s="22"/>
      <c r="S84" s="22"/>
      <c r="T84" s="11"/>
      <c r="U84" s="11"/>
      <c r="V84" s="11"/>
      <c r="W84" s="11"/>
      <c r="X84" s="22"/>
      <c r="Y84" s="11"/>
      <c r="Z84" s="11"/>
      <c r="AA84" s="11"/>
      <c r="AB84" s="194" t="str">
        <f>IF(DataColumns[[#This Row],[ColumnType]]="ResultValue",IF(MAX(AB$12:AB83)=0,1,MAX(AB$12:AB83)+1),"")</f>
        <v/>
      </c>
      <c r="AC84" s="138" t="str">
        <f>IF(DataColumns[[#This Row],[ColumnType]]="ResultValue",CONCATENATE(DataColumns[[#This Row],[ColumnType]],DataColumns[[#This Row],[ColumnLabel]]),CONCATENATE(DataColumns[[#This Row],[ColumnType]],DataColumns[[#This Row],[AppliesToColumn]]))</f>
        <v/>
      </c>
    </row>
    <row r="85" spans="1:29" x14ac:dyDescent="0.25">
      <c r="A85" s="58" t="str">
        <f>IF(COUNTA(DataColumns[[#This Row],[ColumnLabel]:[QualityCodeCV]])&gt;0,IF(MAX(A$12:A84)=0,1,MAX(A$12:A84)+1),"")</f>
        <v/>
      </c>
      <c r="B85" s="116"/>
      <c r="C85" s="11"/>
      <c r="D85" s="169"/>
      <c r="E85" s="175"/>
      <c r="F85" s="151"/>
      <c r="G85" s="10"/>
      <c r="H85" s="11"/>
      <c r="I85" s="11"/>
      <c r="J85" s="11"/>
      <c r="K85" s="40"/>
      <c r="L85" s="11"/>
      <c r="M85" s="145"/>
      <c r="N85" s="116"/>
      <c r="O85" s="10"/>
      <c r="P85" s="11"/>
      <c r="Q85" s="11"/>
      <c r="R85" s="22"/>
      <c r="S85" s="22"/>
      <c r="T85" s="11"/>
      <c r="U85" s="11"/>
      <c r="V85" s="11"/>
      <c r="W85" s="11"/>
      <c r="X85" s="22"/>
      <c r="Y85" s="11"/>
      <c r="Z85" s="11"/>
      <c r="AA85" s="11"/>
      <c r="AB85" s="194" t="str">
        <f>IF(DataColumns[[#This Row],[ColumnType]]="ResultValue",IF(MAX(AB$12:AB84)=0,1,MAX(AB$12:AB84)+1),"")</f>
        <v/>
      </c>
      <c r="AC85" s="138" t="str">
        <f>IF(DataColumns[[#This Row],[ColumnType]]="ResultValue",CONCATENATE(DataColumns[[#This Row],[ColumnType]],DataColumns[[#This Row],[ColumnLabel]]),CONCATENATE(DataColumns[[#This Row],[ColumnType]],DataColumns[[#This Row],[AppliesToColumn]]))</f>
        <v/>
      </c>
    </row>
    <row r="86" spans="1:29" x14ac:dyDescent="0.25">
      <c r="A86" s="58" t="str">
        <f>IF(COUNTA(DataColumns[[#This Row],[ColumnLabel]:[QualityCodeCV]])&gt;0,IF(MAX(A$12:A85)=0,1,MAX(A$12:A85)+1),"")</f>
        <v/>
      </c>
      <c r="B86" s="116"/>
      <c r="C86" s="11"/>
      <c r="D86" s="169"/>
      <c r="E86" s="175"/>
      <c r="F86" s="151"/>
      <c r="G86" s="10"/>
      <c r="H86" s="11"/>
      <c r="I86" s="11"/>
      <c r="J86" s="11"/>
      <c r="K86" s="40"/>
      <c r="L86" s="11"/>
      <c r="M86" s="145"/>
      <c r="N86" s="116"/>
      <c r="O86" s="10"/>
      <c r="P86" s="11"/>
      <c r="Q86" s="11"/>
      <c r="R86" s="22"/>
      <c r="S86" s="22"/>
      <c r="T86" s="11"/>
      <c r="U86" s="11"/>
      <c r="V86" s="11"/>
      <c r="W86" s="11"/>
      <c r="X86" s="22"/>
      <c r="Y86" s="11"/>
      <c r="Z86" s="11"/>
      <c r="AA86" s="11"/>
      <c r="AB86" s="194" t="str">
        <f>IF(DataColumns[[#This Row],[ColumnType]]="ResultValue",IF(MAX(AB$12:AB85)=0,1,MAX(AB$12:AB85)+1),"")</f>
        <v/>
      </c>
      <c r="AC86" s="138" t="str">
        <f>IF(DataColumns[[#This Row],[ColumnType]]="ResultValue",CONCATENATE(DataColumns[[#This Row],[ColumnType]],DataColumns[[#This Row],[ColumnLabel]]),CONCATENATE(DataColumns[[#This Row],[ColumnType]],DataColumns[[#This Row],[AppliesToColumn]]))</f>
        <v/>
      </c>
    </row>
    <row r="87" spans="1:29" x14ac:dyDescent="0.25">
      <c r="A87" s="58" t="str">
        <f>IF(COUNTA(DataColumns[[#This Row],[ColumnLabel]:[QualityCodeCV]])&gt;0,IF(MAX(A$12:A86)=0,1,MAX(A$12:A86)+1),"")</f>
        <v/>
      </c>
      <c r="B87" s="116"/>
      <c r="C87" s="11"/>
      <c r="D87" s="169"/>
      <c r="E87" s="175"/>
      <c r="F87" s="151"/>
      <c r="G87" s="10"/>
      <c r="H87" s="11"/>
      <c r="I87" s="11"/>
      <c r="J87" s="11"/>
      <c r="K87" s="40"/>
      <c r="L87" s="11"/>
      <c r="M87" s="145"/>
      <c r="N87" s="116"/>
      <c r="O87" s="10"/>
      <c r="P87" s="11"/>
      <c r="Q87" s="11"/>
      <c r="R87" s="22"/>
      <c r="S87" s="22"/>
      <c r="T87" s="11"/>
      <c r="U87" s="11"/>
      <c r="V87" s="11"/>
      <c r="W87" s="11"/>
      <c r="X87" s="22"/>
      <c r="Y87" s="11"/>
      <c r="Z87" s="11"/>
      <c r="AA87" s="11"/>
      <c r="AB87" s="194" t="str">
        <f>IF(DataColumns[[#This Row],[ColumnType]]="ResultValue",IF(MAX(AB$12:AB86)=0,1,MAX(AB$12:AB86)+1),"")</f>
        <v/>
      </c>
      <c r="AC87" s="138" t="str">
        <f>IF(DataColumns[[#This Row],[ColumnType]]="ResultValue",CONCATENATE(DataColumns[[#This Row],[ColumnType]],DataColumns[[#This Row],[ColumnLabel]]),CONCATENATE(DataColumns[[#This Row],[ColumnType]],DataColumns[[#This Row],[AppliesToColumn]]))</f>
        <v/>
      </c>
    </row>
    <row r="88" spans="1:29" x14ac:dyDescent="0.25">
      <c r="A88" s="58" t="str">
        <f>IF(COUNTA(DataColumns[[#This Row],[ColumnLabel]:[QualityCodeCV]])&gt;0,IF(MAX(A$12:A87)=0,1,MAX(A$12:A87)+1),"")</f>
        <v/>
      </c>
      <c r="B88" s="116"/>
      <c r="C88" s="11"/>
      <c r="D88" s="169"/>
      <c r="E88" s="175"/>
      <c r="F88" s="151"/>
      <c r="G88" s="10"/>
      <c r="H88" s="11"/>
      <c r="I88" s="11"/>
      <c r="J88" s="11"/>
      <c r="K88" s="40"/>
      <c r="L88" s="11"/>
      <c r="M88" s="145"/>
      <c r="N88" s="116"/>
      <c r="O88" s="10"/>
      <c r="P88" s="11"/>
      <c r="Q88" s="11"/>
      <c r="R88" s="22"/>
      <c r="S88" s="22"/>
      <c r="T88" s="11"/>
      <c r="U88" s="11"/>
      <c r="V88" s="11"/>
      <c r="W88" s="11"/>
      <c r="X88" s="22"/>
      <c r="Y88" s="11"/>
      <c r="Z88" s="11"/>
      <c r="AA88" s="11"/>
      <c r="AB88" s="194" t="str">
        <f>IF(DataColumns[[#This Row],[ColumnType]]="ResultValue",IF(MAX(AB$12:AB87)=0,1,MAX(AB$12:AB87)+1),"")</f>
        <v/>
      </c>
      <c r="AC88" s="138" t="str">
        <f>IF(DataColumns[[#This Row],[ColumnType]]="ResultValue",CONCATENATE(DataColumns[[#This Row],[ColumnType]],DataColumns[[#This Row],[ColumnLabel]]),CONCATENATE(DataColumns[[#This Row],[ColumnType]],DataColumns[[#This Row],[AppliesToColumn]]))</f>
        <v/>
      </c>
    </row>
    <row r="89" spans="1:29" x14ac:dyDescent="0.25">
      <c r="A89" s="58" t="str">
        <f>IF(COUNTA(DataColumns[[#This Row],[ColumnLabel]:[QualityCodeCV]])&gt;0,IF(MAX(A$12:A88)=0,1,MAX(A$12:A88)+1),"")</f>
        <v/>
      </c>
      <c r="B89" s="116"/>
      <c r="C89" s="11"/>
      <c r="D89" s="169"/>
      <c r="E89" s="175"/>
      <c r="F89" s="151"/>
      <c r="G89" s="10"/>
      <c r="H89" s="11"/>
      <c r="I89" s="11"/>
      <c r="J89" s="11"/>
      <c r="K89" s="40"/>
      <c r="L89" s="11"/>
      <c r="M89" s="145"/>
      <c r="N89" s="116"/>
      <c r="O89" s="10"/>
      <c r="P89" s="11"/>
      <c r="Q89" s="11"/>
      <c r="R89" s="22"/>
      <c r="S89" s="22"/>
      <c r="T89" s="11"/>
      <c r="U89" s="11"/>
      <c r="V89" s="11"/>
      <c r="W89" s="11"/>
      <c r="X89" s="22"/>
      <c r="Y89" s="11"/>
      <c r="Z89" s="11"/>
      <c r="AA89" s="11"/>
      <c r="AB89" s="194" t="str">
        <f>IF(DataColumns[[#This Row],[ColumnType]]="ResultValue",IF(MAX(AB$12:AB88)=0,1,MAX(AB$12:AB88)+1),"")</f>
        <v/>
      </c>
      <c r="AC89" s="138" t="str">
        <f>IF(DataColumns[[#This Row],[ColumnType]]="ResultValue",CONCATENATE(DataColumns[[#This Row],[ColumnType]],DataColumns[[#This Row],[ColumnLabel]]),CONCATENATE(DataColumns[[#This Row],[ColumnType]],DataColumns[[#This Row],[AppliesToColumn]]))</f>
        <v/>
      </c>
    </row>
    <row r="90" spans="1:29" x14ac:dyDescent="0.25">
      <c r="A90" s="58" t="str">
        <f>IF(COUNTA(DataColumns[[#This Row],[ColumnLabel]:[QualityCodeCV]])&gt;0,IF(MAX(A$12:A89)=0,1,MAX(A$12:A89)+1),"")</f>
        <v/>
      </c>
      <c r="B90" s="116"/>
      <c r="C90" s="11"/>
      <c r="D90" s="169"/>
      <c r="E90" s="175"/>
      <c r="F90" s="151"/>
      <c r="G90" s="10"/>
      <c r="H90" s="11"/>
      <c r="I90" s="11"/>
      <c r="J90" s="11"/>
      <c r="K90" s="40"/>
      <c r="L90" s="11"/>
      <c r="M90" s="145"/>
      <c r="N90" s="116"/>
      <c r="O90" s="10"/>
      <c r="P90" s="11"/>
      <c r="Q90" s="11"/>
      <c r="R90" s="22"/>
      <c r="S90" s="22"/>
      <c r="T90" s="11"/>
      <c r="U90" s="11"/>
      <c r="V90" s="11"/>
      <c r="W90" s="11"/>
      <c r="X90" s="22"/>
      <c r="Y90" s="11"/>
      <c r="Z90" s="11"/>
      <c r="AA90" s="11"/>
      <c r="AB90" s="194" t="str">
        <f>IF(DataColumns[[#This Row],[ColumnType]]="ResultValue",IF(MAX(AB$12:AB89)=0,1,MAX(AB$12:AB89)+1),"")</f>
        <v/>
      </c>
      <c r="AC90" s="138" t="str">
        <f>IF(DataColumns[[#This Row],[ColumnType]]="ResultValue",CONCATENATE(DataColumns[[#This Row],[ColumnType]],DataColumns[[#This Row],[ColumnLabel]]),CONCATENATE(DataColumns[[#This Row],[ColumnType]],DataColumns[[#This Row],[AppliesToColumn]]))</f>
        <v/>
      </c>
    </row>
    <row r="91" spans="1:29" x14ac:dyDescent="0.25">
      <c r="A91" s="58" t="str">
        <f>IF(COUNTA(DataColumns[[#This Row],[ColumnLabel]:[QualityCodeCV]])&gt;0,IF(MAX(A$12:A90)=0,1,MAX(A$12:A90)+1),"")</f>
        <v/>
      </c>
      <c r="B91" s="116"/>
      <c r="C91" s="11"/>
      <c r="D91" s="169"/>
      <c r="E91" s="175"/>
      <c r="F91" s="151"/>
      <c r="G91" s="10"/>
      <c r="H91" s="11"/>
      <c r="I91" s="11"/>
      <c r="J91" s="11"/>
      <c r="K91" s="40"/>
      <c r="L91" s="11"/>
      <c r="M91" s="145"/>
      <c r="N91" s="116"/>
      <c r="O91" s="10"/>
      <c r="P91" s="11"/>
      <c r="Q91" s="11"/>
      <c r="R91" s="22"/>
      <c r="S91" s="22"/>
      <c r="T91" s="11"/>
      <c r="U91" s="11"/>
      <c r="V91" s="11"/>
      <c r="W91" s="11"/>
      <c r="X91" s="22"/>
      <c r="Y91" s="11"/>
      <c r="Z91" s="11"/>
      <c r="AA91" s="11"/>
      <c r="AB91" s="194" t="str">
        <f>IF(DataColumns[[#This Row],[ColumnType]]="ResultValue",IF(MAX(AB$12:AB90)=0,1,MAX(AB$12:AB90)+1),"")</f>
        <v/>
      </c>
      <c r="AC91" s="138" t="str">
        <f>IF(DataColumns[[#This Row],[ColumnType]]="ResultValue",CONCATENATE(DataColumns[[#This Row],[ColumnType]],DataColumns[[#This Row],[ColumnLabel]]),CONCATENATE(DataColumns[[#This Row],[ColumnType]],DataColumns[[#This Row],[AppliesToColumn]]))</f>
        <v/>
      </c>
    </row>
    <row r="92" spans="1:29" x14ac:dyDescent="0.25">
      <c r="A92" s="58" t="str">
        <f>IF(COUNTA(DataColumns[[#This Row],[ColumnLabel]:[QualityCodeCV]])&gt;0,IF(MAX(A$12:A91)=0,1,MAX(A$12:A91)+1),"")</f>
        <v/>
      </c>
      <c r="B92" s="116"/>
      <c r="C92" s="11"/>
      <c r="D92" s="169"/>
      <c r="E92" s="175"/>
      <c r="F92" s="151"/>
      <c r="G92" s="10"/>
      <c r="H92" s="11"/>
      <c r="I92" s="11"/>
      <c r="J92" s="11"/>
      <c r="K92" s="40"/>
      <c r="L92" s="11"/>
      <c r="M92" s="145"/>
      <c r="N92" s="116"/>
      <c r="O92" s="10"/>
      <c r="P92" s="11"/>
      <c r="Q92" s="11"/>
      <c r="R92" s="22"/>
      <c r="S92" s="22"/>
      <c r="T92" s="11"/>
      <c r="U92" s="11"/>
      <c r="V92" s="11"/>
      <c r="W92" s="11"/>
      <c r="X92" s="22"/>
      <c r="Y92" s="11"/>
      <c r="Z92" s="11"/>
      <c r="AA92" s="11"/>
      <c r="AB92" s="194" t="str">
        <f>IF(DataColumns[[#This Row],[ColumnType]]="ResultValue",IF(MAX(AB$12:AB91)=0,1,MAX(AB$12:AB91)+1),"")</f>
        <v/>
      </c>
      <c r="AC92" s="138" t="str">
        <f>IF(DataColumns[[#This Row],[ColumnType]]="ResultValue",CONCATENATE(DataColumns[[#This Row],[ColumnType]],DataColumns[[#This Row],[ColumnLabel]]),CONCATENATE(DataColumns[[#This Row],[ColumnType]],DataColumns[[#This Row],[AppliesToColumn]]))</f>
        <v/>
      </c>
    </row>
    <row r="93" spans="1:29" x14ac:dyDescent="0.25">
      <c r="A93" s="58" t="str">
        <f>IF(COUNTA(DataColumns[[#This Row],[ColumnLabel]:[QualityCodeCV]])&gt;0,IF(MAX(A$12:A92)=0,1,MAX(A$12:A92)+1),"")</f>
        <v/>
      </c>
      <c r="B93" s="116"/>
      <c r="C93" s="11"/>
      <c r="D93" s="169"/>
      <c r="E93" s="175"/>
      <c r="F93" s="151"/>
      <c r="G93" s="10"/>
      <c r="H93" s="11"/>
      <c r="I93" s="11"/>
      <c r="J93" s="11"/>
      <c r="K93" s="40"/>
      <c r="L93" s="11"/>
      <c r="M93" s="145"/>
      <c r="N93" s="116"/>
      <c r="O93" s="10"/>
      <c r="P93" s="11"/>
      <c r="Q93" s="11"/>
      <c r="R93" s="22"/>
      <c r="S93" s="22"/>
      <c r="T93" s="11"/>
      <c r="U93" s="11"/>
      <c r="V93" s="11"/>
      <c r="W93" s="11"/>
      <c r="X93" s="22"/>
      <c r="Y93" s="11"/>
      <c r="Z93" s="11"/>
      <c r="AA93" s="11"/>
      <c r="AB93" s="194" t="str">
        <f>IF(DataColumns[[#This Row],[ColumnType]]="ResultValue",IF(MAX(AB$12:AB92)=0,1,MAX(AB$12:AB92)+1),"")</f>
        <v/>
      </c>
      <c r="AC93" s="138" t="str">
        <f>IF(DataColumns[[#This Row],[ColumnType]]="ResultValue",CONCATENATE(DataColumns[[#This Row],[ColumnType]],DataColumns[[#This Row],[ColumnLabel]]),CONCATENATE(DataColumns[[#This Row],[ColumnType]],DataColumns[[#This Row],[AppliesToColumn]]))</f>
        <v/>
      </c>
    </row>
    <row r="94" spans="1:29" x14ac:dyDescent="0.25">
      <c r="A94" s="58" t="str">
        <f>IF(COUNTA(DataColumns[[#This Row],[ColumnLabel]:[QualityCodeCV]])&gt;0,IF(MAX(A$12:A93)=0,1,MAX(A$12:A93)+1),"")</f>
        <v/>
      </c>
      <c r="B94" s="116"/>
      <c r="C94" s="11"/>
      <c r="D94" s="169"/>
      <c r="E94" s="175"/>
      <c r="F94" s="151"/>
      <c r="G94" s="10"/>
      <c r="H94" s="11"/>
      <c r="I94" s="11"/>
      <c r="J94" s="11"/>
      <c r="K94" s="40"/>
      <c r="L94" s="11"/>
      <c r="M94" s="145"/>
      <c r="N94" s="116"/>
      <c r="O94" s="10"/>
      <c r="P94" s="11"/>
      <c r="Q94" s="11"/>
      <c r="R94" s="22"/>
      <c r="S94" s="22"/>
      <c r="T94" s="11"/>
      <c r="U94" s="11"/>
      <c r="V94" s="11"/>
      <c r="W94" s="11"/>
      <c r="X94" s="22"/>
      <c r="Y94" s="11"/>
      <c r="Z94" s="11"/>
      <c r="AA94" s="11"/>
      <c r="AB94" s="194" t="str">
        <f>IF(DataColumns[[#This Row],[ColumnType]]="ResultValue",IF(MAX(AB$12:AB93)=0,1,MAX(AB$12:AB93)+1),"")</f>
        <v/>
      </c>
      <c r="AC94" s="138" t="str">
        <f>IF(DataColumns[[#This Row],[ColumnType]]="ResultValue",CONCATENATE(DataColumns[[#This Row],[ColumnType]],DataColumns[[#This Row],[ColumnLabel]]),CONCATENATE(DataColumns[[#This Row],[ColumnType]],DataColumns[[#This Row],[AppliesToColumn]]))</f>
        <v/>
      </c>
    </row>
    <row r="95" spans="1:29" x14ac:dyDescent="0.25">
      <c r="A95" s="58" t="str">
        <f>IF(COUNTA(DataColumns[[#This Row],[ColumnLabel]:[QualityCodeCV]])&gt;0,IF(MAX(A$12:A94)=0,1,MAX(A$12:A94)+1),"")</f>
        <v/>
      </c>
      <c r="B95" s="116"/>
      <c r="C95" s="11"/>
      <c r="D95" s="169"/>
      <c r="E95" s="175"/>
      <c r="F95" s="151"/>
      <c r="G95" s="10"/>
      <c r="H95" s="11"/>
      <c r="I95" s="11"/>
      <c r="J95" s="11"/>
      <c r="K95" s="40"/>
      <c r="L95" s="11"/>
      <c r="M95" s="145"/>
      <c r="N95" s="116"/>
      <c r="O95" s="10"/>
      <c r="P95" s="11"/>
      <c r="Q95" s="11"/>
      <c r="R95" s="22"/>
      <c r="S95" s="22"/>
      <c r="T95" s="11"/>
      <c r="U95" s="11"/>
      <c r="V95" s="11"/>
      <c r="W95" s="11"/>
      <c r="X95" s="22"/>
      <c r="Y95" s="11"/>
      <c r="Z95" s="11"/>
      <c r="AA95" s="11"/>
      <c r="AB95" s="194" t="str">
        <f>IF(DataColumns[[#This Row],[ColumnType]]="ResultValue",IF(MAX(AB$12:AB94)=0,1,MAX(AB$12:AB94)+1),"")</f>
        <v/>
      </c>
      <c r="AC95" s="138" t="str">
        <f>IF(DataColumns[[#This Row],[ColumnType]]="ResultValue",CONCATENATE(DataColumns[[#This Row],[ColumnType]],DataColumns[[#This Row],[ColumnLabel]]),CONCATENATE(DataColumns[[#This Row],[ColumnType]],DataColumns[[#This Row],[AppliesToColumn]]))</f>
        <v/>
      </c>
    </row>
    <row r="96" spans="1:29" x14ac:dyDescent="0.25">
      <c r="A96" s="58" t="str">
        <f>IF(COUNTA(DataColumns[[#This Row],[ColumnLabel]:[QualityCodeCV]])&gt;0,IF(MAX(A$12:A95)=0,1,MAX(A$12:A95)+1),"")</f>
        <v/>
      </c>
      <c r="B96" s="116"/>
      <c r="C96" s="11"/>
      <c r="D96" s="169"/>
      <c r="E96" s="175"/>
      <c r="F96" s="151"/>
      <c r="G96" s="10"/>
      <c r="H96" s="11"/>
      <c r="I96" s="11"/>
      <c r="J96" s="11"/>
      <c r="K96" s="40"/>
      <c r="L96" s="11"/>
      <c r="M96" s="145"/>
      <c r="N96" s="116"/>
      <c r="O96" s="10"/>
      <c r="P96" s="11"/>
      <c r="Q96" s="11"/>
      <c r="R96" s="22"/>
      <c r="S96" s="22"/>
      <c r="T96" s="11"/>
      <c r="U96" s="11"/>
      <c r="V96" s="11"/>
      <c r="W96" s="11"/>
      <c r="X96" s="22"/>
      <c r="Y96" s="11"/>
      <c r="Z96" s="11"/>
      <c r="AA96" s="11"/>
      <c r="AB96" s="194" t="str">
        <f>IF(DataColumns[[#This Row],[ColumnType]]="ResultValue",IF(MAX(AB$12:AB95)=0,1,MAX(AB$12:AB95)+1),"")</f>
        <v/>
      </c>
      <c r="AC96" s="138" t="str">
        <f>IF(DataColumns[[#This Row],[ColumnType]]="ResultValue",CONCATENATE(DataColumns[[#This Row],[ColumnType]],DataColumns[[#This Row],[ColumnLabel]]),CONCATENATE(DataColumns[[#This Row],[ColumnType]],DataColumns[[#This Row],[AppliesToColumn]]))</f>
        <v/>
      </c>
    </row>
    <row r="97" spans="1:29" x14ac:dyDescent="0.25">
      <c r="A97" s="58" t="str">
        <f>IF(COUNTA(DataColumns[[#This Row],[ColumnLabel]:[QualityCodeCV]])&gt;0,IF(MAX(A$12:A96)=0,1,MAX(A$12:A96)+1),"")</f>
        <v/>
      </c>
      <c r="B97" s="116"/>
      <c r="C97" s="11"/>
      <c r="D97" s="169"/>
      <c r="E97" s="175"/>
      <c r="F97" s="151"/>
      <c r="G97" s="10"/>
      <c r="H97" s="11"/>
      <c r="I97" s="11"/>
      <c r="J97" s="11"/>
      <c r="K97" s="40"/>
      <c r="L97" s="11"/>
      <c r="M97" s="145"/>
      <c r="N97" s="116"/>
      <c r="O97" s="10"/>
      <c r="P97" s="11"/>
      <c r="Q97" s="11"/>
      <c r="R97" s="22"/>
      <c r="S97" s="22"/>
      <c r="T97" s="11"/>
      <c r="U97" s="11"/>
      <c r="V97" s="11"/>
      <c r="W97" s="11"/>
      <c r="X97" s="22"/>
      <c r="Y97" s="11"/>
      <c r="Z97" s="11"/>
      <c r="AA97" s="11"/>
      <c r="AB97" s="194" t="str">
        <f>IF(DataColumns[[#This Row],[ColumnType]]="ResultValue",IF(MAX(AB$12:AB96)=0,1,MAX(AB$12:AB96)+1),"")</f>
        <v/>
      </c>
      <c r="AC97" s="138" t="str">
        <f>IF(DataColumns[[#This Row],[ColumnType]]="ResultValue",CONCATENATE(DataColumns[[#This Row],[ColumnType]],DataColumns[[#This Row],[ColumnLabel]]),CONCATENATE(DataColumns[[#This Row],[ColumnType]],DataColumns[[#This Row],[AppliesToColumn]]))</f>
        <v/>
      </c>
    </row>
    <row r="98" spans="1:29" x14ac:dyDescent="0.25">
      <c r="A98" s="58" t="str">
        <f>IF(COUNTA(DataColumns[[#This Row],[ColumnLabel]:[QualityCodeCV]])&gt;0,IF(MAX(A$12:A97)=0,1,MAX(A$12:A97)+1),"")</f>
        <v/>
      </c>
      <c r="B98" s="116"/>
      <c r="C98" s="11"/>
      <c r="D98" s="169"/>
      <c r="E98" s="175"/>
      <c r="F98" s="151"/>
      <c r="G98" s="10"/>
      <c r="H98" s="11"/>
      <c r="I98" s="11"/>
      <c r="J98" s="11"/>
      <c r="K98" s="40"/>
      <c r="L98" s="11"/>
      <c r="M98" s="145"/>
      <c r="N98" s="116"/>
      <c r="O98" s="10"/>
      <c r="P98" s="11"/>
      <c r="Q98" s="11"/>
      <c r="R98" s="22"/>
      <c r="S98" s="22"/>
      <c r="T98" s="11"/>
      <c r="U98" s="11"/>
      <c r="V98" s="11"/>
      <c r="W98" s="11"/>
      <c r="X98" s="22"/>
      <c r="Y98" s="11"/>
      <c r="Z98" s="11"/>
      <c r="AA98" s="11"/>
      <c r="AB98" s="194" t="str">
        <f>IF(DataColumns[[#This Row],[ColumnType]]="ResultValue",IF(MAX(AB$12:AB97)=0,1,MAX(AB$12:AB97)+1),"")</f>
        <v/>
      </c>
      <c r="AC98" s="138" t="str">
        <f>IF(DataColumns[[#This Row],[ColumnType]]="ResultValue",CONCATENATE(DataColumns[[#This Row],[ColumnType]],DataColumns[[#This Row],[ColumnLabel]]),CONCATENATE(DataColumns[[#This Row],[ColumnType]],DataColumns[[#This Row],[AppliesToColumn]]))</f>
        <v/>
      </c>
    </row>
    <row r="99" spans="1:29" ht="15.75" thickBot="1" x14ac:dyDescent="0.3">
      <c r="A99" s="60" t="str">
        <f>IF(COUNTA(DataColumns[[#This Row],[ColumnLabel]:[QualityCodeCV]])&gt;0,IF(MAX(A$12:A98)=0,1,MAX(A$12:A98)+1),"")</f>
        <v/>
      </c>
      <c r="B99" s="118"/>
      <c r="C99" s="119"/>
      <c r="D99" s="170"/>
      <c r="E99" s="176"/>
      <c r="F99" s="187"/>
      <c r="G99" s="166"/>
      <c r="H99" s="119"/>
      <c r="I99" s="119"/>
      <c r="J99" s="119"/>
      <c r="K99" s="172"/>
      <c r="L99" s="119"/>
      <c r="M99" s="146"/>
      <c r="N99" s="118"/>
      <c r="O99" s="166"/>
      <c r="P99" s="119"/>
      <c r="Q99" s="119"/>
      <c r="R99" s="155"/>
      <c r="S99" s="155"/>
      <c r="T99" s="119"/>
      <c r="U99" s="119"/>
      <c r="V99" s="119"/>
      <c r="W99" s="119"/>
      <c r="X99" s="155"/>
      <c r="Y99" s="119"/>
      <c r="Z99" s="119"/>
      <c r="AA99" s="119"/>
      <c r="AB99" s="195" t="str">
        <f>IF(DataColumns[[#This Row],[ColumnType]]="ResultValue",IF(MAX(AB$12:AB98)=0,1,MAX(AB$12:AB98)+1),"")</f>
        <v/>
      </c>
      <c r="AC99" s="139" t="str">
        <f>IF(DataColumns[[#This Row],[ColumnType]]="ResultValue",CONCATENATE(DataColumns[[#This Row],[ColumnType]],DataColumns[[#This Row],[ColumnLabel]]),CONCATENATE(DataColumns[[#This Row],[ColumnType]],DataColumns[[#This Row],[AppliesToColumn]]))</f>
        <v/>
      </c>
    </row>
  </sheetData>
  <sheetProtection password="CA31" sheet="1" objects="1" scenarios="1"/>
  <dataConsolidate/>
  <mergeCells count="3">
    <mergeCell ref="A10:D10"/>
    <mergeCell ref="E10:M10"/>
    <mergeCell ref="N10:AC10"/>
  </mergeCells>
  <conditionalFormatting sqref="B11:AA11">
    <cfRule type="containsText" dxfId="8" priority="9" operator="containsText" text="REQUIRED">
      <formula>NOT(ISERROR(SEARCH("REQUIRED",B11)))</formula>
    </cfRule>
  </conditionalFormatting>
  <conditionalFormatting sqref="B13:B99">
    <cfRule type="duplicateValues" dxfId="7" priority="5"/>
  </conditionalFormatting>
  <conditionalFormatting sqref="B12:AA12">
    <cfRule type="expression" dxfId="6" priority="24">
      <formula>AND(B$11&lt;&gt;"REQUIRED",B$11&lt;&gt;"OPTIONAL")</formula>
    </cfRule>
  </conditionalFormatting>
  <conditionalFormatting sqref="E13:M99">
    <cfRule type="expression" dxfId="5" priority="3">
      <formula>AND($C13&lt;&gt;"SpecimenCode",E13&lt;&gt;"")</formula>
    </cfRule>
    <cfRule type="expression" dxfId="4" priority="4">
      <formula>$C13&lt;&gt;"SpecimenCode"</formula>
    </cfRule>
  </conditionalFormatting>
  <conditionalFormatting sqref="N13:AA99">
    <cfRule type="expression" dxfId="3" priority="1">
      <formula>AND($C13&lt;&gt;"ResultValue",N13&lt;&gt;"")</formula>
    </cfRule>
    <cfRule type="expression" dxfId="2" priority="2">
      <formula>$C13&lt;&gt;"ResultValue"</formula>
    </cfRule>
  </conditionalFormatting>
  <dataValidations count="16">
    <dataValidation type="list" allowBlank="1" showInputMessage="1" showErrorMessage="1" sqref="T13:T99">
      <formula1>MethodCodes</formula1>
    </dataValidation>
    <dataValidation type="list" allowBlank="1" showInputMessage="1" showErrorMessage="1" sqref="N13:N99">
      <formula1>ResultTypeCV</formula1>
    </dataValidation>
    <dataValidation type="list" allowBlank="1" showInputMessage="1" showErrorMessage="1" sqref="O13:O99">
      <formula1>VariableCodes</formula1>
    </dataValidation>
    <dataValidation type="list" allowBlank="1" showInputMessage="1" showErrorMessage="1" sqref="U13:U99">
      <formula1>ProcessingLevelCodes</formula1>
    </dataValidation>
    <dataValidation type="list" allowBlank="1" showInputMessage="1" showErrorMessage="1" sqref="AA13:AA99">
      <formula1>AggregationStatisticCV</formula1>
    </dataValidation>
    <dataValidation type="list" allowBlank="1" showInputMessage="1" showErrorMessage="1" sqref="V13:V99">
      <formula1>CensorCodeCV</formula1>
    </dataValidation>
    <dataValidation type="list" allowBlank="1" showInputMessage="1" showErrorMessage="1" sqref="W13:W99">
      <formula1>QualityCodeCV</formula1>
    </dataValidation>
    <dataValidation type="list" allowBlank="1" showInputMessage="1" showErrorMessage="1" sqref="R13:S99 H13:I99">
      <formula1>PeopleNames</formula1>
    </dataValidation>
    <dataValidation type="list" allowBlank="1" showInputMessage="1" showErrorMessage="1" sqref="C13:C99">
      <formula1>ColumnTypes</formula1>
    </dataValidation>
    <dataValidation type="list" allowBlank="1" showInputMessage="1" showErrorMessage="1" sqref="E13:E99">
      <formula1>FeatureCodes</formula1>
    </dataValidation>
    <dataValidation type="list" allowBlank="1" showInputMessage="1" showErrorMessage="1" sqref="X13:X99">
      <formula1>TaxClassifiers</formula1>
    </dataValidation>
    <dataValidation type="list" allowBlank="1" showInputMessage="1" showErrorMessage="1" sqref="J13:J99 Q13:Q99">
      <formula1>SampledMediumCV</formula1>
    </dataValidation>
    <dataValidation type="list" allowBlank="1" showInputMessage="1" showErrorMessage="1" sqref="K13:K99">
      <formula1>SpecimenTypeCV</formula1>
    </dataValidation>
    <dataValidation type="list" allowBlank="1" showInputMessage="1" showErrorMessage="1" sqref="L13:M99">
      <formula1>Boolean</formula1>
    </dataValidation>
    <dataValidation type="list" allowBlank="1" showInputMessage="1" showErrorMessage="1" sqref="D13:D99">
      <formula1>ColumnLabels</formula1>
    </dataValidation>
    <dataValidation type="list" allowBlank="1" showInputMessage="1" showErrorMessage="1" sqref="F13:G99">
      <formula1>RelationshipTypeCV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8</xdr:col>
                    <xdr:colOff>209550</xdr:colOff>
                    <xdr:row>2</xdr:row>
                    <xdr:rowOff>38100</xdr:rowOff>
                  </from>
                  <to>
                    <xdr:col>9</xdr:col>
                    <xdr:colOff>1000125</xdr:colOff>
                    <xdr:row>4</xdr:row>
                    <xdr:rowOff>95250</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N278"/>
  <sheetViews>
    <sheetView workbookViewId="0"/>
  </sheetViews>
  <sheetFormatPr defaultColWidth="8.85546875" defaultRowHeight="15" x14ac:dyDescent="0.25"/>
  <cols>
    <col min="1" max="1" width="15.85546875" style="4" bestFit="1" customWidth="1"/>
    <col min="2" max="2" width="10.42578125" style="4" bestFit="1" customWidth="1"/>
    <col min="3" max="3" width="8" style="4" bestFit="1" customWidth="1"/>
    <col min="4" max="4" width="15.42578125" style="4" bestFit="1" customWidth="1"/>
    <col min="5" max="6" width="14.5703125" style="4" bestFit="1" customWidth="1"/>
    <col min="7" max="7" width="21.5703125" style="4" bestFit="1" customWidth="1"/>
    <col min="8" max="8" width="6" style="4" bestFit="1" customWidth="1"/>
    <col min="9" max="9" width="11.85546875" style="4" bestFit="1" customWidth="1"/>
    <col min="10" max="10" width="7" style="4" bestFit="1" customWidth="1"/>
    <col min="11" max="11" width="16.42578125" style="4" bestFit="1" customWidth="1"/>
    <col min="12" max="12" width="22.42578125" style="4" bestFit="1" customWidth="1"/>
    <col min="13" max="13" width="7" style="4" bestFit="1" customWidth="1"/>
    <col min="14" max="14" width="15.85546875" style="4" bestFit="1" customWidth="1"/>
    <col min="15" max="15" width="5.42578125" style="4" bestFit="1" customWidth="1"/>
    <col min="16" max="16384" width="8.85546875" style="4"/>
  </cols>
  <sheetData>
    <row r="1" spans="1:14" x14ac:dyDescent="0.25">
      <c r="A1" s="5"/>
      <c r="B1" s="5"/>
      <c r="C1" s="5"/>
      <c r="D1" s="5"/>
      <c r="E1" s="5"/>
      <c r="F1" s="5"/>
      <c r="G1" s="5"/>
      <c r="H1" s="5"/>
      <c r="I1" s="5"/>
      <c r="J1" s="5"/>
      <c r="K1" s="5"/>
      <c r="L1" s="5"/>
      <c r="M1" s="5"/>
    </row>
    <row r="2" spans="1:14" x14ac:dyDescent="0.25">
      <c r="A2" s="156"/>
      <c r="B2" s="5"/>
      <c r="C2" s="5"/>
      <c r="D2" s="5"/>
      <c r="E2" s="5"/>
      <c r="F2" s="5"/>
      <c r="G2" s="5"/>
      <c r="H2" s="5"/>
      <c r="I2" s="5"/>
      <c r="J2" s="5"/>
      <c r="K2" s="5"/>
      <c r="L2" s="5"/>
      <c r="M2" s="5"/>
      <c r="N2" s="164"/>
    </row>
    <row r="3" spans="1:14" x14ac:dyDescent="0.25">
      <c r="A3" s="156"/>
      <c r="B3" s="5"/>
      <c r="C3" s="5"/>
      <c r="D3" s="5"/>
      <c r="E3" s="5"/>
      <c r="F3" s="5"/>
      <c r="G3" s="5"/>
      <c r="H3" s="5"/>
      <c r="I3" s="5"/>
      <c r="J3" s="5"/>
      <c r="K3" s="5"/>
      <c r="L3" s="5"/>
      <c r="M3" s="5"/>
      <c r="N3" s="164"/>
    </row>
    <row r="4" spans="1:14" x14ac:dyDescent="0.25">
      <c r="A4" s="156"/>
      <c r="B4" s="5"/>
      <c r="C4" s="5"/>
      <c r="D4" s="5"/>
      <c r="E4" s="5"/>
      <c r="F4" s="5"/>
      <c r="G4" s="5"/>
      <c r="H4" s="5"/>
      <c r="I4" s="5"/>
      <c r="J4" s="5"/>
      <c r="K4" s="5"/>
      <c r="L4" s="5"/>
      <c r="M4" s="5"/>
      <c r="N4" s="164"/>
    </row>
    <row r="5" spans="1:14" x14ac:dyDescent="0.25">
      <c r="A5" s="156"/>
      <c r="B5" s="5"/>
      <c r="C5" s="5"/>
      <c r="D5" s="5"/>
      <c r="E5" s="5"/>
      <c r="F5" s="5"/>
      <c r="G5" s="5"/>
      <c r="H5" s="5"/>
      <c r="I5" s="5"/>
      <c r="J5" s="5"/>
      <c r="K5" s="5"/>
      <c r="L5" s="5"/>
      <c r="M5" s="5"/>
      <c r="N5" s="164"/>
    </row>
    <row r="6" spans="1:14" x14ac:dyDescent="0.25">
      <c r="A6" s="156"/>
      <c r="B6" s="5"/>
      <c r="C6" s="5"/>
      <c r="D6" s="5"/>
      <c r="E6" s="5"/>
      <c r="F6" s="5"/>
      <c r="G6" s="5"/>
      <c r="H6" s="5"/>
      <c r="I6" s="5"/>
      <c r="J6" s="5"/>
      <c r="K6" s="5"/>
      <c r="L6" s="5"/>
      <c r="M6" s="5"/>
      <c r="N6" s="164"/>
    </row>
    <row r="7" spans="1:14" x14ac:dyDescent="0.25">
      <c r="A7" s="156"/>
      <c r="B7" s="5"/>
      <c r="C7" s="5"/>
      <c r="D7" s="5"/>
      <c r="E7" s="5"/>
      <c r="F7" s="5"/>
      <c r="G7" s="5"/>
      <c r="H7" s="5"/>
      <c r="I7" s="5"/>
      <c r="J7" s="5"/>
      <c r="K7" s="5"/>
      <c r="L7" s="5"/>
      <c r="M7" s="5"/>
      <c r="N7" s="164"/>
    </row>
    <row r="8" spans="1:14" x14ac:dyDescent="0.25">
      <c r="A8" s="156"/>
      <c r="B8" s="5"/>
      <c r="C8" s="5"/>
      <c r="D8" s="5"/>
      <c r="E8" s="5"/>
      <c r="F8" s="5"/>
      <c r="G8" s="5"/>
      <c r="H8" s="5"/>
      <c r="I8" s="5"/>
      <c r="J8" s="5"/>
      <c r="K8" s="5"/>
      <c r="L8" s="5"/>
      <c r="M8" s="5"/>
      <c r="N8" s="164"/>
    </row>
    <row r="9" spans="1:14" x14ac:dyDescent="0.25">
      <c r="A9" s="156"/>
      <c r="B9" s="5"/>
      <c r="C9" s="5"/>
      <c r="D9" s="5"/>
      <c r="E9" s="5"/>
      <c r="F9" s="5"/>
      <c r="G9" s="5"/>
      <c r="H9" s="5"/>
      <c r="I9" s="5"/>
      <c r="J9" s="5"/>
      <c r="K9" s="5"/>
      <c r="L9" s="5"/>
      <c r="M9" s="5"/>
      <c r="N9" s="164"/>
    </row>
    <row r="10" spans="1:14" x14ac:dyDescent="0.25">
      <c r="A10" s="156"/>
      <c r="B10" s="5"/>
      <c r="C10" s="5"/>
      <c r="D10" s="5"/>
      <c r="E10" s="5"/>
      <c r="F10" s="5"/>
      <c r="G10" s="5"/>
      <c r="H10" s="5"/>
      <c r="I10" s="5"/>
      <c r="J10" s="5"/>
      <c r="K10" s="5"/>
      <c r="L10" s="5"/>
      <c r="M10" s="5"/>
      <c r="N10" s="164"/>
    </row>
    <row r="11" spans="1:14" x14ac:dyDescent="0.25">
      <c r="A11" s="156"/>
      <c r="B11" s="5"/>
      <c r="C11" s="5"/>
      <c r="D11" s="5"/>
      <c r="E11" s="5"/>
      <c r="F11" s="5"/>
      <c r="G11" s="5"/>
      <c r="H11" s="5"/>
      <c r="I11" s="5"/>
      <c r="J11" s="5"/>
      <c r="K11" s="5"/>
      <c r="L11" s="5"/>
      <c r="M11" s="5"/>
      <c r="N11" s="164"/>
    </row>
    <row r="12" spans="1:14" x14ac:dyDescent="0.25">
      <c r="A12" s="156"/>
      <c r="B12" s="5"/>
      <c r="C12" s="5"/>
      <c r="D12" s="5"/>
      <c r="E12" s="5"/>
      <c r="F12" s="5"/>
      <c r="G12" s="5"/>
      <c r="H12" s="5"/>
      <c r="I12" s="5"/>
      <c r="J12" s="5"/>
      <c r="K12" s="5"/>
      <c r="L12" s="5"/>
      <c r="M12" s="5"/>
      <c r="N12" s="164"/>
    </row>
    <row r="13" spans="1:14" x14ac:dyDescent="0.25">
      <c r="A13" s="156"/>
      <c r="B13" s="5"/>
      <c r="C13" s="5"/>
      <c r="D13" s="5"/>
      <c r="E13" s="5"/>
      <c r="F13" s="5"/>
      <c r="G13" s="5"/>
      <c r="H13" s="5"/>
      <c r="I13" s="5"/>
      <c r="J13" s="5"/>
      <c r="K13" s="5"/>
      <c r="L13" s="5"/>
      <c r="M13" s="5"/>
      <c r="N13" s="164"/>
    </row>
    <row r="14" spans="1:14" x14ac:dyDescent="0.25">
      <c r="A14" s="156"/>
      <c r="B14" s="5"/>
      <c r="C14" s="5"/>
      <c r="D14" s="5"/>
      <c r="E14" s="5"/>
      <c r="F14" s="5"/>
      <c r="G14" s="5"/>
      <c r="H14" s="5"/>
      <c r="I14" s="5"/>
      <c r="J14" s="5"/>
      <c r="K14" s="5"/>
      <c r="L14" s="5"/>
      <c r="M14" s="5"/>
      <c r="N14" s="164"/>
    </row>
    <row r="15" spans="1:14" x14ac:dyDescent="0.25">
      <c r="A15" s="156"/>
      <c r="B15" s="5"/>
      <c r="C15" s="5"/>
      <c r="D15" s="5"/>
      <c r="E15" s="5"/>
      <c r="F15" s="5"/>
      <c r="G15" s="5"/>
      <c r="H15" s="5"/>
      <c r="I15" s="5"/>
      <c r="J15" s="5"/>
      <c r="K15" s="5"/>
      <c r="L15" s="5"/>
      <c r="M15" s="5"/>
      <c r="N15" s="164"/>
    </row>
    <row r="16" spans="1:14" x14ac:dyDescent="0.25">
      <c r="A16" s="156"/>
      <c r="B16" s="5"/>
      <c r="C16" s="5"/>
      <c r="D16" s="5"/>
      <c r="E16" s="5"/>
      <c r="F16" s="5"/>
      <c r="G16" s="5"/>
      <c r="H16" s="5"/>
      <c r="I16" s="5"/>
      <c r="J16" s="5"/>
      <c r="K16" s="5"/>
      <c r="L16" s="5"/>
      <c r="M16" s="5"/>
      <c r="N16" s="164"/>
    </row>
    <row r="17" spans="1:14" x14ac:dyDescent="0.25">
      <c r="A17" s="156"/>
      <c r="B17" s="5"/>
      <c r="C17" s="5"/>
      <c r="D17" s="5"/>
      <c r="E17" s="5"/>
      <c r="F17" s="5"/>
      <c r="G17" s="5"/>
      <c r="H17" s="5"/>
      <c r="I17" s="5"/>
      <c r="J17" s="5"/>
      <c r="K17" s="5"/>
      <c r="L17" s="5"/>
      <c r="M17" s="5"/>
      <c r="N17" s="164"/>
    </row>
    <row r="18" spans="1:14" x14ac:dyDescent="0.25">
      <c r="A18" s="156"/>
      <c r="B18" s="5"/>
      <c r="C18" s="5"/>
      <c r="D18" s="5"/>
      <c r="E18" s="5"/>
      <c r="F18" s="5"/>
      <c r="G18" s="5"/>
      <c r="H18" s="5"/>
      <c r="I18" s="5"/>
      <c r="J18" s="5"/>
      <c r="K18" s="5"/>
      <c r="L18" s="5"/>
      <c r="M18" s="5"/>
      <c r="N18" s="164"/>
    </row>
    <row r="19" spans="1:14" x14ac:dyDescent="0.25">
      <c r="A19" s="156"/>
      <c r="B19" s="5"/>
      <c r="C19" s="5"/>
      <c r="D19" s="5"/>
      <c r="E19" s="5"/>
      <c r="F19" s="5"/>
      <c r="G19" s="5"/>
      <c r="H19" s="5"/>
      <c r="I19" s="5"/>
      <c r="J19" s="5"/>
      <c r="K19" s="5"/>
      <c r="L19" s="5"/>
      <c r="M19" s="5"/>
      <c r="N19" s="164"/>
    </row>
    <row r="20" spans="1:14" x14ac:dyDescent="0.25">
      <c r="A20" s="156"/>
      <c r="B20" s="5"/>
      <c r="C20" s="5"/>
      <c r="D20" s="5"/>
      <c r="E20" s="5"/>
      <c r="F20" s="5"/>
      <c r="G20" s="5"/>
      <c r="H20" s="5"/>
      <c r="I20" s="5"/>
      <c r="J20" s="5"/>
      <c r="K20" s="5"/>
      <c r="L20" s="5"/>
      <c r="M20" s="5"/>
      <c r="N20" s="164"/>
    </row>
    <row r="21" spans="1:14" x14ac:dyDescent="0.25">
      <c r="A21" s="156"/>
      <c r="B21" s="5"/>
      <c r="C21" s="5"/>
      <c r="D21" s="5"/>
      <c r="E21" s="5"/>
      <c r="F21" s="5"/>
      <c r="G21" s="5"/>
      <c r="H21" s="5"/>
      <c r="I21" s="5"/>
      <c r="J21" s="5"/>
      <c r="K21" s="5"/>
      <c r="L21" s="5"/>
      <c r="M21" s="5"/>
      <c r="N21" s="164"/>
    </row>
    <row r="22" spans="1:14" x14ac:dyDescent="0.25">
      <c r="A22" s="156"/>
      <c r="B22" s="5"/>
      <c r="C22" s="5"/>
      <c r="D22" s="5"/>
      <c r="E22" s="5"/>
      <c r="F22" s="5"/>
      <c r="G22" s="5"/>
      <c r="H22" s="5"/>
      <c r="I22" s="5"/>
      <c r="J22" s="5"/>
      <c r="K22" s="5"/>
      <c r="L22" s="5"/>
      <c r="M22" s="5"/>
      <c r="N22" s="164"/>
    </row>
    <row r="23" spans="1:14" x14ac:dyDescent="0.25">
      <c r="A23" s="156"/>
      <c r="B23" s="5"/>
      <c r="C23" s="5"/>
      <c r="D23" s="5"/>
      <c r="E23" s="5"/>
      <c r="F23" s="5"/>
      <c r="G23" s="5"/>
      <c r="H23" s="5"/>
      <c r="I23" s="5"/>
      <c r="J23" s="5"/>
      <c r="K23" s="5"/>
      <c r="L23" s="5"/>
      <c r="M23" s="5"/>
      <c r="N23" s="164"/>
    </row>
    <row r="24" spans="1:14" x14ac:dyDescent="0.25">
      <c r="A24" s="156"/>
      <c r="B24" s="5"/>
      <c r="C24" s="5"/>
      <c r="D24" s="5"/>
      <c r="E24" s="5"/>
      <c r="F24" s="5"/>
      <c r="G24" s="5"/>
      <c r="H24" s="5"/>
      <c r="I24" s="5"/>
      <c r="J24" s="5"/>
      <c r="K24" s="5"/>
      <c r="L24" s="5"/>
      <c r="M24" s="5"/>
      <c r="N24" s="164"/>
    </row>
    <row r="25" spans="1:14" x14ac:dyDescent="0.25">
      <c r="A25" s="156"/>
      <c r="B25" s="5"/>
      <c r="C25" s="5"/>
      <c r="D25" s="5"/>
      <c r="E25" s="5"/>
      <c r="F25" s="5"/>
      <c r="G25" s="5"/>
      <c r="H25" s="5"/>
      <c r="I25" s="5"/>
      <c r="J25" s="5"/>
      <c r="K25" s="5"/>
      <c r="L25" s="5"/>
      <c r="M25" s="5"/>
      <c r="N25" s="164"/>
    </row>
    <row r="26" spans="1:14" x14ac:dyDescent="0.25">
      <c r="A26" s="156"/>
      <c r="B26" s="5"/>
      <c r="C26" s="5"/>
      <c r="D26" s="5"/>
      <c r="E26" s="5"/>
      <c r="F26" s="5"/>
      <c r="G26" s="5"/>
      <c r="H26" s="5"/>
      <c r="I26" s="5"/>
      <c r="J26" s="5"/>
      <c r="K26" s="5"/>
      <c r="L26" s="5"/>
      <c r="M26" s="5"/>
      <c r="N26" s="164"/>
    </row>
    <row r="27" spans="1:14" x14ac:dyDescent="0.25">
      <c r="A27" s="156"/>
      <c r="B27" s="5"/>
      <c r="C27" s="5"/>
      <c r="D27" s="5"/>
      <c r="E27" s="5"/>
      <c r="F27" s="5"/>
      <c r="G27" s="5"/>
      <c r="H27" s="5"/>
      <c r="I27" s="5"/>
      <c r="J27" s="5"/>
      <c r="K27" s="5"/>
      <c r="L27" s="5"/>
      <c r="M27" s="5"/>
      <c r="N27" s="164"/>
    </row>
    <row r="28" spans="1:14" x14ac:dyDescent="0.25">
      <c r="A28" s="156"/>
      <c r="B28" s="5"/>
      <c r="C28" s="5"/>
      <c r="D28" s="5"/>
      <c r="E28" s="5"/>
      <c r="F28" s="5"/>
      <c r="G28" s="5"/>
      <c r="H28" s="5"/>
      <c r="I28" s="5"/>
      <c r="J28" s="5"/>
      <c r="K28" s="5"/>
      <c r="L28" s="5"/>
      <c r="M28" s="5"/>
      <c r="N28" s="164"/>
    </row>
    <row r="29" spans="1:14" x14ac:dyDescent="0.25">
      <c r="A29" s="156"/>
      <c r="B29" s="5"/>
      <c r="C29" s="5"/>
      <c r="D29" s="5"/>
      <c r="E29" s="5"/>
      <c r="F29" s="5"/>
      <c r="G29" s="5"/>
      <c r="H29" s="5"/>
      <c r="I29" s="5"/>
      <c r="J29" s="5"/>
      <c r="K29" s="5"/>
      <c r="L29" s="5"/>
      <c r="M29" s="5"/>
      <c r="N29" s="164"/>
    </row>
    <row r="30" spans="1:14" x14ac:dyDescent="0.25">
      <c r="A30" s="156"/>
      <c r="B30" s="5"/>
      <c r="C30" s="5"/>
      <c r="D30" s="5"/>
      <c r="E30" s="5"/>
      <c r="F30" s="5"/>
      <c r="G30" s="5"/>
      <c r="H30" s="5"/>
      <c r="I30" s="5"/>
      <c r="J30" s="5"/>
      <c r="K30" s="5"/>
      <c r="L30" s="5"/>
      <c r="M30" s="5"/>
      <c r="N30" s="164"/>
    </row>
    <row r="31" spans="1:14" x14ac:dyDescent="0.25">
      <c r="A31" s="156"/>
      <c r="B31" s="5"/>
      <c r="C31" s="5"/>
      <c r="D31" s="5"/>
      <c r="E31" s="5"/>
      <c r="F31" s="5"/>
      <c r="G31" s="5"/>
      <c r="H31" s="5"/>
      <c r="I31" s="5"/>
      <c r="J31" s="5"/>
      <c r="K31" s="5"/>
      <c r="L31" s="5"/>
      <c r="M31" s="5"/>
      <c r="N31" s="164"/>
    </row>
    <row r="32" spans="1:14" x14ac:dyDescent="0.25">
      <c r="A32" s="156"/>
      <c r="B32" s="5"/>
      <c r="C32" s="5"/>
      <c r="D32" s="5"/>
      <c r="E32" s="5"/>
      <c r="F32" s="5"/>
      <c r="G32" s="5"/>
      <c r="H32" s="5"/>
      <c r="I32" s="5"/>
      <c r="J32" s="5"/>
      <c r="K32" s="5"/>
      <c r="L32" s="5"/>
      <c r="M32" s="5"/>
      <c r="N32" s="164"/>
    </row>
    <row r="33" spans="1:14" x14ac:dyDescent="0.25">
      <c r="A33" s="156"/>
      <c r="B33" s="5"/>
      <c r="C33" s="5"/>
      <c r="D33" s="5"/>
      <c r="E33" s="5"/>
      <c r="F33" s="5"/>
      <c r="G33" s="5"/>
      <c r="H33" s="5"/>
      <c r="I33" s="5"/>
      <c r="J33" s="5"/>
      <c r="K33" s="5"/>
      <c r="L33" s="5"/>
      <c r="M33" s="5"/>
      <c r="N33" s="164"/>
    </row>
    <row r="34" spans="1:14" x14ac:dyDescent="0.25">
      <c r="A34" s="156"/>
      <c r="B34" s="5"/>
      <c r="C34" s="5"/>
      <c r="D34" s="5"/>
      <c r="E34" s="5"/>
      <c r="F34" s="5"/>
      <c r="G34" s="5"/>
      <c r="H34" s="5"/>
      <c r="I34" s="5"/>
      <c r="J34" s="5"/>
      <c r="K34" s="5"/>
      <c r="L34" s="5"/>
      <c r="M34" s="5"/>
      <c r="N34" s="164"/>
    </row>
    <row r="35" spans="1:14" x14ac:dyDescent="0.25">
      <c r="A35" s="156"/>
      <c r="B35" s="5"/>
      <c r="C35" s="5"/>
      <c r="D35" s="5"/>
      <c r="E35" s="5"/>
      <c r="F35" s="5"/>
      <c r="G35" s="5"/>
      <c r="H35" s="5"/>
      <c r="I35" s="5"/>
      <c r="J35" s="5"/>
      <c r="K35" s="5"/>
      <c r="L35" s="5"/>
      <c r="M35" s="5"/>
      <c r="N35" s="164"/>
    </row>
    <row r="36" spans="1:14" x14ac:dyDescent="0.25">
      <c r="A36" s="156"/>
      <c r="B36" s="5"/>
      <c r="C36" s="5"/>
      <c r="D36" s="5"/>
      <c r="E36" s="5"/>
      <c r="F36" s="5"/>
      <c r="G36" s="5"/>
      <c r="H36" s="5"/>
      <c r="I36" s="5"/>
      <c r="J36" s="5"/>
      <c r="K36" s="5"/>
      <c r="L36" s="5"/>
      <c r="M36" s="5"/>
      <c r="N36" s="164"/>
    </row>
    <row r="37" spans="1:14" x14ac:dyDescent="0.25">
      <c r="A37" s="156"/>
      <c r="B37" s="5"/>
      <c r="C37" s="5"/>
      <c r="D37" s="5"/>
      <c r="E37" s="5"/>
      <c r="F37" s="5"/>
      <c r="G37" s="5"/>
      <c r="H37" s="5"/>
      <c r="I37" s="5"/>
      <c r="J37" s="5"/>
      <c r="K37" s="5"/>
      <c r="L37" s="5"/>
      <c r="M37" s="5"/>
      <c r="N37" s="164"/>
    </row>
    <row r="38" spans="1:14" x14ac:dyDescent="0.25">
      <c r="A38" s="156"/>
      <c r="B38" s="5"/>
      <c r="C38" s="5"/>
      <c r="D38" s="5"/>
      <c r="E38" s="5"/>
      <c r="F38" s="5"/>
      <c r="G38" s="5"/>
      <c r="H38" s="5"/>
      <c r="I38" s="5"/>
      <c r="J38" s="5"/>
      <c r="K38" s="5"/>
      <c r="L38" s="5"/>
      <c r="M38" s="5"/>
      <c r="N38" s="164"/>
    </row>
    <row r="39" spans="1:14" x14ac:dyDescent="0.25">
      <c r="A39" s="156"/>
      <c r="B39" s="5"/>
      <c r="C39" s="5"/>
      <c r="D39" s="5"/>
      <c r="E39" s="5"/>
      <c r="F39" s="5"/>
      <c r="G39" s="5"/>
      <c r="H39" s="5"/>
      <c r="I39" s="5"/>
      <c r="J39" s="5"/>
      <c r="K39" s="5"/>
      <c r="L39" s="5"/>
      <c r="M39" s="5"/>
      <c r="N39" s="164"/>
    </row>
    <row r="40" spans="1:14" x14ac:dyDescent="0.25">
      <c r="A40" s="156"/>
      <c r="B40" s="5"/>
      <c r="C40" s="5"/>
      <c r="D40" s="5"/>
      <c r="E40" s="5"/>
      <c r="F40" s="5"/>
      <c r="G40" s="5"/>
      <c r="H40" s="5"/>
      <c r="I40" s="5"/>
      <c r="J40" s="5"/>
      <c r="K40" s="5"/>
      <c r="L40" s="5"/>
      <c r="M40" s="5"/>
      <c r="N40" s="164"/>
    </row>
    <row r="41" spans="1:14" x14ac:dyDescent="0.25">
      <c r="A41" s="156"/>
      <c r="B41" s="5"/>
      <c r="C41" s="5"/>
      <c r="D41" s="5"/>
      <c r="E41" s="5"/>
      <c r="F41" s="5"/>
      <c r="G41" s="5"/>
      <c r="H41" s="5"/>
      <c r="I41" s="5"/>
      <c r="J41" s="5"/>
      <c r="K41" s="5"/>
      <c r="L41" s="5"/>
      <c r="M41" s="5"/>
      <c r="N41" s="164"/>
    </row>
    <row r="42" spans="1:14" x14ac:dyDescent="0.25">
      <c r="A42" s="156"/>
      <c r="B42" s="5"/>
      <c r="C42" s="5"/>
      <c r="D42" s="5"/>
      <c r="E42" s="5"/>
      <c r="F42" s="5"/>
      <c r="G42" s="5"/>
      <c r="H42" s="5"/>
      <c r="I42" s="5"/>
      <c r="J42" s="5"/>
      <c r="K42" s="5"/>
      <c r="L42" s="5"/>
      <c r="M42" s="5"/>
      <c r="N42" s="164"/>
    </row>
    <row r="43" spans="1:14" x14ac:dyDescent="0.25">
      <c r="A43" s="156"/>
      <c r="B43" s="5"/>
      <c r="C43" s="5"/>
      <c r="D43" s="5"/>
      <c r="E43" s="5"/>
      <c r="F43" s="5"/>
      <c r="G43" s="5"/>
      <c r="H43" s="5"/>
      <c r="I43" s="5"/>
      <c r="J43" s="5"/>
      <c r="K43" s="5"/>
      <c r="L43" s="5"/>
      <c r="M43" s="5"/>
      <c r="N43" s="164"/>
    </row>
    <row r="44" spans="1:14" x14ac:dyDescent="0.25">
      <c r="A44" s="156"/>
      <c r="B44" s="5"/>
      <c r="C44" s="5"/>
      <c r="D44" s="5"/>
      <c r="E44" s="5"/>
      <c r="F44" s="5"/>
      <c r="G44" s="5"/>
      <c r="H44" s="5"/>
      <c r="I44" s="5"/>
      <c r="J44" s="5"/>
      <c r="K44" s="5"/>
      <c r="L44" s="5"/>
      <c r="M44" s="5"/>
      <c r="N44" s="164"/>
    </row>
    <row r="45" spans="1:14" x14ac:dyDescent="0.25">
      <c r="A45" s="156"/>
      <c r="B45" s="5"/>
      <c r="C45" s="5"/>
      <c r="D45" s="5"/>
      <c r="E45" s="5"/>
      <c r="F45" s="5"/>
      <c r="G45" s="5"/>
      <c r="H45" s="5"/>
      <c r="I45" s="5"/>
      <c r="J45" s="5"/>
      <c r="K45" s="5"/>
      <c r="L45" s="5"/>
      <c r="M45" s="5"/>
      <c r="N45" s="164"/>
    </row>
    <row r="46" spans="1:14" x14ac:dyDescent="0.25">
      <c r="A46" s="156"/>
      <c r="B46" s="5"/>
      <c r="C46" s="5"/>
      <c r="D46" s="5"/>
      <c r="E46" s="5"/>
      <c r="F46" s="5"/>
      <c r="G46" s="5"/>
      <c r="H46" s="5"/>
      <c r="I46" s="5"/>
      <c r="J46" s="5"/>
      <c r="K46" s="5"/>
      <c r="L46" s="5"/>
      <c r="M46" s="5"/>
      <c r="N46" s="164"/>
    </row>
    <row r="47" spans="1:14" x14ac:dyDescent="0.25">
      <c r="A47" s="156"/>
      <c r="B47" s="5"/>
      <c r="C47" s="5"/>
      <c r="D47" s="5"/>
      <c r="E47" s="5"/>
      <c r="F47" s="5"/>
      <c r="G47" s="5"/>
      <c r="H47" s="5"/>
      <c r="I47" s="5"/>
      <c r="J47" s="5"/>
      <c r="K47" s="5"/>
      <c r="L47" s="5"/>
      <c r="M47" s="5"/>
      <c r="N47" s="164"/>
    </row>
    <row r="48" spans="1:14" x14ac:dyDescent="0.25">
      <c r="A48" s="156"/>
      <c r="B48" s="5"/>
      <c r="C48" s="5"/>
      <c r="D48" s="5"/>
      <c r="E48" s="5"/>
      <c r="F48" s="5"/>
      <c r="G48" s="5"/>
      <c r="H48" s="5"/>
      <c r="I48" s="5"/>
      <c r="J48" s="5"/>
      <c r="K48" s="5"/>
      <c r="L48" s="5"/>
      <c r="M48" s="5"/>
      <c r="N48" s="164"/>
    </row>
    <row r="49" spans="1:14" x14ac:dyDescent="0.25">
      <c r="A49" s="156"/>
      <c r="B49" s="5"/>
      <c r="C49" s="5"/>
      <c r="D49" s="5"/>
      <c r="E49" s="5"/>
      <c r="F49" s="5"/>
      <c r="G49" s="5"/>
      <c r="H49" s="5"/>
      <c r="I49" s="5"/>
      <c r="J49" s="5"/>
      <c r="K49" s="5"/>
      <c r="L49" s="5"/>
      <c r="M49" s="5"/>
      <c r="N49" s="164"/>
    </row>
    <row r="50" spans="1:14" x14ac:dyDescent="0.25">
      <c r="A50" s="156"/>
      <c r="B50" s="5"/>
      <c r="C50" s="5"/>
      <c r="D50" s="5"/>
      <c r="E50" s="5"/>
      <c r="F50" s="5"/>
      <c r="G50" s="5"/>
      <c r="H50" s="5"/>
      <c r="I50" s="5"/>
      <c r="J50" s="5"/>
      <c r="K50" s="5"/>
      <c r="L50" s="5"/>
      <c r="M50" s="5"/>
      <c r="N50" s="164"/>
    </row>
    <row r="51" spans="1:14" x14ac:dyDescent="0.25">
      <c r="A51" s="156"/>
      <c r="B51" s="5"/>
      <c r="C51" s="5"/>
      <c r="D51" s="5"/>
      <c r="E51" s="5"/>
      <c r="F51" s="5"/>
      <c r="G51" s="5"/>
      <c r="H51" s="5"/>
      <c r="I51" s="5"/>
      <c r="J51" s="5"/>
      <c r="K51" s="5"/>
      <c r="L51" s="5"/>
      <c r="M51" s="5"/>
      <c r="N51" s="164"/>
    </row>
    <row r="52" spans="1:14" x14ac:dyDescent="0.25">
      <c r="A52" s="156"/>
      <c r="B52" s="5"/>
      <c r="C52" s="5"/>
      <c r="D52" s="5"/>
      <c r="E52" s="5"/>
      <c r="F52" s="5"/>
      <c r="G52" s="5"/>
      <c r="H52" s="5"/>
      <c r="I52" s="5"/>
      <c r="J52" s="5"/>
      <c r="K52" s="5"/>
      <c r="L52" s="5"/>
      <c r="M52" s="5"/>
      <c r="N52" s="164"/>
    </row>
    <row r="53" spans="1:14" x14ac:dyDescent="0.25">
      <c r="A53" s="156"/>
      <c r="B53" s="5"/>
      <c r="C53" s="5"/>
      <c r="D53" s="5"/>
      <c r="E53" s="5"/>
      <c r="F53" s="5"/>
      <c r="G53" s="5"/>
      <c r="H53" s="5"/>
      <c r="I53" s="5"/>
      <c r="J53" s="5"/>
      <c r="K53" s="5"/>
      <c r="L53" s="5"/>
      <c r="M53" s="5"/>
      <c r="N53" s="164"/>
    </row>
    <row r="54" spans="1:14" x14ac:dyDescent="0.25">
      <c r="A54" s="156"/>
      <c r="B54" s="5"/>
      <c r="C54" s="5"/>
      <c r="D54" s="5"/>
      <c r="E54" s="5"/>
      <c r="F54" s="5"/>
      <c r="G54" s="5"/>
      <c r="H54" s="5"/>
      <c r="I54" s="5"/>
      <c r="J54" s="5"/>
      <c r="K54" s="5"/>
      <c r="L54" s="5"/>
      <c r="M54" s="5"/>
      <c r="N54" s="164"/>
    </row>
    <row r="55" spans="1:14" x14ac:dyDescent="0.25">
      <c r="A55" s="156"/>
      <c r="B55" s="5"/>
      <c r="C55" s="5"/>
      <c r="D55" s="5"/>
      <c r="E55" s="5"/>
      <c r="F55" s="5"/>
      <c r="G55" s="5"/>
      <c r="H55" s="5"/>
      <c r="I55" s="5"/>
      <c r="J55" s="5"/>
      <c r="K55" s="5"/>
      <c r="L55" s="5"/>
      <c r="M55" s="5"/>
      <c r="N55" s="164"/>
    </row>
    <row r="56" spans="1:14" x14ac:dyDescent="0.25">
      <c r="A56" s="156"/>
      <c r="B56" s="5"/>
      <c r="C56" s="5"/>
      <c r="D56" s="5"/>
      <c r="E56" s="5"/>
      <c r="F56" s="5"/>
      <c r="G56" s="5"/>
      <c r="H56" s="5"/>
      <c r="I56" s="5"/>
      <c r="J56" s="5"/>
      <c r="K56" s="5"/>
      <c r="L56" s="5"/>
      <c r="M56" s="5"/>
      <c r="N56" s="164"/>
    </row>
    <row r="57" spans="1:14" x14ac:dyDescent="0.25">
      <c r="A57" s="156"/>
      <c r="B57" s="5"/>
      <c r="C57" s="5"/>
      <c r="D57" s="5"/>
      <c r="E57" s="5"/>
      <c r="F57" s="5"/>
      <c r="G57" s="5"/>
      <c r="H57" s="5"/>
      <c r="I57" s="5"/>
      <c r="J57" s="5"/>
      <c r="K57" s="5"/>
      <c r="L57" s="5"/>
      <c r="M57" s="5"/>
      <c r="N57" s="164"/>
    </row>
    <row r="58" spans="1:14" x14ac:dyDescent="0.25">
      <c r="A58" s="156"/>
      <c r="B58" s="5"/>
      <c r="C58" s="5"/>
      <c r="D58" s="5"/>
      <c r="E58" s="5"/>
      <c r="F58" s="5"/>
      <c r="G58" s="5"/>
      <c r="H58" s="5"/>
      <c r="I58" s="5"/>
      <c r="J58" s="5"/>
      <c r="K58" s="5"/>
      <c r="L58" s="5"/>
      <c r="M58" s="5"/>
      <c r="N58" s="164"/>
    </row>
    <row r="59" spans="1:14" x14ac:dyDescent="0.25">
      <c r="A59" s="156"/>
      <c r="B59" s="5"/>
      <c r="C59" s="5"/>
      <c r="D59" s="5"/>
      <c r="E59" s="5"/>
      <c r="F59" s="5"/>
      <c r="G59" s="5"/>
      <c r="H59" s="5"/>
      <c r="I59" s="5"/>
      <c r="J59" s="5"/>
      <c r="K59" s="5"/>
      <c r="L59" s="5"/>
      <c r="M59" s="5"/>
      <c r="N59" s="164"/>
    </row>
    <row r="60" spans="1:14" x14ac:dyDescent="0.25">
      <c r="A60" s="156"/>
      <c r="B60" s="5"/>
      <c r="C60" s="5"/>
      <c r="D60" s="5"/>
      <c r="E60" s="5"/>
      <c r="F60" s="5"/>
      <c r="G60" s="5"/>
      <c r="H60" s="5"/>
      <c r="I60" s="5"/>
      <c r="J60" s="5"/>
      <c r="K60" s="5"/>
      <c r="L60" s="5"/>
      <c r="M60" s="5"/>
      <c r="N60" s="164"/>
    </row>
    <row r="61" spans="1:14" x14ac:dyDescent="0.25">
      <c r="A61" s="156"/>
      <c r="B61" s="5"/>
      <c r="C61" s="5"/>
      <c r="D61" s="5"/>
      <c r="E61" s="5"/>
      <c r="F61" s="5"/>
      <c r="G61" s="5"/>
      <c r="H61" s="5"/>
      <c r="I61" s="5"/>
      <c r="J61" s="5"/>
      <c r="K61" s="5"/>
      <c r="L61" s="5"/>
      <c r="M61" s="5"/>
      <c r="N61" s="164"/>
    </row>
    <row r="62" spans="1:14" x14ac:dyDescent="0.25">
      <c r="A62" s="156"/>
      <c r="B62" s="5"/>
      <c r="C62" s="5"/>
      <c r="D62" s="5"/>
      <c r="E62" s="5"/>
      <c r="F62" s="5"/>
      <c r="G62" s="5"/>
      <c r="H62" s="5"/>
      <c r="I62" s="5"/>
      <c r="J62" s="5"/>
      <c r="K62" s="5"/>
      <c r="L62" s="5"/>
      <c r="M62" s="5"/>
      <c r="N62" s="164"/>
    </row>
    <row r="63" spans="1:14" x14ac:dyDescent="0.25">
      <c r="A63" s="156"/>
      <c r="B63" s="5"/>
      <c r="C63" s="5"/>
      <c r="D63" s="5"/>
      <c r="E63" s="5"/>
      <c r="F63" s="5"/>
      <c r="G63" s="5"/>
      <c r="H63" s="5"/>
      <c r="I63" s="5"/>
      <c r="J63" s="5"/>
      <c r="K63" s="5"/>
      <c r="L63" s="5"/>
      <c r="M63" s="5"/>
      <c r="N63" s="164"/>
    </row>
    <row r="64" spans="1:14" x14ac:dyDescent="0.25">
      <c r="A64" s="156"/>
      <c r="B64" s="5"/>
      <c r="C64" s="5"/>
      <c r="D64" s="5"/>
      <c r="E64" s="5"/>
      <c r="F64" s="5"/>
      <c r="G64" s="5"/>
      <c r="H64" s="5"/>
      <c r="I64" s="5"/>
      <c r="J64" s="5"/>
      <c r="K64" s="5"/>
      <c r="L64" s="5"/>
      <c r="M64" s="5"/>
      <c r="N64" s="164"/>
    </row>
    <row r="65" spans="1:14" x14ac:dyDescent="0.25">
      <c r="A65" s="156"/>
      <c r="B65" s="5"/>
      <c r="C65" s="5"/>
      <c r="D65" s="5"/>
      <c r="E65" s="5"/>
      <c r="F65" s="5"/>
      <c r="G65" s="5"/>
      <c r="H65" s="5"/>
      <c r="I65" s="5"/>
      <c r="J65" s="5"/>
      <c r="K65" s="5"/>
      <c r="L65" s="5"/>
      <c r="M65" s="5"/>
      <c r="N65" s="164"/>
    </row>
    <row r="66" spans="1:14" x14ac:dyDescent="0.25">
      <c r="A66" s="156"/>
      <c r="B66" s="5"/>
      <c r="C66" s="5"/>
      <c r="D66" s="5"/>
      <c r="E66" s="5"/>
      <c r="F66" s="5"/>
      <c r="G66" s="5"/>
      <c r="H66" s="5"/>
      <c r="I66" s="5"/>
      <c r="J66" s="5"/>
      <c r="K66" s="5"/>
      <c r="L66" s="5"/>
      <c r="M66" s="5"/>
      <c r="N66" s="164"/>
    </row>
    <row r="67" spans="1:14" x14ac:dyDescent="0.25">
      <c r="A67" s="156"/>
      <c r="B67" s="5"/>
      <c r="C67" s="5"/>
      <c r="D67" s="5"/>
      <c r="E67" s="5"/>
      <c r="F67" s="5"/>
      <c r="G67" s="5"/>
      <c r="H67" s="5"/>
      <c r="I67" s="5"/>
      <c r="J67" s="5"/>
      <c r="K67" s="5"/>
      <c r="L67" s="5"/>
      <c r="M67" s="5"/>
      <c r="N67" s="164"/>
    </row>
    <row r="68" spans="1:14" x14ac:dyDescent="0.25">
      <c r="A68" s="156"/>
      <c r="B68" s="5"/>
      <c r="C68" s="5"/>
      <c r="D68" s="5"/>
      <c r="E68" s="5"/>
      <c r="F68" s="5"/>
      <c r="G68" s="5"/>
      <c r="H68" s="5"/>
      <c r="I68" s="5"/>
      <c r="J68" s="5"/>
      <c r="K68" s="5"/>
      <c r="L68" s="5"/>
      <c r="M68" s="5"/>
      <c r="N68" s="164"/>
    </row>
    <row r="69" spans="1:14" x14ac:dyDescent="0.25">
      <c r="A69" s="156"/>
      <c r="B69" s="5"/>
      <c r="C69" s="5"/>
      <c r="D69" s="5"/>
      <c r="E69" s="5"/>
      <c r="F69" s="5"/>
      <c r="G69" s="5"/>
      <c r="H69" s="5"/>
      <c r="I69" s="5"/>
      <c r="J69" s="5"/>
      <c r="K69" s="5"/>
      <c r="L69" s="5"/>
      <c r="M69" s="5"/>
      <c r="N69" s="164"/>
    </row>
    <row r="70" spans="1:14" x14ac:dyDescent="0.25">
      <c r="A70" s="156"/>
      <c r="B70" s="5"/>
      <c r="C70" s="5"/>
      <c r="D70" s="5"/>
      <c r="E70" s="5"/>
      <c r="F70" s="5"/>
      <c r="G70" s="5"/>
      <c r="H70" s="5"/>
      <c r="I70" s="5"/>
      <c r="J70" s="5"/>
      <c r="K70" s="5"/>
      <c r="L70" s="5"/>
      <c r="M70" s="5"/>
      <c r="N70" s="164"/>
    </row>
    <row r="71" spans="1:14" x14ac:dyDescent="0.25">
      <c r="A71" s="156"/>
      <c r="B71" s="5"/>
      <c r="C71" s="5"/>
      <c r="D71" s="5"/>
      <c r="E71" s="5"/>
      <c r="F71" s="5"/>
      <c r="G71" s="5"/>
      <c r="H71" s="5"/>
      <c r="I71" s="5"/>
      <c r="J71" s="5"/>
      <c r="K71" s="5"/>
      <c r="L71" s="5"/>
      <c r="M71" s="5"/>
      <c r="N71" s="164"/>
    </row>
    <row r="72" spans="1:14" x14ac:dyDescent="0.25">
      <c r="A72" s="156"/>
      <c r="B72" s="5"/>
      <c r="C72" s="5"/>
      <c r="D72" s="5"/>
      <c r="E72" s="5"/>
      <c r="F72" s="5"/>
      <c r="G72" s="5"/>
      <c r="H72" s="5"/>
      <c r="I72" s="5"/>
      <c r="J72" s="5"/>
      <c r="K72" s="5"/>
      <c r="L72" s="5"/>
      <c r="M72" s="5"/>
      <c r="N72" s="164"/>
    </row>
    <row r="73" spans="1:14" x14ac:dyDescent="0.25">
      <c r="A73" s="156"/>
      <c r="B73" s="5"/>
      <c r="C73" s="5"/>
      <c r="D73" s="5"/>
      <c r="E73" s="5"/>
      <c r="F73" s="5"/>
      <c r="G73" s="5"/>
      <c r="H73" s="5"/>
      <c r="I73" s="5"/>
      <c r="J73" s="5"/>
      <c r="K73" s="5"/>
      <c r="L73" s="5"/>
      <c r="M73" s="5"/>
      <c r="N73" s="164"/>
    </row>
    <row r="74" spans="1:14" x14ac:dyDescent="0.25">
      <c r="A74" s="156"/>
      <c r="B74" s="5"/>
      <c r="C74" s="5"/>
      <c r="D74" s="5"/>
      <c r="E74" s="5"/>
      <c r="F74" s="5"/>
      <c r="G74" s="5"/>
      <c r="H74" s="5"/>
      <c r="I74" s="5"/>
      <c r="J74" s="5"/>
      <c r="K74" s="5"/>
      <c r="L74" s="5"/>
      <c r="M74" s="5"/>
      <c r="N74" s="164"/>
    </row>
    <row r="75" spans="1:14" x14ac:dyDescent="0.25">
      <c r="A75" s="156"/>
      <c r="B75" s="5"/>
      <c r="C75" s="5"/>
      <c r="D75" s="5"/>
      <c r="E75" s="5"/>
      <c r="F75" s="5"/>
      <c r="G75" s="5"/>
      <c r="H75" s="5"/>
      <c r="I75" s="5"/>
      <c r="J75" s="5"/>
      <c r="K75" s="5"/>
      <c r="L75" s="5"/>
      <c r="M75" s="5"/>
      <c r="N75" s="164"/>
    </row>
    <row r="76" spans="1:14" x14ac:dyDescent="0.25">
      <c r="A76" s="156"/>
      <c r="B76" s="5"/>
      <c r="C76" s="5"/>
      <c r="D76" s="5"/>
      <c r="E76" s="5"/>
      <c r="F76" s="5"/>
      <c r="G76" s="5"/>
      <c r="H76" s="5"/>
      <c r="I76" s="5"/>
      <c r="J76" s="5"/>
      <c r="K76" s="5"/>
      <c r="L76" s="5"/>
      <c r="M76" s="5"/>
      <c r="N76" s="164"/>
    </row>
    <row r="77" spans="1:14" x14ac:dyDescent="0.25">
      <c r="A77" s="156"/>
      <c r="B77" s="5"/>
      <c r="C77" s="5"/>
      <c r="D77" s="5"/>
      <c r="E77" s="5"/>
      <c r="F77" s="5"/>
      <c r="G77" s="5"/>
      <c r="H77" s="5"/>
      <c r="I77" s="5"/>
      <c r="J77" s="5"/>
      <c r="K77" s="5"/>
      <c r="L77" s="5"/>
      <c r="M77" s="5"/>
      <c r="N77" s="164"/>
    </row>
    <row r="78" spans="1:14" x14ac:dyDescent="0.25">
      <c r="A78" s="156"/>
      <c r="B78" s="5"/>
      <c r="C78" s="5"/>
      <c r="D78" s="5"/>
      <c r="E78" s="5"/>
      <c r="F78" s="5"/>
      <c r="G78" s="5"/>
      <c r="H78" s="5"/>
      <c r="I78" s="5"/>
      <c r="J78" s="5"/>
      <c r="K78" s="5"/>
      <c r="L78" s="5"/>
      <c r="M78" s="5"/>
      <c r="N78" s="164"/>
    </row>
    <row r="79" spans="1:14" x14ac:dyDescent="0.25">
      <c r="A79" s="156"/>
      <c r="B79" s="5"/>
      <c r="C79" s="5"/>
      <c r="D79" s="5"/>
      <c r="E79" s="5"/>
      <c r="F79" s="5"/>
      <c r="G79" s="5"/>
      <c r="H79" s="5"/>
      <c r="I79" s="5"/>
      <c r="J79" s="5"/>
      <c r="K79" s="5"/>
      <c r="L79" s="5"/>
      <c r="M79" s="5"/>
      <c r="N79" s="164"/>
    </row>
    <row r="80" spans="1:14" x14ac:dyDescent="0.25">
      <c r="A80" s="156"/>
      <c r="B80" s="5"/>
      <c r="C80" s="5"/>
      <c r="D80" s="5"/>
      <c r="E80" s="5"/>
      <c r="F80" s="5"/>
      <c r="G80" s="5"/>
      <c r="H80" s="5"/>
      <c r="I80" s="5"/>
      <c r="J80" s="5"/>
      <c r="K80" s="5"/>
      <c r="L80" s="5"/>
      <c r="M80" s="5"/>
      <c r="N80" s="164"/>
    </row>
    <row r="81" spans="1:14" x14ac:dyDescent="0.25">
      <c r="A81" s="156"/>
      <c r="B81" s="5"/>
      <c r="C81" s="5"/>
      <c r="D81" s="5"/>
      <c r="E81" s="5"/>
      <c r="F81" s="5"/>
      <c r="G81" s="5"/>
      <c r="H81" s="5"/>
      <c r="I81" s="5"/>
      <c r="J81" s="5"/>
      <c r="K81" s="5"/>
      <c r="L81" s="5"/>
      <c r="M81" s="5"/>
      <c r="N81" s="164"/>
    </row>
    <row r="82" spans="1:14" x14ac:dyDescent="0.25">
      <c r="A82" s="156"/>
      <c r="B82" s="5"/>
      <c r="C82" s="5"/>
      <c r="D82" s="5"/>
      <c r="E82" s="5"/>
      <c r="F82" s="5"/>
      <c r="G82" s="5"/>
      <c r="H82" s="5"/>
      <c r="I82" s="5"/>
      <c r="J82" s="5"/>
      <c r="K82" s="5"/>
      <c r="L82" s="5"/>
      <c r="M82" s="5"/>
      <c r="N82" s="164"/>
    </row>
    <row r="83" spans="1:14" x14ac:dyDescent="0.25">
      <c r="A83" s="156"/>
      <c r="B83" s="5"/>
      <c r="C83" s="5"/>
      <c r="D83" s="5"/>
      <c r="E83" s="5"/>
      <c r="F83" s="5"/>
      <c r="G83" s="5"/>
      <c r="H83" s="5"/>
      <c r="I83" s="5"/>
      <c r="J83" s="5"/>
      <c r="K83" s="5"/>
      <c r="L83" s="5"/>
      <c r="M83" s="5"/>
      <c r="N83" s="164"/>
    </row>
    <row r="84" spans="1:14" x14ac:dyDescent="0.25">
      <c r="A84" s="156"/>
      <c r="B84" s="5"/>
      <c r="C84" s="5"/>
      <c r="D84" s="5"/>
      <c r="E84" s="5"/>
      <c r="F84" s="5"/>
      <c r="G84" s="5"/>
      <c r="H84" s="5"/>
      <c r="I84" s="5"/>
      <c r="J84" s="5"/>
      <c r="K84" s="5"/>
      <c r="L84" s="5"/>
      <c r="M84" s="5"/>
      <c r="N84" s="164"/>
    </row>
    <row r="85" spans="1:14" x14ac:dyDescent="0.25">
      <c r="A85" s="156"/>
      <c r="B85" s="5"/>
      <c r="C85" s="5"/>
      <c r="D85" s="5"/>
      <c r="E85" s="5"/>
      <c r="F85" s="5"/>
      <c r="G85" s="5"/>
      <c r="H85" s="5"/>
      <c r="I85" s="5"/>
      <c r="J85" s="5"/>
      <c r="K85" s="5"/>
      <c r="L85" s="5"/>
      <c r="M85" s="5"/>
      <c r="N85" s="164"/>
    </row>
    <row r="86" spans="1:14" x14ac:dyDescent="0.25">
      <c r="A86" s="156"/>
      <c r="B86" s="5"/>
      <c r="C86" s="5"/>
      <c r="D86" s="5"/>
      <c r="E86" s="5"/>
      <c r="F86" s="5"/>
      <c r="G86" s="5"/>
      <c r="H86" s="5"/>
      <c r="I86" s="5"/>
      <c r="J86" s="5"/>
      <c r="K86" s="5"/>
      <c r="L86" s="5"/>
      <c r="M86" s="5"/>
      <c r="N86" s="164"/>
    </row>
    <row r="87" spans="1:14" x14ac:dyDescent="0.25">
      <c r="A87" s="156"/>
      <c r="B87" s="5"/>
      <c r="C87" s="5"/>
      <c r="D87" s="5"/>
      <c r="E87" s="5"/>
      <c r="F87" s="5"/>
      <c r="G87" s="5"/>
      <c r="H87" s="5"/>
      <c r="I87" s="5"/>
      <c r="J87" s="5"/>
      <c r="K87" s="5"/>
      <c r="L87" s="5"/>
      <c r="M87" s="5"/>
      <c r="N87" s="164"/>
    </row>
    <row r="88" spans="1:14" x14ac:dyDescent="0.25">
      <c r="A88" s="156"/>
      <c r="B88" s="5"/>
      <c r="C88" s="5"/>
      <c r="D88" s="5"/>
      <c r="E88" s="5"/>
      <c r="F88" s="5"/>
      <c r="G88" s="5"/>
      <c r="H88" s="5"/>
      <c r="I88" s="5"/>
      <c r="J88" s="5"/>
      <c r="K88" s="5"/>
      <c r="L88" s="5"/>
      <c r="M88" s="5"/>
      <c r="N88" s="164"/>
    </row>
    <row r="89" spans="1:14" x14ac:dyDescent="0.25">
      <c r="A89" s="156"/>
      <c r="B89" s="5"/>
      <c r="C89" s="5"/>
      <c r="D89" s="5"/>
      <c r="E89" s="5"/>
      <c r="F89" s="5"/>
      <c r="G89" s="5"/>
      <c r="H89" s="5"/>
      <c r="I89" s="5"/>
      <c r="J89" s="5"/>
      <c r="K89" s="5"/>
      <c r="L89" s="5"/>
      <c r="M89" s="5"/>
      <c r="N89" s="164"/>
    </row>
    <row r="90" spans="1:14" x14ac:dyDescent="0.25">
      <c r="A90" s="156"/>
      <c r="B90" s="5"/>
      <c r="C90" s="5"/>
      <c r="D90" s="5"/>
      <c r="E90" s="5"/>
      <c r="F90" s="5"/>
      <c r="G90" s="5"/>
      <c r="H90" s="5"/>
      <c r="I90" s="5"/>
      <c r="J90" s="5"/>
      <c r="K90" s="5"/>
      <c r="L90" s="5"/>
      <c r="M90" s="5"/>
      <c r="N90" s="164"/>
    </row>
    <row r="91" spans="1:14" x14ac:dyDescent="0.25">
      <c r="A91" s="156"/>
      <c r="B91" s="5"/>
      <c r="C91" s="5"/>
      <c r="D91" s="5"/>
      <c r="E91" s="5"/>
      <c r="F91" s="5"/>
      <c r="G91" s="5"/>
      <c r="H91" s="5"/>
      <c r="I91" s="5"/>
      <c r="J91" s="5"/>
      <c r="K91" s="5"/>
      <c r="L91" s="5"/>
      <c r="M91" s="5"/>
      <c r="N91" s="164"/>
    </row>
    <row r="92" spans="1:14" x14ac:dyDescent="0.25">
      <c r="A92" s="156"/>
      <c r="B92" s="5"/>
      <c r="C92" s="5"/>
      <c r="D92" s="5"/>
      <c r="E92" s="5"/>
      <c r="F92" s="5"/>
      <c r="G92" s="5"/>
      <c r="H92" s="5"/>
      <c r="I92" s="5"/>
      <c r="J92" s="5"/>
      <c r="K92" s="5"/>
      <c r="L92" s="5"/>
      <c r="M92" s="5"/>
      <c r="N92" s="164"/>
    </row>
    <row r="93" spans="1:14" x14ac:dyDescent="0.25">
      <c r="A93" s="156"/>
      <c r="B93" s="5"/>
      <c r="C93" s="5"/>
      <c r="D93" s="5"/>
      <c r="E93" s="5"/>
      <c r="F93" s="5"/>
      <c r="G93" s="5"/>
      <c r="H93" s="5"/>
      <c r="I93" s="5"/>
      <c r="J93" s="5"/>
      <c r="K93" s="5"/>
      <c r="L93" s="5"/>
      <c r="M93" s="5"/>
      <c r="N93" s="164"/>
    </row>
    <row r="94" spans="1:14" x14ac:dyDescent="0.25">
      <c r="A94" s="156"/>
      <c r="B94" s="5"/>
      <c r="C94" s="5"/>
      <c r="D94" s="5"/>
      <c r="E94" s="5"/>
      <c r="F94" s="5"/>
      <c r="G94" s="5"/>
      <c r="H94" s="5"/>
      <c r="I94" s="5"/>
      <c r="J94" s="5"/>
      <c r="K94" s="5"/>
      <c r="L94" s="5"/>
      <c r="M94" s="5"/>
      <c r="N94" s="164"/>
    </row>
    <row r="95" spans="1:14" x14ac:dyDescent="0.25">
      <c r="A95" s="156"/>
      <c r="B95" s="5"/>
      <c r="C95" s="5"/>
      <c r="D95" s="5"/>
      <c r="E95" s="5"/>
      <c r="F95" s="5"/>
      <c r="G95" s="5"/>
      <c r="H95" s="5"/>
      <c r="I95" s="5"/>
      <c r="J95" s="5"/>
      <c r="K95" s="5"/>
      <c r="L95" s="5"/>
      <c r="M95" s="5"/>
      <c r="N95" s="164"/>
    </row>
    <row r="96" spans="1:14" x14ac:dyDescent="0.25">
      <c r="A96" s="156"/>
      <c r="B96" s="5"/>
      <c r="C96" s="5"/>
      <c r="D96" s="5"/>
      <c r="E96" s="5"/>
      <c r="F96" s="5"/>
      <c r="G96" s="5"/>
      <c r="H96" s="5"/>
      <c r="I96" s="5"/>
      <c r="J96" s="5"/>
      <c r="K96" s="5"/>
      <c r="L96" s="5"/>
      <c r="M96" s="5"/>
      <c r="N96" s="164"/>
    </row>
    <row r="97" spans="1:14" x14ac:dyDescent="0.25">
      <c r="A97" s="156"/>
      <c r="B97" s="5"/>
      <c r="C97" s="5"/>
      <c r="D97" s="5"/>
      <c r="E97" s="5"/>
      <c r="F97" s="5"/>
      <c r="G97" s="5"/>
      <c r="H97" s="5"/>
      <c r="I97" s="5"/>
      <c r="J97" s="5"/>
      <c r="K97" s="5"/>
      <c r="L97" s="5"/>
      <c r="M97" s="5"/>
      <c r="N97" s="164"/>
    </row>
    <row r="98" spans="1:14" x14ac:dyDescent="0.25">
      <c r="A98" s="156"/>
      <c r="B98" s="5"/>
      <c r="C98" s="5"/>
      <c r="D98" s="5"/>
      <c r="E98" s="5"/>
      <c r="F98" s="5"/>
      <c r="G98" s="5"/>
      <c r="H98" s="5"/>
      <c r="I98" s="5"/>
      <c r="J98" s="5"/>
      <c r="K98" s="5"/>
      <c r="L98" s="5"/>
      <c r="M98" s="5"/>
      <c r="N98" s="164"/>
    </row>
    <row r="99" spans="1:14" x14ac:dyDescent="0.25">
      <c r="A99" s="156"/>
      <c r="B99" s="5"/>
      <c r="C99" s="5"/>
      <c r="D99" s="5"/>
      <c r="E99" s="5"/>
      <c r="F99" s="5"/>
      <c r="G99" s="5"/>
      <c r="H99" s="5"/>
      <c r="I99" s="5"/>
      <c r="J99" s="5"/>
      <c r="K99" s="5"/>
      <c r="L99" s="5"/>
      <c r="M99" s="5"/>
      <c r="N99" s="164"/>
    </row>
    <row r="100" spans="1:14" x14ac:dyDescent="0.25">
      <c r="A100" s="156"/>
      <c r="B100" s="5"/>
      <c r="C100" s="5"/>
      <c r="D100" s="5"/>
      <c r="E100" s="5"/>
      <c r="F100" s="5"/>
      <c r="G100" s="5"/>
      <c r="H100" s="5"/>
      <c r="I100" s="5"/>
      <c r="J100" s="5"/>
      <c r="K100" s="5"/>
      <c r="L100" s="5"/>
      <c r="M100" s="5"/>
      <c r="N100" s="164"/>
    </row>
    <row r="101" spans="1:14" x14ac:dyDescent="0.25">
      <c r="A101" s="156"/>
      <c r="B101" s="5"/>
      <c r="C101" s="5"/>
      <c r="D101" s="5"/>
      <c r="E101" s="5"/>
      <c r="F101" s="5"/>
      <c r="G101" s="5"/>
      <c r="H101" s="5"/>
      <c r="I101" s="5"/>
      <c r="J101" s="5"/>
      <c r="K101" s="5"/>
      <c r="L101" s="5"/>
      <c r="M101" s="5"/>
      <c r="N101" s="164"/>
    </row>
    <row r="102" spans="1:14" x14ac:dyDescent="0.25">
      <c r="A102" s="156"/>
      <c r="B102" s="5"/>
      <c r="C102" s="5"/>
      <c r="D102" s="5"/>
      <c r="E102" s="5"/>
      <c r="F102" s="5"/>
      <c r="G102" s="5"/>
      <c r="H102" s="5"/>
      <c r="I102" s="5"/>
      <c r="J102" s="5"/>
      <c r="K102" s="5"/>
      <c r="L102" s="5"/>
      <c r="M102" s="5"/>
      <c r="N102" s="164"/>
    </row>
    <row r="103" spans="1:14" x14ac:dyDescent="0.25">
      <c r="A103" s="156"/>
      <c r="B103" s="5"/>
      <c r="C103" s="5"/>
      <c r="D103" s="5"/>
      <c r="E103" s="5"/>
      <c r="F103" s="5"/>
      <c r="G103" s="5"/>
      <c r="H103" s="5"/>
      <c r="I103" s="5"/>
      <c r="J103" s="5"/>
      <c r="K103" s="5"/>
      <c r="L103" s="5"/>
      <c r="M103" s="5"/>
      <c r="N103" s="164"/>
    </row>
    <row r="104" spans="1:14" x14ac:dyDescent="0.25">
      <c r="A104" s="156"/>
      <c r="B104" s="5"/>
      <c r="C104" s="5"/>
      <c r="D104" s="5"/>
      <c r="E104" s="5"/>
      <c r="F104" s="5"/>
      <c r="G104" s="5"/>
      <c r="H104" s="5"/>
      <c r="I104" s="5"/>
      <c r="J104" s="5"/>
      <c r="K104" s="5"/>
      <c r="L104" s="5"/>
      <c r="M104" s="5"/>
      <c r="N104" s="164"/>
    </row>
    <row r="105" spans="1:14" x14ac:dyDescent="0.25">
      <c r="A105" s="156"/>
      <c r="B105" s="5"/>
      <c r="C105" s="5"/>
      <c r="D105" s="5"/>
      <c r="E105" s="5"/>
      <c r="F105" s="5"/>
      <c r="G105" s="5"/>
      <c r="H105" s="5"/>
      <c r="I105" s="5"/>
      <c r="J105" s="5"/>
      <c r="K105" s="5"/>
      <c r="L105" s="5"/>
      <c r="M105" s="5"/>
      <c r="N105" s="164"/>
    </row>
    <row r="106" spans="1:14" x14ac:dyDescent="0.25">
      <c r="A106" s="156"/>
      <c r="B106" s="5"/>
      <c r="C106" s="5"/>
      <c r="D106" s="5"/>
      <c r="E106" s="5"/>
      <c r="F106" s="5"/>
      <c r="G106" s="5"/>
      <c r="H106" s="5"/>
      <c r="I106" s="5"/>
      <c r="J106" s="5"/>
      <c r="K106" s="5"/>
      <c r="L106" s="5"/>
      <c r="M106" s="5"/>
      <c r="N106" s="164"/>
    </row>
    <row r="107" spans="1:14" x14ac:dyDescent="0.25">
      <c r="A107" s="156"/>
      <c r="B107" s="5"/>
      <c r="C107" s="5"/>
      <c r="D107" s="5"/>
      <c r="E107" s="5"/>
      <c r="F107" s="5"/>
      <c r="G107" s="5"/>
      <c r="H107" s="5"/>
      <c r="I107" s="5"/>
      <c r="J107" s="5"/>
      <c r="K107" s="5"/>
      <c r="L107" s="5"/>
      <c r="M107" s="5"/>
      <c r="N107" s="164"/>
    </row>
    <row r="108" spans="1:14" x14ac:dyDescent="0.25">
      <c r="A108" s="156"/>
      <c r="B108" s="5"/>
      <c r="C108" s="5"/>
      <c r="D108" s="5"/>
      <c r="E108" s="5"/>
      <c r="F108" s="5"/>
      <c r="G108" s="5"/>
      <c r="H108" s="5"/>
      <c r="I108" s="5"/>
      <c r="J108" s="5"/>
      <c r="K108" s="5"/>
      <c r="L108" s="5"/>
      <c r="M108" s="5"/>
      <c r="N108" s="164"/>
    </row>
    <row r="109" spans="1:14" x14ac:dyDescent="0.25">
      <c r="A109" s="156"/>
      <c r="B109" s="5"/>
      <c r="C109" s="5"/>
      <c r="D109" s="5"/>
      <c r="E109" s="5"/>
      <c r="F109" s="5"/>
      <c r="G109" s="5"/>
      <c r="H109" s="5"/>
      <c r="I109" s="5"/>
      <c r="J109" s="5"/>
      <c r="K109" s="5"/>
      <c r="L109" s="5"/>
      <c r="M109" s="5"/>
      <c r="N109" s="164"/>
    </row>
    <row r="110" spans="1:14" x14ac:dyDescent="0.25">
      <c r="A110" s="156"/>
      <c r="B110" s="5"/>
      <c r="C110" s="5"/>
      <c r="D110" s="5"/>
      <c r="E110" s="5"/>
      <c r="F110" s="5"/>
      <c r="G110" s="5"/>
      <c r="H110" s="5"/>
      <c r="I110" s="5"/>
      <c r="J110" s="5"/>
      <c r="K110" s="5"/>
      <c r="L110" s="5"/>
      <c r="M110" s="5"/>
      <c r="N110" s="164"/>
    </row>
    <row r="111" spans="1:14" x14ac:dyDescent="0.25">
      <c r="A111" s="156"/>
      <c r="B111" s="5"/>
      <c r="C111" s="5"/>
      <c r="D111" s="5"/>
      <c r="E111" s="5"/>
      <c r="F111" s="5"/>
      <c r="G111" s="5"/>
      <c r="H111" s="5"/>
      <c r="I111" s="5"/>
      <c r="J111" s="5"/>
      <c r="K111" s="5"/>
      <c r="L111" s="5"/>
      <c r="M111" s="5"/>
      <c r="N111" s="164"/>
    </row>
    <row r="112" spans="1:14" x14ac:dyDescent="0.25">
      <c r="A112" s="156"/>
      <c r="B112" s="5"/>
      <c r="C112" s="5"/>
      <c r="D112" s="5"/>
      <c r="E112" s="5"/>
      <c r="F112" s="5"/>
      <c r="G112" s="5"/>
      <c r="H112" s="5"/>
      <c r="I112" s="5"/>
      <c r="J112" s="5"/>
      <c r="K112" s="5"/>
      <c r="L112" s="5"/>
      <c r="M112" s="5"/>
      <c r="N112" s="164"/>
    </row>
    <row r="113" spans="1:14" x14ac:dyDescent="0.25">
      <c r="A113" s="156"/>
      <c r="B113" s="5"/>
      <c r="C113" s="5"/>
      <c r="D113" s="5"/>
      <c r="E113" s="5"/>
      <c r="F113" s="5"/>
      <c r="G113" s="5"/>
      <c r="H113" s="5"/>
      <c r="I113" s="5"/>
      <c r="J113" s="5"/>
      <c r="K113" s="5"/>
      <c r="L113" s="5"/>
      <c r="M113" s="5"/>
      <c r="N113" s="164"/>
    </row>
    <row r="114" spans="1:14" x14ac:dyDescent="0.25">
      <c r="A114" s="156"/>
      <c r="B114" s="5"/>
      <c r="C114" s="5"/>
      <c r="D114" s="5"/>
      <c r="E114" s="5"/>
      <c r="F114" s="5"/>
      <c r="G114" s="5"/>
      <c r="H114" s="5"/>
      <c r="I114" s="5"/>
      <c r="J114" s="5"/>
      <c r="K114" s="5"/>
      <c r="L114" s="5"/>
      <c r="M114" s="5"/>
      <c r="N114" s="164"/>
    </row>
    <row r="115" spans="1:14" x14ac:dyDescent="0.25">
      <c r="A115" s="156"/>
      <c r="B115" s="5"/>
      <c r="C115" s="5"/>
      <c r="D115" s="5"/>
      <c r="E115" s="5"/>
      <c r="F115" s="5"/>
      <c r="G115" s="5"/>
      <c r="H115" s="5"/>
      <c r="I115" s="5"/>
      <c r="J115" s="5"/>
      <c r="K115" s="5"/>
      <c r="L115" s="5"/>
      <c r="M115" s="5"/>
      <c r="N115" s="164"/>
    </row>
    <row r="116" spans="1:14" x14ac:dyDescent="0.25">
      <c r="A116" s="156"/>
      <c r="B116" s="5"/>
      <c r="C116" s="5"/>
      <c r="D116" s="5"/>
      <c r="E116" s="5"/>
      <c r="F116" s="5"/>
      <c r="G116" s="5"/>
      <c r="H116" s="5"/>
      <c r="I116" s="5"/>
      <c r="J116" s="5"/>
      <c r="K116" s="5"/>
      <c r="L116" s="5"/>
      <c r="M116" s="5"/>
      <c r="N116" s="164"/>
    </row>
    <row r="117" spans="1:14" x14ac:dyDescent="0.25">
      <c r="A117" s="156"/>
      <c r="B117" s="5"/>
      <c r="C117" s="5"/>
      <c r="D117" s="5"/>
      <c r="E117" s="5"/>
      <c r="F117" s="5"/>
      <c r="G117" s="5"/>
      <c r="H117" s="5"/>
      <c r="I117" s="5"/>
      <c r="J117" s="5"/>
      <c r="K117" s="5"/>
      <c r="L117" s="5"/>
      <c r="M117" s="5"/>
      <c r="N117" s="164"/>
    </row>
    <row r="118" spans="1:14" x14ac:dyDescent="0.25">
      <c r="A118" s="156"/>
      <c r="B118" s="5"/>
      <c r="C118" s="5"/>
      <c r="D118" s="5"/>
      <c r="E118" s="5"/>
      <c r="F118" s="5"/>
      <c r="G118" s="5"/>
      <c r="H118" s="5"/>
      <c r="I118" s="5"/>
      <c r="J118" s="5"/>
      <c r="K118" s="5"/>
      <c r="L118" s="5"/>
      <c r="M118" s="5"/>
      <c r="N118" s="164"/>
    </row>
    <row r="119" spans="1:14" x14ac:dyDescent="0.25">
      <c r="A119" s="156"/>
      <c r="B119" s="5"/>
      <c r="C119" s="5"/>
      <c r="D119" s="5"/>
      <c r="E119" s="5"/>
      <c r="F119" s="5"/>
      <c r="G119" s="5"/>
      <c r="H119" s="5"/>
      <c r="I119" s="5"/>
      <c r="J119" s="5"/>
      <c r="K119" s="5"/>
      <c r="L119" s="5"/>
      <c r="M119" s="5"/>
      <c r="N119" s="164"/>
    </row>
    <row r="120" spans="1:14" x14ac:dyDescent="0.25">
      <c r="A120" s="156"/>
      <c r="B120" s="5"/>
      <c r="C120" s="5"/>
      <c r="D120" s="5"/>
      <c r="E120" s="5"/>
      <c r="F120" s="5"/>
      <c r="G120" s="5"/>
      <c r="H120" s="5"/>
      <c r="I120" s="5"/>
      <c r="J120" s="5"/>
      <c r="K120" s="5"/>
      <c r="L120" s="5"/>
      <c r="M120" s="5"/>
      <c r="N120" s="164"/>
    </row>
    <row r="121" spans="1:14" x14ac:dyDescent="0.25">
      <c r="A121" s="156"/>
      <c r="B121" s="5"/>
      <c r="C121" s="5"/>
      <c r="D121" s="5"/>
      <c r="E121" s="5"/>
      <c r="F121" s="5"/>
      <c r="G121" s="5"/>
      <c r="H121" s="5"/>
      <c r="I121" s="5"/>
      <c r="J121" s="5"/>
      <c r="K121" s="5"/>
      <c r="L121" s="5"/>
      <c r="M121" s="5"/>
      <c r="N121" s="164"/>
    </row>
    <row r="122" spans="1:14" x14ac:dyDescent="0.25">
      <c r="A122" s="156"/>
      <c r="B122" s="5"/>
      <c r="C122" s="5"/>
      <c r="D122" s="5"/>
      <c r="E122" s="5"/>
      <c r="F122" s="5"/>
      <c r="G122" s="5"/>
      <c r="H122" s="5"/>
      <c r="I122" s="5"/>
      <c r="J122" s="5"/>
      <c r="K122" s="5"/>
      <c r="L122" s="5"/>
      <c r="M122" s="5"/>
      <c r="N122" s="164"/>
    </row>
    <row r="123" spans="1:14" x14ac:dyDescent="0.25">
      <c r="A123" s="156"/>
      <c r="B123" s="5"/>
      <c r="C123" s="5"/>
      <c r="D123" s="5"/>
      <c r="E123" s="5"/>
      <c r="F123" s="5"/>
      <c r="G123" s="5"/>
      <c r="H123" s="5"/>
      <c r="I123" s="5"/>
      <c r="J123" s="5"/>
      <c r="K123" s="5"/>
      <c r="L123" s="5"/>
      <c r="M123" s="5"/>
      <c r="N123" s="164"/>
    </row>
    <row r="124" spans="1:14" x14ac:dyDescent="0.25">
      <c r="A124" s="156"/>
      <c r="B124" s="5"/>
      <c r="C124" s="5"/>
      <c r="D124" s="5"/>
      <c r="E124" s="5"/>
      <c r="F124" s="5"/>
      <c r="G124" s="5"/>
      <c r="H124" s="5"/>
      <c r="I124" s="5"/>
      <c r="J124" s="5"/>
      <c r="K124" s="5"/>
      <c r="L124" s="5"/>
      <c r="M124" s="5"/>
      <c r="N124" s="164"/>
    </row>
    <row r="125" spans="1:14" x14ac:dyDescent="0.25">
      <c r="A125" s="156"/>
      <c r="B125" s="5"/>
      <c r="C125" s="5"/>
      <c r="D125" s="5"/>
      <c r="E125" s="5"/>
      <c r="F125" s="5"/>
      <c r="G125" s="5"/>
      <c r="H125" s="5"/>
      <c r="I125" s="5"/>
      <c r="J125" s="5"/>
      <c r="K125" s="5"/>
      <c r="L125" s="5"/>
      <c r="M125" s="5"/>
      <c r="N125" s="164"/>
    </row>
    <row r="126" spans="1:14" x14ac:dyDescent="0.25">
      <c r="A126" s="156"/>
      <c r="B126" s="5"/>
      <c r="C126" s="5"/>
      <c r="D126" s="5"/>
      <c r="E126" s="5"/>
      <c r="F126" s="5"/>
      <c r="G126" s="5"/>
      <c r="H126" s="5"/>
      <c r="I126" s="5"/>
      <c r="J126" s="5"/>
      <c r="K126" s="5"/>
      <c r="L126" s="5"/>
      <c r="M126" s="5"/>
      <c r="N126" s="164"/>
    </row>
    <row r="127" spans="1:14" x14ac:dyDescent="0.25">
      <c r="A127" s="156"/>
      <c r="B127" s="5"/>
      <c r="C127" s="5"/>
      <c r="D127" s="5"/>
      <c r="E127" s="5"/>
      <c r="F127" s="5"/>
      <c r="G127" s="5"/>
      <c r="H127" s="5"/>
      <c r="I127" s="5"/>
      <c r="J127" s="5"/>
      <c r="K127" s="5"/>
      <c r="L127" s="5"/>
      <c r="M127" s="5"/>
      <c r="N127" s="164"/>
    </row>
    <row r="128" spans="1:14" x14ac:dyDescent="0.25">
      <c r="A128" s="156"/>
      <c r="B128" s="5"/>
      <c r="C128" s="5"/>
      <c r="D128" s="5"/>
      <c r="E128" s="5"/>
      <c r="F128" s="5"/>
      <c r="G128" s="5"/>
      <c r="H128" s="5"/>
      <c r="I128" s="5"/>
      <c r="J128" s="5"/>
      <c r="K128" s="5"/>
      <c r="L128" s="5"/>
      <c r="M128" s="5"/>
      <c r="N128" s="164"/>
    </row>
    <row r="129" spans="1:14" x14ac:dyDescent="0.25">
      <c r="A129" s="156"/>
      <c r="B129" s="5"/>
      <c r="C129" s="5"/>
      <c r="D129" s="5"/>
      <c r="E129" s="5"/>
      <c r="F129" s="5"/>
      <c r="G129" s="5"/>
      <c r="H129" s="5"/>
      <c r="I129" s="5"/>
      <c r="J129" s="5"/>
      <c r="K129" s="5"/>
      <c r="L129" s="5"/>
      <c r="M129" s="5"/>
      <c r="N129" s="164"/>
    </row>
    <row r="130" spans="1:14" x14ac:dyDescent="0.25">
      <c r="A130" s="156"/>
      <c r="B130" s="5"/>
      <c r="C130" s="5"/>
      <c r="D130" s="5"/>
      <c r="E130" s="5"/>
      <c r="F130" s="5"/>
      <c r="G130" s="5"/>
      <c r="H130" s="5"/>
      <c r="I130" s="5"/>
      <c r="J130" s="5"/>
      <c r="K130" s="5"/>
      <c r="L130" s="5"/>
      <c r="M130" s="5"/>
      <c r="N130" s="164"/>
    </row>
    <row r="131" spans="1:14" x14ac:dyDescent="0.25">
      <c r="A131" s="156"/>
      <c r="B131" s="5"/>
      <c r="C131" s="5"/>
      <c r="D131" s="5"/>
      <c r="E131" s="5"/>
      <c r="F131" s="5"/>
      <c r="G131" s="5"/>
      <c r="H131" s="5"/>
      <c r="I131" s="5"/>
      <c r="J131" s="5"/>
      <c r="K131" s="5"/>
      <c r="L131" s="5"/>
      <c r="M131" s="5"/>
      <c r="N131" s="164"/>
    </row>
    <row r="132" spans="1:14" x14ac:dyDescent="0.25">
      <c r="A132" s="156"/>
      <c r="B132" s="5"/>
      <c r="C132" s="5"/>
      <c r="D132" s="5"/>
      <c r="E132" s="5"/>
      <c r="F132" s="5"/>
      <c r="G132" s="5"/>
      <c r="H132" s="5"/>
      <c r="I132" s="5"/>
      <c r="J132" s="5"/>
      <c r="K132" s="5"/>
      <c r="L132" s="5"/>
      <c r="M132" s="5"/>
      <c r="N132" s="164"/>
    </row>
    <row r="133" spans="1:14" x14ac:dyDescent="0.25">
      <c r="A133" s="156"/>
      <c r="B133" s="5"/>
      <c r="C133" s="5"/>
      <c r="D133" s="5"/>
      <c r="E133" s="5"/>
      <c r="F133" s="5"/>
      <c r="G133" s="5"/>
      <c r="H133" s="5"/>
      <c r="I133" s="5"/>
      <c r="J133" s="5"/>
      <c r="K133" s="5"/>
      <c r="L133" s="5"/>
      <c r="M133" s="5"/>
      <c r="N133" s="164"/>
    </row>
    <row r="134" spans="1:14" x14ac:dyDescent="0.25">
      <c r="A134" s="156"/>
      <c r="B134" s="5"/>
      <c r="C134" s="5"/>
      <c r="D134" s="5"/>
      <c r="E134" s="5"/>
      <c r="F134" s="5"/>
      <c r="G134" s="5"/>
      <c r="H134" s="5"/>
      <c r="I134" s="5"/>
      <c r="J134" s="5"/>
      <c r="K134" s="5"/>
      <c r="L134" s="5"/>
      <c r="M134" s="5"/>
      <c r="N134" s="164"/>
    </row>
    <row r="135" spans="1:14" x14ac:dyDescent="0.25">
      <c r="A135" s="156"/>
      <c r="B135" s="5"/>
      <c r="C135" s="5"/>
      <c r="D135" s="5"/>
      <c r="E135" s="5"/>
      <c r="F135" s="5"/>
      <c r="G135" s="5"/>
      <c r="H135" s="5"/>
      <c r="I135" s="5"/>
      <c r="J135" s="5"/>
      <c r="K135" s="5"/>
      <c r="L135" s="5"/>
      <c r="M135" s="5"/>
      <c r="N135" s="164"/>
    </row>
    <row r="136" spans="1:14" x14ac:dyDescent="0.25">
      <c r="A136" s="156"/>
      <c r="B136" s="5"/>
      <c r="C136" s="5"/>
      <c r="D136" s="5"/>
      <c r="E136" s="5"/>
      <c r="F136" s="5"/>
      <c r="G136" s="5"/>
      <c r="H136" s="5"/>
      <c r="I136" s="5"/>
      <c r="J136" s="5"/>
      <c r="K136" s="5"/>
      <c r="L136" s="5"/>
      <c r="M136" s="5"/>
      <c r="N136" s="164"/>
    </row>
    <row r="137" spans="1:14" x14ac:dyDescent="0.25">
      <c r="A137" s="156"/>
      <c r="B137" s="5"/>
      <c r="C137" s="5"/>
      <c r="D137" s="5"/>
      <c r="E137" s="5"/>
      <c r="F137" s="5"/>
      <c r="G137" s="5"/>
      <c r="H137" s="5"/>
      <c r="I137" s="5"/>
      <c r="J137" s="5"/>
      <c r="K137" s="5"/>
      <c r="L137" s="5"/>
      <c r="M137" s="5"/>
      <c r="N137" s="164"/>
    </row>
    <row r="138" spans="1:14" x14ac:dyDescent="0.25">
      <c r="A138" s="156"/>
      <c r="B138" s="5"/>
      <c r="C138" s="5"/>
      <c r="D138" s="5"/>
      <c r="E138" s="5"/>
      <c r="F138" s="5"/>
      <c r="G138" s="5"/>
      <c r="H138" s="5"/>
      <c r="I138" s="5"/>
      <c r="J138" s="5"/>
      <c r="K138" s="5"/>
      <c r="L138" s="5"/>
      <c r="M138" s="5"/>
      <c r="N138" s="164"/>
    </row>
    <row r="139" spans="1:14" x14ac:dyDescent="0.25">
      <c r="A139" s="156"/>
      <c r="B139" s="5"/>
      <c r="C139" s="5"/>
      <c r="D139" s="5"/>
      <c r="E139" s="5"/>
      <c r="F139" s="5"/>
      <c r="G139" s="5"/>
      <c r="H139" s="5"/>
      <c r="I139" s="5"/>
      <c r="J139" s="5"/>
      <c r="K139" s="5"/>
      <c r="L139" s="5"/>
      <c r="M139" s="5"/>
      <c r="N139" s="164"/>
    </row>
    <row r="140" spans="1:14" x14ac:dyDescent="0.25">
      <c r="A140" s="156"/>
      <c r="B140" s="5"/>
      <c r="C140" s="5"/>
      <c r="D140" s="5"/>
      <c r="E140" s="5"/>
      <c r="F140" s="5"/>
      <c r="G140" s="5"/>
      <c r="H140" s="5"/>
      <c r="I140" s="5"/>
      <c r="J140" s="5"/>
      <c r="K140" s="5"/>
      <c r="L140" s="5"/>
      <c r="M140" s="5"/>
      <c r="N140" s="164"/>
    </row>
    <row r="141" spans="1:14" x14ac:dyDescent="0.25">
      <c r="A141" s="156"/>
      <c r="B141" s="5"/>
      <c r="C141" s="5"/>
      <c r="D141" s="5"/>
      <c r="E141" s="5"/>
      <c r="F141" s="5"/>
      <c r="G141" s="5"/>
      <c r="H141" s="5"/>
      <c r="I141" s="5"/>
      <c r="J141" s="5"/>
      <c r="K141" s="5"/>
      <c r="L141" s="5"/>
      <c r="M141" s="5"/>
      <c r="N141" s="164"/>
    </row>
    <row r="142" spans="1:14" x14ac:dyDescent="0.25">
      <c r="A142" s="156"/>
      <c r="B142" s="5"/>
      <c r="C142" s="5"/>
      <c r="D142" s="5"/>
      <c r="E142" s="5"/>
      <c r="F142" s="5"/>
      <c r="G142" s="5"/>
      <c r="H142" s="5"/>
      <c r="I142" s="5"/>
      <c r="J142" s="5"/>
      <c r="K142" s="5"/>
      <c r="L142" s="5"/>
      <c r="M142" s="5"/>
      <c r="N142" s="164"/>
    </row>
    <row r="143" spans="1:14" x14ac:dyDescent="0.25">
      <c r="A143" s="156"/>
      <c r="B143" s="5"/>
      <c r="C143" s="5"/>
      <c r="D143" s="5"/>
      <c r="E143" s="5"/>
      <c r="F143" s="5"/>
      <c r="G143" s="5"/>
      <c r="H143" s="5"/>
      <c r="I143" s="5"/>
      <c r="J143" s="5"/>
      <c r="K143" s="5"/>
      <c r="L143" s="5"/>
      <c r="M143" s="5"/>
      <c r="N143" s="164"/>
    </row>
    <row r="144" spans="1:14" x14ac:dyDescent="0.25">
      <c r="A144" s="156"/>
      <c r="B144" s="5"/>
      <c r="C144" s="5"/>
      <c r="D144" s="5"/>
      <c r="E144" s="5"/>
      <c r="F144" s="5"/>
      <c r="G144" s="5"/>
      <c r="H144" s="5"/>
      <c r="I144" s="5"/>
      <c r="J144" s="5"/>
      <c r="K144" s="5"/>
      <c r="L144" s="5"/>
      <c r="M144" s="5"/>
      <c r="N144" s="164"/>
    </row>
    <row r="145" spans="1:14" x14ac:dyDescent="0.25">
      <c r="A145" s="156"/>
      <c r="B145" s="5"/>
      <c r="C145" s="5"/>
      <c r="D145" s="5"/>
      <c r="E145" s="5"/>
      <c r="F145" s="5"/>
      <c r="G145" s="5"/>
      <c r="H145" s="5"/>
      <c r="I145" s="5"/>
      <c r="J145" s="5"/>
      <c r="K145" s="5"/>
      <c r="L145" s="5"/>
      <c r="M145" s="5"/>
      <c r="N145" s="164"/>
    </row>
    <row r="146" spans="1:14" x14ac:dyDescent="0.25">
      <c r="A146" s="156"/>
      <c r="B146" s="5"/>
      <c r="C146" s="5"/>
      <c r="D146" s="5"/>
      <c r="E146" s="5"/>
      <c r="F146" s="5"/>
      <c r="G146" s="5"/>
      <c r="H146" s="5"/>
      <c r="I146" s="5"/>
      <c r="J146" s="5"/>
      <c r="K146" s="5"/>
      <c r="L146" s="5"/>
      <c r="M146" s="5"/>
      <c r="N146" s="164"/>
    </row>
    <row r="147" spans="1:14" x14ac:dyDescent="0.25">
      <c r="A147" s="156"/>
      <c r="B147" s="5"/>
      <c r="C147" s="5"/>
      <c r="D147" s="5"/>
      <c r="E147" s="5"/>
      <c r="F147" s="5"/>
      <c r="G147" s="5"/>
      <c r="H147" s="5"/>
      <c r="I147" s="5"/>
      <c r="J147" s="5"/>
      <c r="K147" s="5"/>
      <c r="L147" s="5"/>
      <c r="M147" s="5"/>
      <c r="N147" s="164"/>
    </row>
    <row r="148" spans="1:14" x14ac:dyDescent="0.25">
      <c r="A148" s="156"/>
      <c r="B148" s="5"/>
      <c r="C148" s="5"/>
      <c r="D148" s="5"/>
      <c r="E148" s="5"/>
      <c r="F148" s="5"/>
      <c r="G148" s="5"/>
      <c r="H148" s="5"/>
      <c r="I148" s="5"/>
      <c r="J148" s="5"/>
      <c r="K148" s="5"/>
      <c r="L148" s="5"/>
      <c r="M148" s="5"/>
      <c r="N148" s="164"/>
    </row>
    <row r="149" spans="1:14" x14ac:dyDescent="0.25">
      <c r="A149" s="156"/>
      <c r="B149" s="5"/>
      <c r="C149" s="5"/>
      <c r="D149" s="5"/>
      <c r="E149" s="5"/>
      <c r="F149" s="5"/>
      <c r="G149" s="5"/>
      <c r="H149" s="5"/>
      <c r="I149" s="5"/>
      <c r="J149" s="5"/>
      <c r="K149" s="5"/>
      <c r="L149" s="5"/>
      <c r="M149" s="5"/>
      <c r="N149" s="164"/>
    </row>
    <row r="150" spans="1:14" x14ac:dyDescent="0.25">
      <c r="A150" s="156"/>
      <c r="B150" s="5"/>
      <c r="C150" s="5"/>
      <c r="D150" s="5"/>
      <c r="E150" s="5"/>
      <c r="F150" s="5"/>
      <c r="G150" s="5"/>
      <c r="H150" s="5"/>
      <c r="I150" s="5"/>
      <c r="J150" s="5"/>
      <c r="K150" s="5"/>
      <c r="L150" s="5"/>
      <c r="M150" s="5"/>
      <c r="N150" s="164"/>
    </row>
    <row r="151" spans="1:14" x14ac:dyDescent="0.25">
      <c r="A151" s="156"/>
      <c r="B151" s="5"/>
      <c r="C151" s="5"/>
      <c r="D151" s="5"/>
      <c r="E151" s="5"/>
      <c r="F151" s="5"/>
      <c r="G151" s="5"/>
      <c r="H151" s="5"/>
      <c r="I151" s="5"/>
      <c r="J151" s="5"/>
      <c r="K151" s="5"/>
      <c r="L151" s="5"/>
      <c r="M151" s="5"/>
      <c r="N151" s="164"/>
    </row>
    <row r="152" spans="1:14" x14ac:dyDescent="0.25">
      <c r="A152" s="156"/>
      <c r="B152" s="5"/>
      <c r="C152" s="5"/>
      <c r="D152" s="5"/>
      <c r="E152" s="5"/>
      <c r="F152" s="5"/>
      <c r="G152" s="5"/>
      <c r="H152" s="5"/>
      <c r="I152" s="5"/>
      <c r="J152" s="5"/>
      <c r="K152" s="5"/>
      <c r="L152" s="5"/>
      <c r="M152" s="5"/>
      <c r="N152" s="164"/>
    </row>
    <row r="153" spans="1:14" x14ac:dyDescent="0.25">
      <c r="A153" s="156"/>
      <c r="B153" s="5"/>
      <c r="C153" s="5"/>
      <c r="D153" s="5"/>
      <c r="E153" s="5"/>
      <c r="F153" s="5"/>
      <c r="G153" s="5"/>
      <c r="H153" s="5"/>
      <c r="I153" s="5"/>
      <c r="J153" s="5"/>
      <c r="K153" s="5"/>
      <c r="L153" s="5"/>
      <c r="M153" s="5"/>
      <c r="N153" s="164"/>
    </row>
    <row r="154" spans="1:14" x14ac:dyDescent="0.25">
      <c r="A154" s="156"/>
      <c r="B154" s="5"/>
      <c r="C154" s="5"/>
      <c r="D154" s="5"/>
      <c r="E154" s="5"/>
      <c r="F154" s="5"/>
      <c r="G154" s="5"/>
      <c r="H154" s="5"/>
      <c r="I154" s="5"/>
      <c r="J154" s="5"/>
      <c r="K154" s="5"/>
      <c r="L154" s="5"/>
      <c r="M154" s="5"/>
      <c r="N154" s="164"/>
    </row>
    <row r="155" spans="1:14" x14ac:dyDescent="0.25">
      <c r="A155" s="156"/>
      <c r="B155" s="5"/>
      <c r="C155" s="5"/>
      <c r="D155" s="5"/>
      <c r="E155" s="5"/>
      <c r="F155" s="5"/>
      <c r="G155" s="5"/>
      <c r="H155" s="5"/>
      <c r="I155" s="5"/>
      <c r="J155" s="5"/>
      <c r="K155" s="5"/>
      <c r="L155" s="5"/>
      <c r="M155" s="5"/>
      <c r="N155" s="164"/>
    </row>
    <row r="156" spans="1:14" x14ac:dyDescent="0.25">
      <c r="A156" s="156"/>
      <c r="B156" s="5"/>
      <c r="C156" s="5"/>
      <c r="D156" s="5"/>
      <c r="E156" s="5"/>
      <c r="F156" s="5"/>
      <c r="G156" s="5"/>
      <c r="H156" s="5"/>
      <c r="I156" s="5"/>
      <c r="J156" s="5"/>
      <c r="K156" s="5"/>
      <c r="L156" s="5"/>
      <c r="M156" s="5"/>
      <c r="N156" s="164"/>
    </row>
    <row r="157" spans="1:14" x14ac:dyDescent="0.25">
      <c r="A157" s="156"/>
      <c r="B157" s="5"/>
      <c r="C157" s="5"/>
      <c r="D157" s="5"/>
      <c r="E157" s="5"/>
      <c r="F157" s="5"/>
      <c r="G157" s="5"/>
      <c r="H157" s="5"/>
      <c r="I157" s="5"/>
      <c r="J157" s="5"/>
      <c r="K157" s="5"/>
      <c r="L157" s="5"/>
      <c r="M157" s="5"/>
      <c r="N157" s="164"/>
    </row>
    <row r="158" spans="1:14" x14ac:dyDescent="0.25">
      <c r="A158" s="156"/>
      <c r="B158" s="5"/>
      <c r="C158" s="5"/>
      <c r="D158" s="5"/>
      <c r="E158" s="5"/>
      <c r="F158" s="5"/>
      <c r="G158" s="5"/>
      <c r="H158" s="5"/>
      <c r="I158" s="5"/>
      <c r="J158" s="5"/>
      <c r="K158" s="5"/>
      <c r="L158" s="5"/>
      <c r="M158" s="5"/>
      <c r="N158" s="164"/>
    </row>
    <row r="159" spans="1:14" x14ac:dyDescent="0.25">
      <c r="A159" s="156"/>
      <c r="B159" s="5"/>
      <c r="C159" s="5"/>
      <c r="D159" s="5"/>
      <c r="E159" s="5"/>
      <c r="F159" s="5"/>
      <c r="G159" s="5"/>
      <c r="H159" s="5"/>
      <c r="I159" s="5"/>
      <c r="J159" s="5"/>
      <c r="K159" s="5"/>
      <c r="L159" s="5"/>
      <c r="M159" s="5"/>
      <c r="N159" s="164"/>
    </row>
    <row r="160" spans="1:14" x14ac:dyDescent="0.25">
      <c r="A160" s="156"/>
      <c r="B160" s="5"/>
      <c r="C160" s="5"/>
      <c r="D160" s="5"/>
      <c r="E160" s="5"/>
      <c r="F160" s="5"/>
      <c r="G160" s="5"/>
      <c r="H160" s="5"/>
      <c r="I160" s="5"/>
      <c r="J160" s="5"/>
      <c r="K160" s="5"/>
      <c r="L160" s="5"/>
      <c r="M160" s="5"/>
      <c r="N160" s="164"/>
    </row>
    <row r="161" spans="1:14" x14ac:dyDescent="0.25">
      <c r="A161" s="156"/>
      <c r="B161" s="5"/>
      <c r="C161" s="5"/>
      <c r="D161" s="5"/>
      <c r="E161" s="5"/>
      <c r="F161" s="5"/>
      <c r="G161" s="5"/>
      <c r="H161" s="5"/>
      <c r="I161" s="5"/>
      <c r="J161" s="5"/>
      <c r="K161" s="5"/>
      <c r="L161" s="5"/>
      <c r="M161" s="5"/>
      <c r="N161" s="164"/>
    </row>
    <row r="162" spans="1:14" x14ac:dyDescent="0.25">
      <c r="A162" s="156"/>
      <c r="B162" s="5"/>
      <c r="C162" s="5"/>
      <c r="D162" s="5"/>
      <c r="E162" s="5"/>
      <c r="F162" s="5"/>
      <c r="G162" s="5"/>
      <c r="H162" s="5"/>
      <c r="I162" s="5"/>
      <c r="J162" s="5"/>
      <c r="K162" s="5"/>
      <c r="L162" s="5"/>
      <c r="M162" s="5"/>
      <c r="N162" s="164"/>
    </row>
    <row r="163" spans="1:14" x14ac:dyDescent="0.25">
      <c r="A163" s="156"/>
      <c r="B163" s="5"/>
      <c r="C163" s="5"/>
      <c r="D163" s="5"/>
      <c r="E163" s="5"/>
      <c r="F163" s="5"/>
      <c r="G163" s="5"/>
      <c r="H163" s="5"/>
      <c r="I163" s="5"/>
      <c r="J163" s="5"/>
      <c r="K163" s="5"/>
      <c r="L163" s="5"/>
      <c r="M163" s="5"/>
      <c r="N163" s="164"/>
    </row>
    <row r="164" spans="1:14" x14ac:dyDescent="0.25">
      <c r="A164" s="156"/>
      <c r="B164" s="5"/>
      <c r="C164" s="5"/>
      <c r="D164" s="5"/>
      <c r="E164" s="5"/>
      <c r="F164" s="5"/>
      <c r="G164" s="5"/>
      <c r="H164" s="5"/>
      <c r="I164" s="5"/>
      <c r="J164" s="5"/>
      <c r="K164" s="5"/>
      <c r="L164" s="5"/>
      <c r="M164" s="5"/>
      <c r="N164" s="164"/>
    </row>
    <row r="165" spans="1:14" x14ac:dyDescent="0.25">
      <c r="A165" s="156"/>
      <c r="B165" s="5"/>
      <c r="C165" s="5"/>
      <c r="D165" s="5"/>
      <c r="E165" s="5"/>
      <c r="F165" s="5"/>
      <c r="G165" s="5"/>
      <c r="H165" s="5"/>
      <c r="I165" s="5"/>
      <c r="J165" s="5"/>
      <c r="K165" s="5"/>
      <c r="L165" s="5"/>
      <c r="M165" s="5"/>
      <c r="N165" s="164"/>
    </row>
    <row r="166" spans="1:14" x14ac:dyDescent="0.25">
      <c r="A166" s="156"/>
      <c r="B166" s="5"/>
      <c r="C166" s="5"/>
      <c r="D166" s="5"/>
      <c r="E166" s="5"/>
      <c r="F166" s="5"/>
      <c r="G166" s="5"/>
      <c r="H166" s="5"/>
      <c r="I166" s="5"/>
      <c r="J166" s="5"/>
      <c r="K166" s="5"/>
      <c r="L166" s="5"/>
      <c r="M166" s="5"/>
      <c r="N166" s="164"/>
    </row>
    <row r="167" spans="1:14" x14ac:dyDescent="0.25">
      <c r="A167" s="156"/>
      <c r="B167" s="5"/>
      <c r="C167" s="5"/>
      <c r="D167" s="5"/>
      <c r="E167" s="5"/>
      <c r="F167" s="5"/>
      <c r="G167" s="5"/>
      <c r="H167" s="5"/>
      <c r="I167" s="5"/>
      <c r="J167" s="5"/>
      <c r="K167" s="5"/>
      <c r="L167" s="5"/>
      <c r="M167" s="5"/>
      <c r="N167" s="164"/>
    </row>
    <row r="168" spans="1:14" x14ac:dyDescent="0.25">
      <c r="A168" s="156"/>
      <c r="B168" s="5"/>
      <c r="C168" s="5"/>
      <c r="D168" s="5"/>
      <c r="E168" s="5"/>
      <c r="F168" s="5"/>
      <c r="G168" s="5"/>
      <c r="H168" s="5"/>
      <c r="I168" s="5"/>
      <c r="J168" s="5"/>
      <c r="K168" s="5"/>
      <c r="L168" s="5"/>
      <c r="M168" s="5"/>
      <c r="N168" s="164"/>
    </row>
    <row r="169" spans="1:14" x14ac:dyDescent="0.25">
      <c r="A169" s="156"/>
      <c r="B169" s="5"/>
      <c r="C169" s="5"/>
      <c r="D169" s="5"/>
      <c r="E169" s="5"/>
      <c r="F169" s="5"/>
      <c r="G169" s="5"/>
      <c r="H169" s="5"/>
      <c r="I169" s="5"/>
      <c r="J169" s="5"/>
      <c r="K169" s="5"/>
      <c r="L169" s="5"/>
      <c r="M169" s="5"/>
      <c r="N169" s="164"/>
    </row>
    <row r="170" spans="1:14" x14ac:dyDescent="0.25">
      <c r="A170" s="156"/>
      <c r="B170" s="5"/>
      <c r="C170" s="5"/>
      <c r="D170" s="5"/>
      <c r="E170" s="5"/>
      <c r="F170" s="5"/>
      <c r="G170" s="5"/>
      <c r="H170" s="5"/>
      <c r="I170" s="5"/>
      <c r="J170" s="5"/>
      <c r="K170" s="5"/>
      <c r="L170" s="5"/>
      <c r="M170" s="5"/>
      <c r="N170" s="164"/>
    </row>
    <row r="171" spans="1:14" x14ac:dyDescent="0.25">
      <c r="A171" s="156"/>
      <c r="B171" s="5"/>
      <c r="C171" s="5"/>
      <c r="D171" s="5"/>
      <c r="E171" s="5"/>
      <c r="F171" s="5"/>
      <c r="G171" s="5"/>
      <c r="H171" s="5"/>
      <c r="I171" s="5"/>
      <c r="J171" s="5"/>
      <c r="K171" s="5"/>
      <c r="L171" s="5"/>
      <c r="M171" s="5"/>
      <c r="N171" s="164"/>
    </row>
    <row r="172" spans="1:14" x14ac:dyDescent="0.25">
      <c r="A172" s="156"/>
      <c r="B172" s="5"/>
      <c r="C172" s="5"/>
      <c r="D172" s="5"/>
      <c r="E172" s="5"/>
      <c r="F172" s="5"/>
      <c r="G172" s="5"/>
      <c r="H172" s="5"/>
      <c r="I172" s="5"/>
      <c r="J172" s="5"/>
      <c r="K172" s="5"/>
      <c r="L172" s="5"/>
      <c r="M172" s="5"/>
      <c r="N172" s="164"/>
    </row>
    <row r="173" spans="1:14" x14ac:dyDescent="0.25">
      <c r="A173" s="156"/>
      <c r="B173" s="5"/>
      <c r="C173" s="5"/>
      <c r="D173" s="5"/>
      <c r="E173" s="5"/>
      <c r="F173" s="5"/>
      <c r="G173" s="5"/>
      <c r="H173" s="5"/>
      <c r="I173" s="5"/>
      <c r="J173" s="5"/>
      <c r="K173" s="5"/>
      <c r="L173" s="5"/>
      <c r="M173" s="5"/>
      <c r="N173" s="164"/>
    </row>
    <row r="174" spans="1:14" x14ac:dyDescent="0.25">
      <c r="A174" s="156"/>
      <c r="B174" s="5"/>
      <c r="C174" s="5"/>
      <c r="D174" s="5"/>
      <c r="E174" s="5"/>
      <c r="F174" s="5"/>
      <c r="G174" s="5"/>
      <c r="H174" s="5"/>
      <c r="I174" s="5"/>
      <c r="J174" s="5"/>
      <c r="K174" s="5"/>
      <c r="L174" s="5"/>
      <c r="M174" s="5"/>
      <c r="N174" s="164"/>
    </row>
    <row r="175" spans="1:14" x14ac:dyDescent="0.25">
      <c r="A175" s="156"/>
      <c r="B175" s="5"/>
      <c r="C175" s="5"/>
      <c r="D175" s="5"/>
      <c r="E175" s="5"/>
      <c r="F175" s="5"/>
      <c r="G175" s="5"/>
      <c r="H175" s="5"/>
      <c r="I175" s="5"/>
      <c r="J175" s="5"/>
      <c r="K175" s="5"/>
      <c r="L175" s="5"/>
      <c r="M175" s="5"/>
      <c r="N175" s="164"/>
    </row>
    <row r="176" spans="1:14" x14ac:dyDescent="0.25">
      <c r="A176" s="156"/>
      <c r="B176" s="5"/>
      <c r="C176" s="5"/>
      <c r="D176" s="5"/>
      <c r="E176" s="5"/>
      <c r="F176" s="5"/>
      <c r="G176" s="5"/>
      <c r="H176" s="5"/>
      <c r="I176" s="5"/>
      <c r="J176" s="5"/>
      <c r="K176" s="5"/>
      <c r="L176" s="5"/>
      <c r="M176" s="5"/>
      <c r="N176" s="164"/>
    </row>
    <row r="177" spans="1:14" x14ac:dyDescent="0.25">
      <c r="A177" s="156"/>
      <c r="B177" s="5"/>
      <c r="C177" s="5"/>
      <c r="D177" s="5"/>
      <c r="E177" s="5"/>
      <c r="F177" s="5"/>
      <c r="G177" s="5"/>
      <c r="H177" s="5"/>
      <c r="I177" s="5"/>
      <c r="J177" s="5"/>
      <c r="K177" s="5"/>
      <c r="L177" s="5"/>
      <c r="M177" s="5"/>
      <c r="N177" s="164"/>
    </row>
    <row r="178" spans="1:14" x14ac:dyDescent="0.25">
      <c r="A178" s="156"/>
      <c r="B178" s="5"/>
      <c r="C178" s="5"/>
      <c r="D178" s="5"/>
      <c r="E178" s="5"/>
      <c r="F178" s="5"/>
      <c r="G178" s="5"/>
      <c r="H178" s="5"/>
      <c r="I178" s="5"/>
      <c r="J178" s="5"/>
      <c r="K178" s="5"/>
      <c r="L178" s="5"/>
      <c r="M178" s="5"/>
      <c r="N178" s="164"/>
    </row>
    <row r="179" spans="1:14" x14ac:dyDescent="0.25">
      <c r="A179" s="156"/>
      <c r="B179" s="5"/>
      <c r="C179" s="5"/>
      <c r="D179" s="5"/>
      <c r="E179" s="5"/>
      <c r="F179" s="5"/>
      <c r="G179" s="5"/>
      <c r="H179" s="5"/>
      <c r="I179" s="5"/>
      <c r="J179" s="5"/>
      <c r="K179" s="5"/>
      <c r="L179" s="5"/>
      <c r="M179" s="5"/>
      <c r="N179" s="164"/>
    </row>
    <row r="180" spans="1:14" x14ac:dyDescent="0.25">
      <c r="A180" s="156"/>
      <c r="B180" s="5"/>
      <c r="C180" s="5"/>
      <c r="D180" s="5"/>
      <c r="E180" s="5"/>
      <c r="F180" s="5"/>
      <c r="G180" s="5"/>
      <c r="H180" s="5"/>
      <c r="I180" s="5"/>
      <c r="J180" s="5"/>
      <c r="K180" s="5"/>
      <c r="L180" s="5"/>
      <c r="M180" s="5"/>
      <c r="N180" s="164"/>
    </row>
    <row r="181" spans="1:14" x14ac:dyDescent="0.25">
      <c r="A181" s="156"/>
      <c r="B181" s="5"/>
      <c r="C181" s="5"/>
      <c r="D181" s="5"/>
      <c r="E181" s="5"/>
      <c r="F181" s="5"/>
      <c r="G181" s="5"/>
      <c r="H181" s="5"/>
      <c r="I181" s="5"/>
      <c r="J181" s="5"/>
      <c r="K181" s="5"/>
      <c r="L181" s="5"/>
      <c r="M181" s="5"/>
      <c r="N181" s="164"/>
    </row>
    <row r="182" spans="1:14" x14ac:dyDescent="0.25">
      <c r="A182" s="156"/>
      <c r="B182" s="5"/>
      <c r="C182" s="5"/>
      <c r="D182" s="5"/>
      <c r="E182" s="5"/>
      <c r="F182" s="5"/>
      <c r="G182" s="5"/>
      <c r="H182" s="5"/>
      <c r="I182" s="5"/>
      <c r="J182" s="5"/>
      <c r="K182" s="5"/>
      <c r="L182" s="5"/>
      <c r="M182" s="5"/>
      <c r="N182" s="164"/>
    </row>
    <row r="183" spans="1:14" x14ac:dyDescent="0.25">
      <c r="A183" s="156"/>
      <c r="B183" s="5"/>
      <c r="C183" s="5"/>
      <c r="D183" s="5"/>
      <c r="E183" s="5"/>
      <c r="F183" s="5"/>
      <c r="G183" s="5"/>
      <c r="H183" s="5"/>
      <c r="I183" s="5"/>
      <c r="J183" s="5"/>
      <c r="K183" s="5"/>
      <c r="L183" s="5"/>
      <c r="M183" s="5"/>
      <c r="N183" s="164"/>
    </row>
    <row r="184" spans="1:14" x14ac:dyDescent="0.25">
      <c r="A184" s="156"/>
      <c r="B184" s="5"/>
      <c r="C184" s="5"/>
      <c r="D184" s="5"/>
      <c r="E184" s="5"/>
      <c r="F184" s="5"/>
      <c r="G184" s="5"/>
      <c r="H184" s="5"/>
      <c r="I184" s="5"/>
      <c r="J184" s="5"/>
      <c r="K184" s="5"/>
      <c r="L184" s="5"/>
      <c r="M184" s="5"/>
      <c r="N184" s="164"/>
    </row>
    <row r="185" spans="1:14" x14ac:dyDescent="0.25">
      <c r="A185" s="156"/>
      <c r="B185" s="5"/>
      <c r="C185" s="5"/>
      <c r="D185" s="5"/>
      <c r="E185" s="5"/>
      <c r="F185" s="5"/>
      <c r="G185" s="5"/>
      <c r="H185" s="5"/>
      <c r="I185" s="5"/>
      <c r="J185" s="5"/>
      <c r="K185" s="5"/>
      <c r="L185" s="5"/>
      <c r="M185" s="5"/>
      <c r="N185" s="164"/>
    </row>
    <row r="186" spans="1:14" x14ac:dyDescent="0.25">
      <c r="A186" s="156"/>
      <c r="B186" s="5"/>
      <c r="C186" s="5"/>
      <c r="D186" s="5"/>
      <c r="E186" s="5"/>
      <c r="F186" s="5"/>
      <c r="G186" s="5"/>
      <c r="H186" s="5"/>
      <c r="I186" s="5"/>
      <c r="J186" s="5"/>
      <c r="K186" s="5"/>
      <c r="L186" s="5"/>
      <c r="M186" s="5"/>
      <c r="N186" s="164"/>
    </row>
    <row r="187" spans="1:14" x14ac:dyDescent="0.25">
      <c r="A187" s="156"/>
      <c r="B187" s="5"/>
      <c r="C187" s="5"/>
      <c r="D187" s="5"/>
      <c r="E187" s="5"/>
      <c r="F187" s="5"/>
      <c r="G187" s="5"/>
      <c r="H187" s="5"/>
      <c r="I187" s="5"/>
      <c r="J187" s="5"/>
      <c r="K187" s="5"/>
      <c r="L187" s="5"/>
      <c r="M187" s="5"/>
      <c r="N187" s="164"/>
    </row>
    <row r="188" spans="1:14" x14ac:dyDescent="0.25">
      <c r="A188" s="156"/>
      <c r="B188" s="5"/>
      <c r="C188" s="5"/>
      <c r="D188" s="5"/>
      <c r="E188" s="5"/>
      <c r="F188" s="5"/>
      <c r="G188" s="5"/>
      <c r="H188" s="5"/>
      <c r="I188" s="5"/>
      <c r="J188" s="5"/>
      <c r="K188" s="5"/>
      <c r="L188" s="5"/>
      <c r="M188" s="5"/>
      <c r="N188" s="164"/>
    </row>
    <row r="189" spans="1:14" x14ac:dyDescent="0.25">
      <c r="A189" s="156"/>
      <c r="B189" s="5"/>
      <c r="C189" s="5"/>
      <c r="D189" s="5"/>
      <c r="E189" s="5"/>
      <c r="F189" s="5"/>
      <c r="G189" s="5"/>
      <c r="H189" s="5"/>
      <c r="I189" s="5"/>
      <c r="J189" s="5"/>
      <c r="K189" s="5"/>
      <c r="L189" s="5"/>
      <c r="M189" s="5"/>
      <c r="N189" s="164"/>
    </row>
    <row r="190" spans="1:14" x14ac:dyDescent="0.25">
      <c r="A190" s="156"/>
      <c r="B190" s="5"/>
      <c r="C190" s="5"/>
      <c r="D190" s="5"/>
      <c r="E190" s="5"/>
      <c r="F190" s="5"/>
      <c r="G190" s="5"/>
      <c r="H190" s="5"/>
      <c r="I190" s="5"/>
      <c r="J190" s="5"/>
      <c r="K190" s="5"/>
      <c r="L190" s="5"/>
      <c r="M190" s="5"/>
      <c r="N190" s="164"/>
    </row>
    <row r="191" spans="1:14" x14ac:dyDescent="0.25">
      <c r="A191" s="156"/>
      <c r="B191" s="5"/>
      <c r="C191" s="5"/>
      <c r="D191" s="5"/>
      <c r="E191" s="5"/>
      <c r="F191" s="5"/>
      <c r="G191" s="5"/>
      <c r="H191" s="5"/>
      <c r="I191" s="5"/>
      <c r="J191" s="5"/>
      <c r="K191" s="5"/>
      <c r="L191" s="5"/>
      <c r="M191" s="5"/>
      <c r="N191" s="164"/>
    </row>
    <row r="192" spans="1:14" x14ac:dyDescent="0.25">
      <c r="A192" s="156"/>
      <c r="B192" s="5"/>
      <c r="C192" s="5"/>
      <c r="D192" s="5"/>
      <c r="E192" s="5"/>
      <c r="F192" s="5"/>
      <c r="G192" s="5"/>
      <c r="H192" s="5"/>
      <c r="I192" s="5"/>
      <c r="J192" s="5"/>
      <c r="K192" s="5"/>
      <c r="L192" s="5"/>
      <c r="M192" s="5"/>
      <c r="N192" s="164"/>
    </row>
    <row r="193" spans="1:14" x14ac:dyDescent="0.25">
      <c r="A193" s="156"/>
      <c r="B193" s="5"/>
      <c r="C193" s="5"/>
      <c r="D193" s="5"/>
      <c r="E193" s="5"/>
      <c r="F193" s="5"/>
      <c r="G193" s="5"/>
      <c r="H193" s="5"/>
      <c r="I193" s="5"/>
      <c r="J193" s="5"/>
      <c r="K193" s="5"/>
      <c r="L193" s="5"/>
      <c r="M193" s="5"/>
      <c r="N193" s="164"/>
    </row>
    <row r="194" spans="1:14" x14ac:dyDescent="0.25">
      <c r="A194" s="156"/>
      <c r="B194" s="5"/>
      <c r="C194" s="5"/>
      <c r="D194" s="5"/>
      <c r="E194" s="5"/>
      <c r="F194" s="5"/>
      <c r="G194" s="5"/>
      <c r="H194" s="5"/>
      <c r="I194" s="5"/>
      <c r="J194" s="5"/>
      <c r="K194" s="5"/>
      <c r="L194" s="5"/>
      <c r="M194" s="5"/>
      <c r="N194" s="164"/>
    </row>
    <row r="195" spans="1:14" x14ac:dyDescent="0.25">
      <c r="A195" s="156"/>
      <c r="B195" s="5"/>
      <c r="C195" s="5"/>
      <c r="D195" s="5"/>
      <c r="E195" s="5"/>
      <c r="F195" s="5"/>
      <c r="G195" s="5"/>
      <c r="H195" s="5"/>
      <c r="I195" s="5"/>
      <c r="J195" s="5"/>
      <c r="K195" s="5"/>
      <c r="L195" s="5"/>
      <c r="M195" s="5"/>
      <c r="N195" s="164"/>
    </row>
    <row r="196" spans="1:14" x14ac:dyDescent="0.25">
      <c r="A196" s="156"/>
      <c r="B196" s="5"/>
      <c r="C196" s="5"/>
      <c r="D196" s="5"/>
      <c r="E196" s="5"/>
      <c r="F196" s="5"/>
      <c r="G196" s="5"/>
      <c r="H196" s="5"/>
      <c r="I196" s="5"/>
      <c r="J196" s="5"/>
      <c r="K196" s="5"/>
      <c r="L196" s="5"/>
      <c r="M196" s="5"/>
      <c r="N196" s="164"/>
    </row>
    <row r="197" spans="1:14" x14ac:dyDescent="0.25">
      <c r="A197" s="156"/>
      <c r="B197" s="5"/>
      <c r="C197" s="5"/>
      <c r="D197" s="5"/>
      <c r="E197" s="5"/>
      <c r="F197" s="5"/>
      <c r="G197" s="5"/>
      <c r="H197" s="5"/>
      <c r="I197" s="5"/>
      <c r="J197" s="5"/>
      <c r="K197" s="5"/>
      <c r="L197" s="5"/>
      <c r="M197" s="5"/>
      <c r="N197" s="164"/>
    </row>
    <row r="198" spans="1:14" x14ac:dyDescent="0.25">
      <c r="A198" s="156"/>
      <c r="B198" s="5"/>
      <c r="C198" s="5"/>
      <c r="D198" s="5"/>
      <c r="E198" s="5"/>
      <c r="F198" s="5"/>
      <c r="G198" s="5"/>
      <c r="H198" s="5"/>
      <c r="I198" s="5"/>
      <c r="J198" s="5"/>
      <c r="K198" s="5"/>
      <c r="L198" s="5"/>
      <c r="M198" s="5"/>
      <c r="N198" s="164"/>
    </row>
    <row r="199" spans="1:14" x14ac:dyDescent="0.25">
      <c r="A199" s="156"/>
      <c r="B199" s="5"/>
      <c r="C199" s="5"/>
      <c r="D199" s="5"/>
      <c r="E199" s="5"/>
      <c r="F199" s="5"/>
      <c r="G199" s="5"/>
      <c r="H199" s="5"/>
      <c r="I199" s="5"/>
      <c r="J199" s="5"/>
      <c r="K199" s="5"/>
      <c r="L199" s="5"/>
      <c r="M199" s="5"/>
      <c r="N199" s="164"/>
    </row>
    <row r="200" spans="1:14" x14ac:dyDescent="0.25">
      <c r="A200" s="156"/>
      <c r="B200" s="5"/>
      <c r="C200" s="5"/>
      <c r="D200" s="5"/>
      <c r="E200" s="5"/>
      <c r="F200" s="5"/>
      <c r="G200" s="5"/>
      <c r="H200" s="5"/>
      <c r="I200" s="5"/>
      <c r="J200" s="5"/>
      <c r="K200" s="5"/>
      <c r="L200" s="5"/>
      <c r="M200" s="5"/>
      <c r="N200" s="164"/>
    </row>
    <row r="201" spans="1:14" x14ac:dyDescent="0.25">
      <c r="A201" s="156"/>
      <c r="B201" s="5"/>
      <c r="C201" s="5"/>
      <c r="D201" s="5"/>
      <c r="E201" s="5"/>
      <c r="F201" s="5"/>
      <c r="G201" s="5"/>
      <c r="H201" s="5"/>
      <c r="I201" s="5"/>
      <c r="J201" s="5"/>
      <c r="K201" s="5"/>
      <c r="L201" s="5"/>
      <c r="M201" s="5"/>
      <c r="N201" s="164"/>
    </row>
    <row r="202" spans="1:14" x14ac:dyDescent="0.25">
      <c r="A202" s="156"/>
      <c r="B202" s="5"/>
      <c r="C202" s="5"/>
      <c r="D202" s="5"/>
      <c r="E202" s="5"/>
      <c r="F202" s="5"/>
      <c r="G202" s="5"/>
      <c r="H202" s="5"/>
      <c r="I202" s="5"/>
      <c r="J202" s="5"/>
      <c r="K202" s="5"/>
      <c r="L202" s="5"/>
      <c r="M202" s="5"/>
      <c r="N202" s="164"/>
    </row>
    <row r="203" spans="1:14" x14ac:dyDescent="0.25">
      <c r="A203" s="156"/>
      <c r="B203" s="5"/>
      <c r="C203" s="5"/>
      <c r="D203" s="5"/>
      <c r="E203" s="5"/>
      <c r="F203" s="5"/>
      <c r="G203" s="5"/>
      <c r="H203" s="5"/>
      <c r="I203" s="5"/>
      <c r="J203" s="5"/>
      <c r="K203" s="5"/>
      <c r="L203" s="5"/>
      <c r="M203" s="5"/>
      <c r="N203" s="164"/>
    </row>
    <row r="204" spans="1:14" x14ac:dyDescent="0.25">
      <c r="A204" s="156"/>
      <c r="B204" s="5"/>
      <c r="C204" s="5"/>
      <c r="D204" s="5"/>
      <c r="E204" s="5"/>
      <c r="F204" s="5"/>
      <c r="G204" s="5"/>
      <c r="H204" s="5"/>
      <c r="I204" s="5"/>
      <c r="J204" s="5"/>
      <c r="K204" s="5"/>
      <c r="L204" s="5"/>
      <c r="M204" s="5"/>
      <c r="N204" s="164"/>
    </row>
    <row r="205" spans="1:14" x14ac:dyDescent="0.25">
      <c r="A205" s="156"/>
      <c r="B205" s="5"/>
      <c r="C205" s="5"/>
      <c r="D205" s="5"/>
      <c r="E205" s="5"/>
      <c r="F205" s="5"/>
      <c r="G205" s="5"/>
      <c r="H205" s="5"/>
      <c r="I205" s="5"/>
      <c r="J205" s="5"/>
      <c r="K205" s="5"/>
      <c r="L205" s="5"/>
      <c r="M205" s="5"/>
      <c r="N205" s="164"/>
    </row>
    <row r="206" spans="1:14" x14ac:dyDescent="0.25">
      <c r="A206" s="156"/>
      <c r="B206" s="5"/>
      <c r="C206" s="5"/>
      <c r="D206" s="5"/>
      <c r="E206" s="5"/>
      <c r="F206" s="5"/>
      <c r="G206" s="5"/>
      <c r="H206" s="5"/>
      <c r="I206" s="5"/>
      <c r="J206" s="5"/>
      <c r="K206" s="5"/>
      <c r="L206" s="5"/>
      <c r="M206" s="5"/>
      <c r="N206" s="164"/>
    </row>
    <row r="207" spans="1:14" x14ac:dyDescent="0.25">
      <c r="A207" s="156"/>
      <c r="B207" s="5"/>
      <c r="C207" s="5"/>
      <c r="D207" s="5"/>
      <c r="E207" s="5"/>
      <c r="F207" s="5"/>
      <c r="G207" s="5"/>
      <c r="H207" s="5"/>
      <c r="I207" s="5"/>
      <c r="J207" s="5"/>
      <c r="K207" s="5"/>
      <c r="L207" s="5"/>
      <c r="M207" s="5"/>
      <c r="N207" s="164"/>
    </row>
    <row r="208" spans="1:14" x14ac:dyDescent="0.25">
      <c r="A208" s="156"/>
      <c r="B208" s="5"/>
      <c r="C208" s="5"/>
      <c r="D208" s="5"/>
      <c r="E208" s="5"/>
      <c r="F208" s="5"/>
      <c r="G208" s="5"/>
      <c r="H208" s="5"/>
      <c r="I208" s="5"/>
      <c r="J208" s="5"/>
      <c r="K208" s="5"/>
      <c r="L208" s="5"/>
      <c r="M208" s="5"/>
      <c r="N208" s="164"/>
    </row>
    <row r="209" spans="1:14" x14ac:dyDescent="0.25">
      <c r="A209" s="156"/>
      <c r="B209" s="5"/>
      <c r="C209" s="5"/>
      <c r="D209" s="5"/>
      <c r="E209" s="5"/>
      <c r="F209" s="5"/>
      <c r="G209" s="5"/>
      <c r="H209" s="5"/>
      <c r="I209" s="5"/>
      <c r="J209" s="5"/>
      <c r="K209" s="5"/>
      <c r="L209" s="5"/>
      <c r="M209" s="5"/>
      <c r="N209" s="164"/>
    </row>
    <row r="210" spans="1:14" x14ac:dyDescent="0.25">
      <c r="A210" s="156"/>
      <c r="B210" s="5"/>
      <c r="C210" s="5"/>
      <c r="D210" s="5"/>
      <c r="E210" s="5"/>
      <c r="F210" s="5"/>
      <c r="G210" s="5"/>
      <c r="H210" s="5"/>
      <c r="I210" s="5"/>
      <c r="J210" s="5"/>
      <c r="K210" s="5"/>
      <c r="L210" s="5"/>
      <c r="M210" s="5"/>
      <c r="N210" s="164"/>
    </row>
    <row r="211" spans="1:14" x14ac:dyDescent="0.25">
      <c r="A211" s="156"/>
      <c r="B211" s="5"/>
      <c r="C211" s="5"/>
      <c r="D211" s="5"/>
      <c r="E211" s="5"/>
      <c r="F211" s="5"/>
      <c r="G211" s="5"/>
      <c r="H211" s="5"/>
      <c r="I211" s="5"/>
      <c r="J211" s="5"/>
      <c r="K211" s="5"/>
      <c r="L211" s="5"/>
      <c r="M211" s="5"/>
      <c r="N211" s="164"/>
    </row>
    <row r="212" spans="1:14" x14ac:dyDescent="0.25">
      <c r="A212" s="156"/>
      <c r="B212" s="5"/>
      <c r="C212" s="5"/>
      <c r="D212" s="5"/>
      <c r="E212" s="5"/>
      <c r="F212" s="5"/>
      <c r="G212" s="5"/>
      <c r="H212" s="5"/>
      <c r="I212" s="5"/>
      <c r="J212" s="5"/>
      <c r="K212" s="5"/>
      <c r="L212" s="5"/>
      <c r="M212" s="5"/>
      <c r="N212" s="164"/>
    </row>
    <row r="213" spans="1:14" x14ac:dyDescent="0.25">
      <c r="A213" s="156"/>
      <c r="B213" s="5"/>
      <c r="C213" s="5"/>
      <c r="D213" s="5"/>
      <c r="E213" s="5"/>
      <c r="F213" s="5"/>
      <c r="G213" s="5"/>
      <c r="H213" s="5"/>
      <c r="I213" s="5"/>
      <c r="J213" s="5"/>
      <c r="K213" s="5"/>
      <c r="L213" s="5"/>
      <c r="M213" s="5"/>
      <c r="N213" s="164"/>
    </row>
    <row r="214" spans="1:14" x14ac:dyDescent="0.25">
      <c r="A214" s="156"/>
      <c r="B214" s="5"/>
      <c r="C214" s="5"/>
      <c r="D214" s="5"/>
      <c r="E214" s="5"/>
      <c r="F214" s="5"/>
      <c r="G214" s="5"/>
      <c r="H214" s="5"/>
      <c r="I214" s="5"/>
      <c r="J214" s="5"/>
      <c r="K214" s="5"/>
      <c r="L214" s="5"/>
      <c r="M214" s="5"/>
      <c r="N214" s="164"/>
    </row>
    <row r="215" spans="1:14" x14ac:dyDescent="0.25">
      <c r="A215" s="156"/>
      <c r="B215" s="5"/>
      <c r="C215" s="5"/>
      <c r="D215" s="5"/>
      <c r="E215" s="5"/>
      <c r="F215" s="5"/>
      <c r="G215" s="5"/>
      <c r="H215" s="5"/>
      <c r="I215" s="5"/>
      <c r="J215" s="5"/>
      <c r="K215" s="5"/>
      <c r="L215" s="5"/>
      <c r="M215" s="5"/>
      <c r="N215" s="164"/>
    </row>
    <row r="216" spans="1:14" x14ac:dyDescent="0.25">
      <c r="A216" s="156"/>
      <c r="B216" s="5"/>
      <c r="C216" s="5"/>
      <c r="D216" s="5"/>
      <c r="E216" s="5"/>
      <c r="F216" s="5"/>
      <c r="G216" s="5"/>
      <c r="H216" s="5"/>
      <c r="I216" s="5"/>
      <c r="J216" s="5"/>
      <c r="K216" s="5"/>
      <c r="L216" s="5"/>
      <c r="M216" s="5"/>
      <c r="N216" s="164"/>
    </row>
    <row r="217" spans="1:14" x14ac:dyDescent="0.25">
      <c r="A217" s="156"/>
      <c r="B217" s="5"/>
      <c r="C217" s="5"/>
      <c r="D217" s="5"/>
      <c r="E217" s="5"/>
      <c r="F217" s="5"/>
      <c r="G217" s="5"/>
      <c r="H217" s="5"/>
      <c r="I217" s="5"/>
      <c r="J217" s="5"/>
      <c r="K217" s="5"/>
      <c r="L217" s="5"/>
      <c r="M217" s="5"/>
      <c r="N217" s="164"/>
    </row>
    <row r="218" spans="1:14" x14ac:dyDescent="0.25">
      <c r="A218" s="156"/>
      <c r="B218" s="5"/>
      <c r="C218" s="5"/>
      <c r="D218" s="5"/>
      <c r="E218" s="5"/>
      <c r="F218" s="5"/>
      <c r="G218" s="5"/>
      <c r="H218" s="5"/>
      <c r="I218" s="5"/>
      <c r="J218" s="5"/>
      <c r="K218" s="5"/>
      <c r="L218" s="5"/>
      <c r="M218" s="5"/>
      <c r="N218" s="164"/>
    </row>
    <row r="219" spans="1:14" x14ac:dyDescent="0.25">
      <c r="A219" s="156"/>
      <c r="B219" s="5"/>
      <c r="C219" s="5"/>
      <c r="D219" s="5"/>
      <c r="E219" s="5"/>
      <c r="F219" s="5"/>
      <c r="G219" s="5"/>
      <c r="H219" s="5"/>
      <c r="I219" s="5"/>
      <c r="J219" s="5"/>
      <c r="K219" s="5"/>
      <c r="L219" s="5"/>
      <c r="M219" s="5"/>
      <c r="N219" s="164"/>
    </row>
    <row r="220" spans="1:14" x14ac:dyDescent="0.25">
      <c r="A220" s="156"/>
      <c r="B220" s="5"/>
      <c r="C220" s="5"/>
      <c r="D220" s="5"/>
      <c r="E220" s="5"/>
      <c r="F220" s="5"/>
      <c r="G220" s="5"/>
      <c r="H220" s="5"/>
      <c r="I220" s="5"/>
      <c r="J220" s="5"/>
      <c r="K220" s="5"/>
      <c r="L220" s="5"/>
      <c r="M220" s="5"/>
      <c r="N220" s="164"/>
    </row>
    <row r="221" spans="1:14" x14ac:dyDescent="0.25">
      <c r="A221" s="156"/>
      <c r="B221" s="5"/>
      <c r="C221" s="5"/>
      <c r="D221" s="5"/>
      <c r="E221" s="5"/>
      <c r="F221" s="5"/>
      <c r="G221" s="5"/>
      <c r="H221" s="5"/>
      <c r="I221" s="5"/>
      <c r="J221" s="5"/>
      <c r="K221" s="5"/>
      <c r="L221" s="5"/>
      <c r="M221" s="5"/>
      <c r="N221" s="164"/>
    </row>
    <row r="222" spans="1:14" x14ac:dyDescent="0.25">
      <c r="A222" s="156"/>
      <c r="B222" s="5"/>
      <c r="C222" s="5"/>
      <c r="D222" s="5"/>
      <c r="E222" s="5"/>
      <c r="F222" s="5"/>
      <c r="G222" s="5"/>
      <c r="H222" s="5"/>
      <c r="I222" s="5"/>
      <c r="J222" s="5"/>
      <c r="K222" s="5"/>
      <c r="L222" s="5"/>
      <c r="M222" s="5"/>
      <c r="N222" s="164"/>
    </row>
    <row r="223" spans="1:14" x14ac:dyDescent="0.25">
      <c r="A223" s="156"/>
      <c r="B223" s="5"/>
      <c r="C223" s="5"/>
      <c r="D223" s="5"/>
      <c r="E223" s="5"/>
      <c r="F223" s="5"/>
      <c r="G223" s="5"/>
      <c r="H223" s="5"/>
      <c r="I223" s="5"/>
      <c r="J223" s="5"/>
      <c r="K223" s="5"/>
      <c r="L223" s="5"/>
      <c r="M223" s="5"/>
      <c r="N223" s="164"/>
    </row>
    <row r="224" spans="1:14" x14ac:dyDescent="0.25">
      <c r="A224" s="156"/>
      <c r="B224" s="5"/>
      <c r="C224" s="5"/>
      <c r="D224" s="5"/>
      <c r="E224" s="5"/>
      <c r="F224" s="5"/>
      <c r="G224" s="5"/>
      <c r="H224" s="5"/>
      <c r="I224" s="5"/>
      <c r="J224" s="5"/>
      <c r="K224" s="5"/>
      <c r="L224" s="5"/>
      <c r="M224" s="5"/>
      <c r="N224" s="164"/>
    </row>
    <row r="225" spans="1:14" x14ac:dyDescent="0.25">
      <c r="A225" s="156"/>
      <c r="B225" s="5"/>
      <c r="C225" s="5"/>
      <c r="D225" s="5"/>
      <c r="E225" s="5"/>
      <c r="F225" s="5"/>
      <c r="G225" s="5"/>
      <c r="H225" s="5"/>
      <c r="I225" s="5"/>
      <c r="J225" s="5"/>
      <c r="K225" s="5"/>
      <c r="L225" s="5"/>
      <c r="M225" s="5"/>
      <c r="N225" s="164"/>
    </row>
    <row r="226" spans="1:14" x14ac:dyDescent="0.25">
      <c r="A226" s="156"/>
      <c r="B226" s="5"/>
      <c r="C226" s="5"/>
      <c r="D226" s="5"/>
      <c r="E226" s="5"/>
      <c r="F226" s="5"/>
      <c r="G226" s="5"/>
      <c r="H226" s="5"/>
      <c r="I226" s="5"/>
      <c r="J226" s="5"/>
      <c r="K226" s="5"/>
      <c r="L226" s="5"/>
      <c r="M226" s="5"/>
      <c r="N226" s="164"/>
    </row>
    <row r="227" spans="1:14" x14ac:dyDescent="0.25">
      <c r="A227" s="156"/>
      <c r="B227" s="5"/>
      <c r="C227" s="5"/>
      <c r="D227" s="5"/>
      <c r="E227" s="5"/>
      <c r="F227" s="5"/>
      <c r="G227" s="5"/>
      <c r="H227" s="5"/>
      <c r="I227" s="5"/>
      <c r="J227" s="5"/>
      <c r="K227" s="5"/>
      <c r="L227" s="5"/>
      <c r="M227" s="5"/>
      <c r="N227" s="164"/>
    </row>
    <row r="228" spans="1:14" x14ac:dyDescent="0.25">
      <c r="A228" s="156"/>
      <c r="B228" s="5"/>
      <c r="C228" s="5"/>
      <c r="D228" s="5"/>
      <c r="E228" s="5"/>
      <c r="F228" s="5"/>
      <c r="G228" s="5"/>
      <c r="H228" s="5"/>
      <c r="I228" s="5"/>
      <c r="J228" s="5"/>
      <c r="K228" s="5"/>
      <c r="L228" s="5"/>
      <c r="M228" s="5"/>
      <c r="N228" s="164"/>
    </row>
    <row r="229" spans="1:14" x14ac:dyDescent="0.25">
      <c r="A229" s="156"/>
      <c r="B229" s="5"/>
      <c r="C229" s="5"/>
      <c r="D229" s="5"/>
      <c r="E229" s="5"/>
      <c r="F229" s="5"/>
      <c r="G229" s="5"/>
      <c r="H229" s="5"/>
      <c r="I229" s="5"/>
      <c r="J229" s="5"/>
      <c r="K229" s="5"/>
      <c r="L229" s="5"/>
      <c r="M229" s="5"/>
      <c r="N229" s="164"/>
    </row>
    <row r="230" spans="1:14" x14ac:dyDescent="0.25">
      <c r="A230" s="156"/>
      <c r="B230" s="5"/>
      <c r="C230" s="5"/>
      <c r="D230" s="5"/>
      <c r="E230" s="5"/>
      <c r="F230" s="5"/>
      <c r="G230" s="5"/>
      <c r="H230" s="5"/>
      <c r="I230" s="5"/>
      <c r="J230" s="5"/>
      <c r="K230" s="5"/>
      <c r="L230" s="5"/>
      <c r="M230" s="5"/>
      <c r="N230" s="164"/>
    </row>
    <row r="231" spans="1:14" x14ac:dyDescent="0.25">
      <c r="A231" s="156"/>
      <c r="B231" s="5"/>
      <c r="C231" s="5"/>
      <c r="D231" s="5"/>
      <c r="E231" s="5"/>
      <c r="F231" s="5"/>
      <c r="G231" s="5"/>
      <c r="H231" s="5"/>
      <c r="I231" s="5"/>
      <c r="J231" s="5"/>
      <c r="K231" s="5"/>
      <c r="L231" s="5"/>
      <c r="M231" s="5"/>
      <c r="N231" s="164"/>
    </row>
    <row r="232" spans="1:14" x14ac:dyDescent="0.25">
      <c r="A232" s="156"/>
      <c r="B232" s="5"/>
      <c r="C232" s="5"/>
      <c r="D232" s="5"/>
      <c r="E232" s="5"/>
      <c r="F232" s="5"/>
      <c r="G232" s="5"/>
      <c r="H232" s="5"/>
      <c r="I232" s="5"/>
      <c r="J232" s="5"/>
      <c r="K232" s="5"/>
      <c r="L232" s="5"/>
      <c r="M232" s="5"/>
      <c r="N232" s="164"/>
    </row>
    <row r="233" spans="1:14" x14ac:dyDescent="0.25">
      <c r="A233" s="156"/>
      <c r="B233" s="5"/>
      <c r="C233" s="5"/>
      <c r="D233" s="5"/>
      <c r="E233" s="5"/>
      <c r="F233" s="5"/>
      <c r="G233" s="5"/>
      <c r="H233" s="5"/>
      <c r="I233" s="5"/>
      <c r="J233" s="5"/>
      <c r="K233" s="5"/>
      <c r="L233" s="5"/>
      <c r="M233" s="5"/>
      <c r="N233" s="164"/>
    </row>
    <row r="234" spans="1:14" x14ac:dyDescent="0.25">
      <c r="A234" s="156"/>
      <c r="B234" s="5"/>
      <c r="C234" s="5"/>
      <c r="D234" s="5"/>
      <c r="E234" s="5"/>
      <c r="F234" s="5"/>
      <c r="G234" s="5"/>
      <c r="H234" s="5"/>
      <c r="I234" s="5"/>
      <c r="J234" s="5"/>
      <c r="K234" s="5"/>
      <c r="L234" s="5"/>
      <c r="M234" s="5"/>
      <c r="N234" s="164"/>
    </row>
    <row r="235" spans="1:14" x14ac:dyDescent="0.25">
      <c r="A235" s="156"/>
      <c r="B235" s="5"/>
      <c r="C235" s="5"/>
      <c r="D235" s="5"/>
      <c r="E235" s="5"/>
      <c r="F235" s="5"/>
      <c r="G235" s="5"/>
      <c r="H235" s="5"/>
      <c r="I235" s="5"/>
      <c r="J235" s="5"/>
      <c r="K235" s="5"/>
      <c r="L235" s="5"/>
      <c r="M235" s="5"/>
      <c r="N235" s="164"/>
    </row>
    <row r="236" spans="1:14" x14ac:dyDescent="0.25">
      <c r="A236" s="156"/>
      <c r="B236" s="5"/>
      <c r="C236" s="5"/>
      <c r="D236" s="5"/>
      <c r="E236" s="5"/>
      <c r="F236" s="5"/>
      <c r="G236" s="5"/>
      <c r="H236" s="5"/>
      <c r="I236" s="5"/>
      <c r="J236" s="5"/>
      <c r="K236" s="5"/>
      <c r="L236" s="5"/>
      <c r="M236" s="5"/>
      <c r="N236" s="164"/>
    </row>
    <row r="237" spans="1:14" x14ac:dyDescent="0.25">
      <c r="A237" s="156"/>
      <c r="B237" s="5"/>
      <c r="C237" s="5"/>
      <c r="D237" s="5"/>
      <c r="E237" s="5"/>
      <c r="F237" s="5"/>
      <c r="G237" s="5"/>
      <c r="H237" s="5"/>
      <c r="I237" s="5"/>
      <c r="J237" s="5"/>
      <c r="K237" s="5"/>
      <c r="L237" s="5"/>
      <c r="M237" s="5"/>
      <c r="N237" s="164"/>
    </row>
    <row r="238" spans="1:14" x14ac:dyDescent="0.25">
      <c r="A238" s="156"/>
      <c r="B238" s="5"/>
      <c r="C238" s="5"/>
      <c r="D238" s="5"/>
      <c r="E238" s="5"/>
      <c r="F238" s="5"/>
      <c r="G238" s="5"/>
      <c r="H238" s="5"/>
      <c r="I238" s="5"/>
      <c r="J238" s="5"/>
      <c r="K238" s="5"/>
      <c r="L238" s="5"/>
      <c r="M238" s="5"/>
      <c r="N238" s="164"/>
    </row>
    <row r="239" spans="1:14" x14ac:dyDescent="0.25">
      <c r="A239" s="156"/>
      <c r="B239" s="5"/>
      <c r="C239" s="5"/>
      <c r="D239" s="5"/>
      <c r="E239" s="5"/>
      <c r="F239" s="5"/>
      <c r="G239" s="5"/>
      <c r="H239" s="5"/>
      <c r="I239" s="5"/>
      <c r="J239" s="5"/>
      <c r="K239" s="5"/>
      <c r="L239" s="5"/>
      <c r="M239" s="5"/>
      <c r="N239" s="164"/>
    </row>
    <row r="240" spans="1:14" x14ac:dyDescent="0.25">
      <c r="A240" s="156"/>
      <c r="B240" s="5"/>
      <c r="C240" s="5"/>
      <c r="D240" s="5"/>
      <c r="E240" s="5"/>
      <c r="F240" s="5"/>
      <c r="G240" s="5"/>
      <c r="H240" s="5"/>
      <c r="I240" s="5"/>
      <c r="J240" s="5"/>
      <c r="K240" s="5"/>
      <c r="L240" s="5"/>
      <c r="M240" s="5"/>
      <c r="N240" s="164"/>
    </row>
    <row r="241" spans="1:14" x14ac:dyDescent="0.25">
      <c r="A241" s="156"/>
      <c r="B241" s="5"/>
      <c r="C241" s="5"/>
      <c r="D241" s="5"/>
      <c r="E241" s="5"/>
      <c r="F241" s="5"/>
      <c r="G241" s="5"/>
      <c r="H241" s="5"/>
      <c r="I241" s="5"/>
      <c r="J241" s="5"/>
      <c r="K241" s="5"/>
      <c r="L241" s="5"/>
      <c r="M241" s="5"/>
      <c r="N241" s="164"/>
    </row>
    <row r="242" spans="1:14" x14ac:dyDescent="0.25">
      <c r="A242" s="156"/>
      <c r="B242" s="5"/>
      <c r="C242" s="5"/>
      <c r="D242" s="5"/>
      <c r="E242" s="5"/>
      <c r="F242" s="5"/>
      <c r="G242" s="5"/>
      <c r="H242" s="5"/>
      <c r="I242" s="5"/>
      <c r="J242" s="5"/>
      <c r="K242" s="5"/>
      <c r="L242" s="5"/>
      <c r="M242" s="5"/>
      <c r="N242" s="164"/>
    </row>
    <row r="243" spans="1:14" x14ac:dyDescent="0.25">
      <c r="A243" s="156"/>
      <c r="B243" s="5"/>
      <c r="C243" s="5"/>
      <c r="D243" s="5"/>
      <c r="E243" s="5"/>
      <c r="F243" s="5"/>
      <c r="G243" s="5"/>
      <c r="H243" s="5"/>
      <c r="I243" s="5"/>
      <c r="J243" s="5"/>
      <c r="K243" s="5"/>
      <c r="L243" s="5"/>
      <c r="M243" s="5"/>
      <c r="N243" s="164"/>
    </row>
    <row r="244" spans="1:14" x14ac:dyDescent="0.25">
      <c r="A244" s="156"/>
      <c r="B244" s="5"/>
      <c r="C244" s="5"/>
      <c r="D244" s="5"/>
      <c r="E244" s="5"/>
      <c r="F244" s="5"/>
      <c r="G244" s="5"/>
      <c r="H244" s="5"/>
      <c r="I244" s="5"/>
      <c r="J244" s="5"/>
      <c r="K244" s="5"/>
      <c r="L244" s="5"/>
      <c r="M244" s="5"/>
      <c r="N244" s="164"/>
    </row>
    <row r="245" spans="1:14" x14ac:dyDescent="0.25">
      <c r="A245" s="156"/>
      <c r="B245" s="5"/>
      <c r="C245" s="5"/>
      <c r="D245" s="5"/>
      <c r="E245" s="5"/>
      <c r="F245" s="5"/>
      <c r="G245" s="5"/>
      <c r="H245" s="5"/>
      <c r="I245" s="5"/>
      <c r="J245" s="5"/>
      <c r="K245" s="5"/>
      <c r="L245" s="5"/>
      <c r="M245" s="5"/>
      <c r="N245" s="164"/>
    </row>
    <row r="246" spans="1:14" x14ac:dyDescent="0.25">
      <c r="A246" s="156"/>
      <c r="B246" s="5"/>
      <c r="C246" s="5"/>
      <c r="D246" s="5"/>
      <c r="E246" s="5"/>
      <c r="F246" s="5"/>
      <c r="G246" s="5"/>
      <c r="H246" s="5"/>
      <c r="I246" s="5"/>
      <c r="J246" s="5"/>
      <c r="K246" s="5"/>
      <c r="L246" s="5"/>
      <c r="M246" s="5"/>
      <c r="N246" s="164"/>
    </row>
    <row r="247" spans="1:14" x14ac:dyDescent="0.25">
      <c r="A247" s="156"/>
      <c r="B247" s="5"/>
      <c r="C247" s="5"/>
      <c r="D247" s="5"/>
      <c r="E247" s="5"/>
      <c r="F247" s="5"/>
      <c r="G247" s="5"/>
      <c r="H247" s="5"/>
      <c r="I247" s="5"/>
      <c r="J247" s="5"/>
      <c r="K247" s="5"/>
      <c r="L247" s="5"/>
      <c r="M247" s="5"/>
      <c r="N247" s="164"/>
    </row>
    <row r="248" spans="1:14" x14ac:dyDescent="0.25">
      <c r="A248" s="156"/>
      <c r="B248" s="5"/>
      <c r="C248" s="5"/>
      <c r="D248" s="5"/>
      <c r="E248" s="5"/>
      <c r="F248" s="5"/>
      <c r="G248" s="5"/>
      <c r="H248" s="5"/>
      <c r="I248" s="5"/>
      <c r="J248" s="5"/>
      <c r="K248" s="5"/>
      <c r="L248" s="5"/>
      <c r="M248" s="5"/>
      <c r="N248" s="164"/>
    </row>
    <row r="249" spans="1:14" x14ac:dyDescent="0.25">
      <c r="A249" s="156"/>
      <c r="B249" s="5"/>
      <c r="C249" s="5"/>
      <c r="D249" s="5"/>
      <c r="E249" s="5"/>
      <c r="F249" s="5"/>
      <c r="G249" s="5"/>
      <c r="H249" s="5"/>
      <c r="I249" s="5"/>
      <c r="J249" s="5"/>
      <c r="K249" s="5"/>
      <c r="L249" s="5"/>
      <c r="M249" s="5"/>
      <c r="N249" s="164"/>
    </row>
    <row r="250" spans="1:14" x14ac:dyDescent="0.25">
      <c r="A250" s="156"/>
      <c r="B250" s="5"/>
      <c r="C250" s="5"/>
      <c r="D250" s="5"/>
      <c r="E250" s="5"/>
      <c r="F250" s="5"/>
      <c r="G250" s="5"/>
      <c r="H250" s="5"/>
      <c r="I250" s="5"/>
      <c r="J250" s="5"/>
      <c r="K250" s="5"/>
      <c r="L250" s="5"/>
      <c r="M250" s="5"/>
      <c r="N250" s="164"/>
    </row>
    <row r="251" spans="1:14" x14ac:dyDescent="0.25">
      <c r="A251" s="156"/>
      <c r="B251" s="5"/>
      <c r="C251" s="5"/>
      <c r="D251" s="5"/>
      <c r="E251" s="5"/>
      <c r="F251" s="5"/>
      <c r="G251" s="5"/>
      <c r="H251" s="5"/>
      <c r="I251" s="5"/>
      <c r="J251" s="5"/>
      <c r="K251" s="5"/>
      <c r="L251" s="5"/>
      <c r="M251" s="5"/>
      <c r="N251" s="164"/>
    </row>
    <row r="252" spans="1:14" x14ac:dyDescent="0.25">
      <c r="A252" s="156"/>
      <c r="B252" s="5"/>
      <c r="C252" s="5"/>
      <c r="D252" s="5"/>
      <c r="E252" s="5"/>
      <c r="F252" s="5"/>
      <c r="G252" s="5"/>
      <c r="H252" s="5"/>
      <c r="I252" s="5"/>
      <c r="J252" s="5"/>
      <c r="K252" s="5"/>
      <c r="L252" s="5"/>
      <c r="M252" s="5"/>
      <c r="N252" s="164"/>
    </row>
    <row r="253" spans="1:14" x14ac:dyDescent="0.25">
      <c r="A253" s="156"/>
      <c r="B253" s="5"/>
      <c r="C253" s="5"/>
      <c r="D253" s="5"/>
      <c r="E253" s="5"/>
      <c r="F253" s="5"/>
      <c r="G253" s="5"/>
      <c r="H253" s="5"/>
      <c r="I253" s="5"/>
      <c r="J253" s="5"/>
      <c r="K253" s="5"/>
      <c r="L253" s="5"/>
      <c r="M253" s="5"/>
      <c r="N253" s="164"/>
    </row>
    <row r="254" spans="1:14" x14ac:dyDescent="0.25">
      <c r="A254" s="156"/>
      <c r="B254" s="5"/>
      <c r="C254" s="5"/>
      <c r="D254" s="5"/>
      <c r="E254" s="5"/>
      <c r="F254" s="5"/>
      <c r="G254" s="5"/>
      <c r="H254" s="5"/>
      <c r="I254" s="5"/>
      <c r="J254" s="5"/>
      <c r="K254" s="5"/>
      <c r="L254" s="5"/>
      <c r="M254" s="5"/>
      <c r="N254" s="164"/>
    </row>
    <row r="255" spans="1:14" x14ac:dyDescent="0.25">
      <c r="A255" s="156"/>
      <c r="B255" s="5"/>
      <c r="C255" s="5"/>
      <c r="D255" s="5"/>
      <c r="E255" s="5"/>
      <c r="F255" s="5"/>
      <c r="G255" s="5"/>
      <c r="H255" s="5"/>
      <c r="I255" s="5"/>
      <c r="J255" s="5"/>
      <c r="K255" s="5"/>
      <c r="L255" s="5"/>
      <c r="M255" s="5"/>
      <c r="N255" s="164"/>
    </row>
    <row r="256" spans="1:14" x14ac:dyDescent="0.25">
      <c r="A256" s="156"/>
      <c r="B256" s="5"/>
      <c r="C256" s="5"/>
      <c r="D256" s="5"/>
      <c r="E256" s="5"/>
      <c r="F256" s="5"/>
      <c r="G256" s="5"/>
      <c r="H256" s="5"/>
      <c r="I256" s="5"/>
      <c r="J256" s="5"/>
      <c r="K256" s="5"/>
      <c r="L256" s="5"/>
      <c r="M256" s="5"/>
      <c r="N256" s="164"/>
    </row>
    <row r="257" spans="1:14" x14ac:dyDescent="0.25">
      <c r="A257" s="156"/>
      <c r="B257" s="5"/>
      <c r="C257" s="5"/>
      <c r="D257" s="5"/>
      <c r="E257" s="5"/>
      <c r="F257" s="5"/>
      <c r="G257" s="5"/>
      <c r="H257" s="5"/>
      <c r="I257" s="5"/>
      <c r="J257" s="5"/>
      <c r="K257" s="5"/>
      <c r="L257" s="5"/>
      <c r="M257" s="5"/>
      <c r="N257" s="164"/>
    </row>
    <row r="258" spans="1:14" x14ac:dyDescent="0.25">
      <c r="A258" s="156"/>
      <c r="B258" s="5"/>
      <c r="C258" s="5"/>
      <c r="D258" s="5"/>
      <c r="E258" s="5"/>
      <c r="F258" s="5"/>
      <c r="G258" s="5"/>
      <c r="H258" s="5"/>
      <c r="I258" s="5"/>
      <c r="J258" s="5"/>
      <c r="K258" s="5"/>
      <c r="L258" s="5"/>
      <c r="M258" s="5"/>
      <c r="N258" s="164"/>
    </row>
    <row r="259" spans="1:14" x14ac:dyDescent="0.25">
      <c r="A259" s="156"/>
      <c r="B259" s="5"/>
      <c r="C259" s="5"/>
      <c r="D259" s="5"/>
      <c r="E259" s="5"/>
      <c r="F259" s="5"/>
      <c r="G259" s="5"/>
      <c r="H259" s="5"/>
      <c r="I259" s="5"/>
      <c r="J259" s="5"/>
      <c r="K259" s="5"/>
      <c r="L259" s="5"/>
      <c r="M259" s="5"/>
      <c r="N259" s="164"/>
    </row>
    <row r="260" spans="1:14" x14ac:dyDescent="0.25">
      <c r="A260" s="156"/>
      <c r="B260" s="5"/>
      <c r="C260" s="5"/>
      <c r="D260" s="5"/>
      <c r="E260" s="5"/>
      <c r="F260" s="5"/>
      <c r="G260" s="5"/>
      <c r="H260" s="5"/>
      <c r="I260" s="5"/>
      <c r="J260" s="5"/>
      <c r="K260" s="5"/>
      <c r="L260" s="5"/>
      <c r="M260" s="5"/>
      <c r="N260" s="164"/>
    </row>
    <row r="261" spans="1:14" x14ac:dyDescent="0.25">
      <c r="A261" s="156"/>
      <c r="B261" s="5"/>
      <c r="C261" s="5"/>
      <c r="D261" s="5"/>
      <c r="E261" s="5"/>
      <c r="F261" s="5"/>
      <c r="G261" s="5"/>
      <c r="H261" s="5"/>
      <c r="I261" s="5"/>
      <c r="J261" s="5"/>
      <c r="K261" s="5"/>
      <c r="L261" s="5"/>
      <c r="M261" s="5"/>
      <c r="N261" s="164"/>
    </row>
    <row r="262" spans="1:14" x14ac:dyDescent="0.25">
      <c r="A262" s="156"/>
      <c r="B262" s="5"/>
      <c r="C262" s="5"/>
      <c r="D262" s="5"/>
      <c r="E262" s="5"/>
      <c r="F262" s="5"/>
      <c r="G262" s="5"/>
      <c r="H262" s="5"/>
      <c r="I262" s="5"/>
      <c r="J262" s="5"/>
      <c r="K262" s="5"/>
      <c r="L262" s="5"/>
      <c r="M262" s="5"/>
      <c r="N262" s="164"/>
    </row>
    <row r="263" spans="1:14" x14ac:dyDescent="0.25">
      <c r="A263" s="156"/>
      <c r="B263" s="5"/>
      <c r="C263" s="5"/>
      <c r="D263" s="5"/>
      <c r="E263" s="5"/>
      <c r="F263" s="5"/>
      <c r="G263" s="5"/>
      <c r="H263" s="5"/>
      <c r="I263" s="5"/>
      <c r="J263" s="5"/>
      <c r="K263" s="5"/>
      <c r="L263" s="5"/>
      <c r="M263" s="5"/>
      <c r="N263" s="164"/>
    </row>
    <row r="264" spans="1:14" x14ac:dyDescent="0.25">
      <c r="A264" s="156"/>
      <c r="B264" s="5"/>
      <c r="C264" s="5"/>
      <c r="D264" s="5"/>
      <c r="E264" s="5"/>
      <c r="F264" s="5"/>
      <c r="G264" s="5"/>
      <c r="H264" s="5"/>
      <c r="I264" s="5"/>
      <c r="J264" s="5"/>
      <c r="K264" s="5"/>
      <c r="L264" s="5"/>
      <c r="M264" s="5"/>
      <c r="N264" s="164"/>
    </row>
    <row r="265" spans="1:14" x14ac:dyDescent="0.25">
      <c r="A265" s="156"/>
      <c r="B265" s="5"/>
      <c r="C265" s="5"/>
      <c r="D265" s="5"/>
      <c r="E265" s="5"/>
      <c r="F265" s="5"/>
      <c r="G265" s="5"/>
      <c r="H265" s="5"/>
      <c r="I265" s="5"/>
      <c r="J265" s="5"/>
      <c r="K265" s="5"/>
      <c r="L265" s="5"/>
      <c r="M265" s="5"/>
      <c r="N265" s="164"/>
    </row>
    <row r="266" spans="1:14" x14ac:dyDescent="0.25">
      <c r="A266" s="156"/>
      <c r="B266" s="5"/>
      <c r="C266" s="5"/>
      <c r="D266" s="5"/>
      <c r="E266" s="5"/>
      <c r="F266" s="5"/>
      <c r="G266" s="5"/>
      <c r="H266" s="5"/>
      <c r="I266" s="5"/>
      <c r="J266" s="5"/>
      <c r="K266" s="5"/>
      <c r="L266" s="5"/>
      <c r="M266" s="5"/>
      <c r="N266" s="164"/>
    </row>
    <row r="267" spans="1:14" x14ac:dyDescent="0.25">
      <c r="A267" s="156"/>
      <c r="B267" s="5"/>
      <c r="C267" s="5"/>
      <c r="D267" s="5"/>
      <c r="E267" s="5"/>
      <c r="F267" s="5"/>
      <c r="G267" s="5"/>
      <c r="H267" s="5"/>
      <c r="I267" s="5"/>
      <c r="J267" s="5"/>
      <c r="K267" s="5"/>
      <c r="L267" s="5"/>
      <c r="M267" s="5"/>
      <c r="N267" s="164"/>
    </row>
    <row r="268" spans="1:14" x14ac:dyDescent="0.25">
      <c r="A268" s="156"/>
      <c r="B268" s="5"/>
      <c r="C268" s="5"/>
      <c r="D268" s="5"/>
      <c r="E268" s="5"/>
      <c r="F268" s="5"/>
      <c r="G268" s="5"/>
      <c r="H268" s="5"/>
      <c r="I268" s="5"/>
      <c r="J268" s="5"/>
      <c r="K268" s="5"/>
      <c r="L268" s="5"/>
      <c r="M268" s="5"/>
      <c r="N268" s="164"/>
    </row>
    <row r="269" spans="1:14" x14ac:dyDescent="0.25">
      <c r="A269" s="156"/>
      <c r="B269" s="5"/>
      <c r="C269" s="5"/>
      <c r="D269" s="5"/>
      <c r="E269" s="5"/>
      <c r="F269" s="5"/>
      <c r="G269" s="5"/>
      <c r="H269" s="5"/>
      <c r="I269" s="5"/>
      <c r="J269" s="5"/>
      <c r="K269" s="5"/>
      <c r="L269" s="5"/>
      <c r="M269" s="5"/>
      <c r="N269" s="164"/>
    </row>
    <row r="270" spans="1:14" x14ac:dyDescent="0.25">
      <c r="A270" s="156"/>
      <c r="B270" s="5"/>
      <c r="C270" s="5"/>
      <c r="D270" s="5"/>
      <c r="E270" s="5"/>
      <c r="F270" s="5"/>
      <c r="G270" s="5"/>
      <c r="H270" s="5"/>
      <c r="I270" s="5"/>
      <c r="J270" s="5"/>
      <c r="K270" s="5"/>
      <c r="L270" s="5"/>
      <c r="M270" s="5"/>
      <c r="N270" s="164"/>
    </row>
    <row r="271" spans="1:14" x14ac:dyDescent="0.25">
      <c r="A271" s="156"/>
      <c r="B271" s="5"/>
      <c r="C271" s="5"/>
      <c r="D271" s="5"/>
      <c r="E271" s="5"/>
      <c r="F271" s="5"/>
      <c r="G271" s="5"/>
      <c r="H271" s="5"/>
      <c r="I271" s="5"/>
      <c r="J271" s="5"/>
      <c r="K271" s="5"/>
      <c r="L271" s="5"/>
      <c r="M271" s="5"/>
      <c r="N271" s="164"/>
    </row>
    <row r="272" spans="1:14" x14ac:dyDescent="0.25">
      <c r="A272" s="156"/>
      <c r="B272" s="5"/>
      <c r="C272" s="5"/>
      <c r="D272" s="5"/>
      <c r="E272" s="5"/>
      <c r="F272" s="5"/>
      <c r="G272" s="5"/>
      <c r="H272" s="5"/>
      <c r="I272" s="5"/>
      <c r="J272" s="5"/>
      <c r="K272" s="5"/>
      <c r="L272" s="5"/>
      <c r="M272" s="5"/>
      <c r="N272" s="164"/>
    </row>
    <row r="273" spans="1:14" x14ac:dyDescent="0.25">
      <c r="A273" s="156"/>
      <c r="B273" s="5"/>
      <c r="C273" s="5"/>
      <c r="D273" s="5"/>
      <c r="E273" s="5"/>
      <c r="F273" s="5"/>
      <c r="G273" s="5"/>
      <c r="H273" s="5"/>
      <c r="I273" s="5"/>
      <c r="J273" s="5"/>
      <c r="K273" s="5"/>
      <c r="L273" s="5"/>
      <c r="M273" s="5"/>
      <c r="N273" s="164"/>
    </row>
    <row r="274" spans="1:14" x14ac:dyDescent="0.25">
      <c r="A274" s="156"/>
      <c r="B274" s="5"/>
      <c r="C274" s="5"/>
      <c r="D274" s="5"/>
      <c r="E274" s="5"/>
      <c r="F274" s="5"/>
      <c r="G274" s="5"/>
      <c r="H274" s="5"/>
      <c r="I274" s="5"/>
      <c r="J274" s="5"/>
      <c r="K274" s="5"/>
      <c r="L274" s="5"/>
      <c r="M274" s="5"/>
      <c r="N274" s="164"/>
    </row>
    <row r="275" spans="1:14" x14ac:dyDescent="0.25">
      <c r="A275" s="156"/>
      <c r="B275" s="5"/>
      <c r="C275" s="5"/>
      <c r="D275" s="5"/>
      <c r="E275" s="5"/>
      <c r="F275" s="5"/>
      <c r="G275" s="5"/>
      <c r="H275" s="5"/>
      <c r="I275" s="5"/>
      <c r="J275" s="5"/>
      <c r="K275" s="5"/>
      <c r="L275" s="5"/>
      <c r="M275" s="5"/>
      <c r="N275" s="164"/>
    </row>
    <row r="276" spans="1:14" x14ac:dyDescent="0.25">
      <c r="A276" s="156"/>
      <c r="B276" s="5"/>
      <c r="C276" s="5"/>
      <c r="D276" s="5"/>
      <c r="E276" s="5"/>
      <c r="F276" s="5"/>
      <c r="G276" s="5"/>
      <c r="H276" s="5"/>
      <c r="I276" s="5"/>
      <c r="J276" s="5"/>
      <c r="K276" s="5"/>
      <c r="L276" s="5"/>
      <c r="M276" s="5"/>
      <c r="N276" s="164"/>
    </row>
    <row r="277" spans="1:14" x14ac:dyDescent="0.25">
      <c r="A277" s="156"/>
      <c r="B277" s="5"/>
      <c r="C277" s="5"/>
      <c r="D277" s="5"/>
      <c r="E277" s="5"/>
      <c r="F277" s="5"/>
      <c r="G277" s="5"/>
      <c r="H277" s="5"/>
      <c r="I277" s="5"/>
      <c r="J277" s="5"/>
      <c r="K277" s="5"/>
      <c r="L277" s="5"/>
      <c r="M277" s="5"/>
      <c r="N277" s="164"/>
    </row>
    <row r="278" spans="1:14" x14ac:dyDescent="0.25">
      <c r="A278" s="156"/>
      <c r="B278" s="5"/>
      <c r="C278" s="5"/>
      <c r="D278" s="5"/>
      <c r="E278" s="5"/>
      <c r="F278" s="5"/>
      <c r="G278" s="5"/>
      <c r="H278" s="5"/>
      <c r="I278" s="5"/>
      <c r="J278" s="5"/>
      <c r="K278" s="5"/>
      <c r="L278" s="5"/>
      <c r="M278" s="5"/>
      <c r="N278" s="164"/>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O16"/>
  <sheetViews>
    <sheetView workbookViewId="0">
      <selection activeCell="H7" sqref="H7"/>
    </sheetView>
  </sheetViews>
  <sheetFormatPr defaultColWidth="15.42578125" defaultRowHeight="15" x14ac:dyDescent="0.25"/>
  <cols>
    <col min="1" max="1" width="28.140625" bestFit="1" customWidth="1"/>
    <col min="2" max="2" width="34.28515625" style="5" bestFit="1" customWidth="1"/>
    <col min="3" max="3" width="19.140625" style="5" bestFit="1" customWidth="1"/>
    <col min="4" max="4" width="10" style="5" bestFit="1" customWidth="1"/>
    <col min="5" max="5" width="15" bestFit="1" customWidth="1"/>
    <col min="6" max="6" width="13.28515625" style="5" bestFit="1" customWidth="1"/>
    <col min="7" max="7" width="15.7109375" bestFit="1" customWidth="1"/>
    <col min="8" max="8" width="14" bestFit="1" customWidth="1"/>
    <col min="9" max="9" width="11" bestFit="1" customWidth="1"/>
    <col min="10" max="10" width="6.28515625" bestFit="1" customWidth="1"/>
    <col min="11" max="11" width="20.28515625" bestFit="1" customWidth="1"/>
    <col min="12" max="12" width="21.5703125" bestFit="1" customWidth="1"/>
    <col min="15" max="15" width="19.85546875" bestFit="1" customWidth="1"/>
  </cols>
  <sheetData>
    <row r="1" spans="1:15" s="97" customFormat="1" ht="30" x14ac:dyDescent="0.25">
      <c r="A1" s="185" t="s">
        <v>1382</v>
      </c>
      <c r="B1" s="185" t="s">
        <v>1414</v>
      </c>
      <c r="C1" s="185" t="s">
        <v>1373</v>
      </c>
      <c r="D1" s="185" t="s">
        <v>1324</v>
      </c>
      <c r="E1" s="185" t="s">
        <v>1413</v>
      </c>
      <c r="F1" s="185" t="s">
        <v>1415</v>
      </c>
      <c r="G1" s="185" t="s">
        <v>1386</v>
      </c>
      <c r="H1" s="185" t="s">
        <v>1417</v>
      </c>
      <c r="I1" s="185" t="s">
        <v>1418</v>
      </c>
      <c r="J1" s="185" t="s">
        <v>1412</v>
      </c>
      <c r="K1" s="185" t="s">
        <v>1433</v>
      </c>
      <c r="L1" s="185" t="s">
        <v>1419</v>
      </c>
    </row>
    <row r="2" spans="1:15" x14ac:dyDescent="0.25">
      <c r="A2" t="s">
        <v>1392</v>
      </c>
      <c r="B2" s="5" t="s">
        <v>1367</v>
      </c>
      <c r="C2" s="5" t="s">
        <v>1374</v>
      </c>
      <c r="D2" s="5" t="s">
        <v>1372</v>
      </c>
      <c r="E2" t="s">
        <v>1365</v>
      </c>
      <c r="F2" s="5">
        <f>MATCH(SpecimenColumnFinder[[#This Row],[DataType]],DataColumns[#Headers],0)</f>
        <v>8</v>
      </c>
      <c r="G2" t="e">
        <f>MATCH(SpecimenColumnFinder[[#This Row],[DataType]],DataColumns[ColumnType],0)</f>
        <v>#N/A</v>
      </c>
      <c r="H2">
        <f>IF(SpecimenColumnFinder[[#This Row],[REQUIRED]]="Optional",0,
IF(SpecimenColumnFinder[[#This Row],[VBV or Column]]="Value-By-Value",NumSpecimens,
1))</f>
        <v>0</v>
      </c>
      <c r="I2">
        <f>IF(ISERROR(SpecimenColumnFinder[[#This Row],[Data Values Column Number]]),
IF(ISERROR(INDEX(DataColumns[],SpecimenColumnNumber,SpecimenColumnFinder[[#This Row],[Data Columns Input Column]])),
0,
1),
COUNTA(INDIRECT(CONCATENATE("'Data Values'!C",SpecimenColumnFinder[[#This Row],[Data Values Column Number]]),FALSE))-1)</f>
        <v>0</v>
      </c>
      <c r="J2" s="173" t="str">
        <f>IF(SpecimenColumnFinder[[#This Row],[Num Given]]&lt;SpecimenColumnFinder[[#This Row],[Num Required]],
"MISSING",
"OK")</f>
        <v>OK</v>
      </c>
      <c r="K2" s="173"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2" s="173" t="e">
        <f>INDIRECT(SpecimenColumnFinder[[#This Row],[First Value Address]],FALSE)</f>
        <v>#N/A</v>
      </c>
    </row>
    <row r="3" spans="1:15" x14ac:dyDescent="0.25">
      <c r="A3" t="s">
        <v>1453</v>
      </c>
      <c r="B3" s="5" t="s">
        <v>1179</v>
      </c>
      <c r="D3" s="5" t="s">
        <v>1324</v>
      </c>
      <c r="E3" t="s">
        <v>1365</v>
      </c>
      <c r="F3" s="173">
        <f>MATCH(SpecimenColumnFinder[[#This Row],[DataType]],DataColumns[#Headers],0)</f>
        <v>9</v>
      </c>
      <c r="G3" s="173" t="e">
        <f>MATCH(SpecimenColumnFinder[[#This Row],[DataType]],DataColumns[ColumnType],0)</f>
        <v>#N/A</v>
      </c>
      <c r="H3" s="173">
        <f>IF(SpecimenColumnFinder[[#This Row],[REQUIRED]]="Optional",0,
IF(SpecimenColumnFinder[[#This Row],[VBV or Column]]="Value-By-Value",NumSpecimens,
1))</f>
        <v>1</v>
      </c>
      <c r="I3" s="173">
        <f>IF(ISERROR(SpecimenColumnFinder[[#This Row],[Data Values Column Number]]),
IF(ISERROR(INDEX(DataColumns[],SpecimenColumnNumber,SpecimenColumnFinder[[#This Row],[Data Columns Input Column]])),
0,
1),
COUNTA(INDIRECT(CONCATENATE("'Data Values'!C",SpecimenColumnFinder[[#This Row],[Data Values Column Number]]),FALSE))-1)</f>
        <v>0</v>
      </c>
      <c r="J3" s="173" t="str">
        <f>IF(SpecimenColumnFinder[[#This Row],[Num Given]]&lt;SpecimenColumnFinder[[#This Row],[Num Required]],
"MISSING",
"OK")</f>
        <v>MISSING</v>
      </c>
      <c r="K3" s="173"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3" s="173" t="e">
        <f>INDIRECT(SpecimenColumnFinder[[#This Row],[First Value Address]],FALSE)</f>
        <v>#N/A</v>
      </c>
    </row>
    <row r="4" spans="1:15" x14ac:dyDescent="0.25">
      <c r="A4" t="s">
        <v>1360</v>
      </c>
      <c r="B4" s="5" t="s">
        <v>1416</v>
      </c>
      <c r="D4" s="5" t="s">
        <v>1324</v>
      </c>
      <c r="E4" s="5" t="s">
        <v>1366</v>
      </c>
      <c r="F4" s="5" t="e">
        <f>MATCH(SpecimenColumnFinder[[#This Row],[DataType]],DataColumns[#Headers],0)</f>
        <v>#N/A</v>
      </c>
      <c r="G4" s="5" t="e">
        <f>MATCH(SpecimenColumnFinder[[#This Row],[DataType]],DataColumns[ColumnType],0)</f>
        <v>#N/A</v>
      </c>
      <c r="H4" s="5">
        <f>IF(SpecimenColumnFinder[[#This Row],[REQUIRED]]="Optional",0,
IF(SpecimenColumnFinder[[#This Row],[VBV or Column]]="Value-By-Value",NumSpecimens,
1))</f>
        <v>1</v>
      </c>
      <c r="I4" s="5">
        <f>IF(ISERROR(SpecimenColumnFinder[[#This Row],[Data Values Column Number]]),
IF(ISERROR(INDEX(DataColumns[],SpecimenColumnNumber,SpecimenColumnFinder[[#This Row],[Data Columns Input Column]])),
0,
1),
COUNTA(INDIRECT(CONCATENATE("'Data Values'!C",SpecimenColumnFinder[[#This Row],[Data Values Column Number]]),FALSE))-1)</f>
        <v>0</v>
      </c>
      <c r="J4" s="173" t="str">
        <f>IF(SpecimenColumnFinder[[#This Row],[Num Given]]&lt;SpecimenColumnFinder[[#This Row],[Num Required]],
"MISSING",
"OK")</f>
        <v>MISSING</v>
      </c>
      <c r="K4" s="173"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4" s="173" t="e">
        <f>INDIRECT(SpecimenColumnFinder[[#This Row],[First Value Address]],FALSE)</f>
        <v>#REF!</v>
      </c>
    </row>
    <row r="5" spans="1:15" x14ac:dyDescent="0.25">
      <c r="A5" t="s">
        <v>1361</v>
      </c>
      <c r="B5" s="5" t="s">
        <v>1416</v>
      </c>
      <c r="D5" s="5" t="s">
        <v>1324</v>
      </c>
      <c r="E5" t="s">
        <v>1365</v>
      </c>
      <c r="F5" s="5">
        <f>MATCH(SpecimenColumnFinder[[#This Row],[DataType]],DataColumns[#Headers],0)</f>
        <v>7</v>
      </c>
      <c r="G5" s="5" t="e">
        <f>MATCH(SpecimenColumnFinder[[#This Row],[DataType]],DataColumns[ColumnType],0)</f>
        <v>#N/A</v>
      </c>
      <c r="H5" s="5">
        <f>IF(SpecimenColumnFinder[[#This Row],[REQUIRED]]="Optional",0,
IF(SpecimenColumnFinder[[#This Row],[VBV or Column]]="Value-By-Value",NumSpecimens,
1))</f>
        <v>1</v>
      </c>
      <c r="I5" s="5">
        <f>IF(ISERROR(SpecimenColumnFinder[[#This Row],[Data Values Column Number]]),
IF(ISERROR(INDEX(DataColumns[],SpecimenColumnNumber,SpecimenColumnFinder[[#This Row],[Data Columns Input Column]])),
0,
1),
COUNTA(INDIRECT(CONCATENATE("'Data Values'!C",SpecimenColumnFinder[[#This Row],[Data Values Column Number]]),FALSE))-1)</f>
        <v>0</v>
      </c>
      <c r="J5" s="173" t="str">
        <f>IF(SpecimenColumnFinder[[#This Row],[Num Given]]&lt;SpecimenColumnFinder[[#This Row],[Num Required]],
"MISSING",
"OK")</f>
        <v>MISSING</v>
      </c>
      <c r="K5" s="173"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5" s="173" t="e">
        <f>INDIRECT(SpecimenColumnFinder[[#This Row],[First Value Address]],FALSE)</f>
        <v>#N/A</v>
      </c>
    </row>
    <row r="6" spans="1:15" x14ac:dyDescent="0.25">
      <c r="A6" t="s">
        <v>1408</v>
      </c>
      <c r="B6" s="5" t="s">
        <v>1410</v>
      </c>
      <c r="C6" s="5" t="s">
        <v>1376</v>
      </c>
      <c r="D6" s="5" t="s">
        <v>1372</v>
      </c>
      <c r="E6" s="5" t="s">
        <v>1365</v>
      </c>
      <c r="F6" s="5">
        <f>MATCH(SpecimenColumnFinder[[#This Row],[DataType]],DataColumns[#Headers],0)</f>
        <v>5</v>
      </c>
      <c r="G6" s="5" t="e">
        <f>MATCH(SpecimenColumnFinder[[#This Row],[DataType]],DataColumns[ColumnType],0)</f>
        <v>#N/A</v>
      </c>
      <c r="H6">
        <f>IF(SpecimenColumnFinder[[#This Row],[REQUIRED]]="Optional",0,
IF(SpecimenColumnFinder[[#This Row],[VBV or Column]]="Value-By-Value",NumSpecimens,
1))</f>
        <v>0</v>
      </c>
      <c r="I6">
        <f>IF(ISERROR(SpecimenColumnFinder[[#This Row],[Data Values Column Number]]),
IF(ISERROR(INDEX(DataColumns[],SpecimenColumnNumber,SpecimenColumnFinder[[#This Row],[Data Columns Input Column]])),
0,
1),
COUNTA(INDIRECT(CONCATENATE("'Data Values'!C",SpecimenColumnFinder[[#This Row],[Data Values Column Number]]),FALSE))-1)</f>
        <v>0</v>
      </c>
      <c r="J6" s="173" t="str">
        <f>IF(SpecimenColumnFinder[[#This Row],[Num Given]]&lt;SpecimenColumnFinder[[#This Row],[Num Required]],
"MISSING",
"OK")</f>
        <v>OK</v>
      </c>
      <c r="K6" s="173"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6" s="173" t="e">
        <f>INDIRECT(SpecimenColumnFinder[[#This Row],[First Value Address]],FALSE)</f>
        <v>#N/A</v>
      </c>
    </row>
    <row r="7" spans="1:15" x14ac:dyDescent="0.25">
      <c r="A7" s="5" t="s">
        <v>1409</v>
      </c>
      <c r="B7" s="5" t="s">
        <v>1410</v>
      </c>
      <c r="C7" s="5" t="s">
        <v>1411</v>
      </c>
      <c r="D7" s="5" t="s">
        <v>1372</v>
      </c>
      <c r="E7" s="5" t="s">
        <v>1365</v>
      </c>
      <c r="F7" s="5">
        <f>MATCH(SpecimenColumnFinder[[#This Row],[DataType]],DataColumns[#Headers],0)</f>
        <v>13</v>
      </c>
      <c r="G7" s="173" t="e">
        <f>MATCH(SpecimenColumnFinder[[#This Row],[DataType]],DataColumns[ColumnType],0)</f>
        <v>#N/A</v>
      </c>
      <c r="H7" s="173">
        <f>IF(SpecimenColumnFinder[[#This Row],[REQUIRED]]="Optional",0,
IF(SpecimenColumnFinder[[#This Row],[VBV or Column]]="Value-By-Value",NumSpecimens,
1))</f>
        <v>0</v>
      </c>
      <c r="I7" s="173">
        <f>IF(ISERROR(SpecimenColumnFinder[[#This Row],[Data Values Column Number]]),
IF(ISERROR(INDEX(DataColumns[],SpecimenColumnNumber,SpecimenColumnFinder[[#This Row],[Data Columns Input Column]])),
0,
1),
COUNTA(INDIRECT(CONCATENATE("'Data Values'!C",SpecimenColumnFinder[[#This Row],[Data Values Column Number]]),FALSE))-1)</f>
        <v>0</v>
      </c>
      <c r="J7" s="173" t="str">
        <f>IF(SpecimenColumnFinder[[#This Row],[Num Given]]&lt;SpecimenColumnFinder[[#This Row],[Num Required]],
"MISSING",
"OK")</f>
        <v>OK</v>
      </c>
      <c r="K7" s="173"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7" s="173" t="e">
        <f>INDIRECT(SpecimenColumnFinder[[#This Row],[First Value Address]],FALSE)</f>
        <v>#N/A</v>
      </c>
      <c r="O7" s="2" t="s">
        <v>1420</v>
      </c>
    </row>
    <row r="8" spans="1:15" x14ac:dyDescent="0.25">
      <c r="A8" t="s">
        <v>198</v>
      </c>
      <c r="B8" s="5" t="s">
        <v>1410</v>
      </c>
      <c r="C8" s="5" t="s">
        <v>198</v>
      </c>
      <c r="D8" s="5" t="s">
        <v>1372</v>
      </c>
      <c r="E8" s="5" t="s">
        <v>1365</v>
      </c>
      <c r="F8" s="173">
        <f>MATCH(SpecimenColumnFinder[[#This Row],[DataType]],DataColumns[#Headers],0)</f>
        <v>6</v>
      </c>
      <c r="G8" s="173" t="e">
        <f>MATCH(SpecimenColumnFinder[[#This Row],[DataType]],DataColumns[ColumnType],0)</f>
        <v>#N/A</v>
      </c>
      <c r="H8" s="173">
        <f>IF(SpecimenColumnFinder[[#This Row],[REQUIRED]]="Optional",0,
IF(SpecimenColumnFinder[[#This Row],[VBV or Column]]="Value-By-Value",NumSpecimens,
1))</f>
        <v>0</v>
      </c>
      <c r="I8" s="173">
        <f>IF(ISERROR(SpecimenColumnFinder[[#This Row],[Data Values Column Number]]),
IF(ISERROR(INDEX(DataColumns[],SpecimenColumnNumber,SpecimenColumnFinder[[#This Row],[Data Columns Input Column]])),
0,
1),
COUNTA(INDIRECT(CONCATENATE("'Data Values'!C",SpecimenColumnFinder[[#This Row],[Data Values Column Number]]),FALSE))-1)</f>
        <v>0</v>
      </c>
      <c r="J8" s="173" t="str">
        <f>IF(SpecimenColumnFinder[[#This Row],[Num Given]]&lt;SpecimenColumnFinder[[#This Row],[Num Required]],
"MISSING",
"OK")</f>
        <v>OK</v>
      </c>
      <c r="K8" s="173"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8" s="173" t="e">
        <f>INDIRECT(SpecimenColumnFinder[[#This Row],[First Value Address]],FALSE)</f>
        <v>#N/A</v>
      </c>
    </row>
    <row r="9" spans="1:15" x14ac:dyDescent="0.25">
      <c r="A9" t="s">
        <v>1463</v>
      </c>
      <c r="B9" s="5" t="s">
        <v>1370</v>
      </c>
      <c r="D9" s="5" t="s">
        <v>1324</v>
      </c>
      <c r="E9" s="5" t="s">
        <v>1366</v>
      </c>
      <c r="F9" s="5" t="e">
        <f>MATCH(SpecimenColumnFinder[[#This Row],[DataType]],DataColumns[#Headers],0)</f>
        <v>#N/A</v>
      </c>
      <c r="G9" s="5" t="e">
        <f>MATCH(SpecimenColumnFinder[[#This Row],[DataType]],DataColumns[ColumnType],0)</f>
        <v>#N/A</v>
      </c>
      <c r="H9" s="5">
        <f>IF(SpecimenColumnFinder[[#This Row],[REQUIRED]]="Optional",0,
IF(SpecimenColumnFinder[[#This Row],[VBV or Column]]="Value-By-Value",NumSpecimens,
1))</f>
        <v>1</v>
      </c>
      <c r="I9" s="5">
        <f>IF(ISERROR(SpecimenColumnFinder[[#This Row],[Data Values Column Number]]),
IF(ISERROR(INDEX(DataColumns[],SpecimenColumnNumber,SpecimenColumnFinder[[#This Row],[Data Columns Input Column]])),
0,
1),
COUNTA(INDIRECT(CONCATENATE("'Data Values'!C",SpecimenColumnFinder[[#This Row],[Data Values Column Number]]),FALSE))-1)</f>
        <v>0</v>
      </c>
      <c r="J9" s="173" t="str">
        <f>IF(SpecimenColumnFinder[[#This Row],[Num Given]]&lt;SpecimenColumnFinder[[#This Row],[Num Required]],
"MISSING",
"OK")</f>
        <v>MISSING</v>
      </c>
      <c r="K9" s="173"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9" s="173" t="e">
        <f>INDIRECT(SpecimenColumnFinder[[#This Row],[First Value Address]],FALSE)</f>
        <v>#REF!</v>
      </c>
    </row>
    <row r="10" spans="1:15" x14ac:dyDescent="0.25">
      <c r="A10" t="s">
        <v>1359</v>
      </c>
      <c r="B10" s="5" t="s">
        <v>1370</v>
      </c>
      <c r="D10" s="5" t="s">
        <v>1372</v>
      </c>
      <c r="E10" s="5" t="s">
        <v>1366</v>
      </c>
      <c r="F10" s="173" t="e">
        <f>MATCH(SpecimenColumnFinder[[#This Row],[DataType]],DataColumns[#Headers],0)</f>
        <v>#N/A</v>
      </c>
      <c r="G10" s="173" t="e">
        <f>MATCH(SpecimenColumnFinder[[#This Row],[DataType]],DataColumns[ColumnType],0)</f>
        <v>#N/A</v>
      </c>
      <c r="H10" s="173">
        <f>IF(SpecimenColumnFinder[[#This Row],[REQUIRED]]="Optional",0,
IF(SpecimenColumnFinder[[#This Row],[VBV or Column]]="Value-By-Value",NumSpecimens,
1))</f>
        <v>0</v>
      </c>
      <c r="I10" s="173">
        <f>IF(ISERROR(SpecimenColumnFinder[[#This Row],[Data Values Column Number]]),
IF(ISERROR(INDEX(DataColumns[],SpecimenColumnNumber,SpecimenColumnFinder[[#This Row],[Data Columns Input Column]])),
0,
1),
COUNTA(INDIRECT(CONCATENATE("'Data Values'!C",SpecimenColumnFinder[[#This Row],[Data Values Column Number]]),FALSE))-1)</f>
        <v>0</v>
      </c>
      <c r="J10" s="173" t="str">
        <f>IF(SpecimenColumnFinder[[#This Row],[Num Given]]&lt;SpecimenColumnFinder[[#This Row],[Num Required]],
"MISSING",
"OK")</f>
        <v>OK</v>
      </c>
      <c r="K10" s="173"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0" s="173" t="e">
        <f>INDIRECT(SpecimenColumnFinder[[#This Row],[First Value Address]],FALSE)</f>
        <v>#REF!</v>
      </c>
    </row>
    <row r="11" spans="1:15" x14ac:dyDescent="0.25">
      <c r="A11" t="s">
        <v>1358</v>
      </c>
      <c r="B11" s="5" t="s">
        <v>1370</v>
      </c>
      <c r="D11" s="5" t="s">
        <v>1372</v>
      </c>
      <c r="E11" s="5" t="s">
        <v>1366</v>
      </c>
      <c r="F11" s="5" t="e">
        <f>MATCH(SpecimenColumnFinder[[#This Row],[DataType]],DataColumns[#Headers],0)</f>
        <v>#N/A</v>
      </c>
      <c r="G11" s="5" t="e">
        <f>MATCH(SpecimenColumnFinder[[#This Row],[DataType]],DataColumns[ColumnType],0)</f>
        <v>#N/A</v>
      </c>
      <c r="H11" s="5">
        <f>IF(SpecimenColumnFinder[[#This Row],[REQUIRED]]="Optional",0,
IF(SpecimenColumnFinder[[#This Row],[VBV or Column]]="Value-By-Value",NumSpecimens,
1))</f>
        <v>0</v>
      </c>
      <c r="I11"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1" s="173" t="str">
        <f>IF(SpecimenColumnFinder[[#This Row],[Num Given]]&lt;SpecimenColumnFinder[[#This Row],[Num Required]],
"MISSING",
"OK")</f>
        <v>OK</v>
      </c>
      <c r="K11" s="173"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1" s="173" t="e">
        <f>INDIRECT(SpecimenColumnFinder[[#This Row],[First Value Address]],FALSE)</f>
        <v>#REF!</v>
      </c>
    </row>
    <row r="12" spans="1:15" x14ac:dyDescent="0.25">
      <c r="A12" t="s">
        <v>1332</v>
      </c>
      <c r="B12" s="5" t="s">
        <v>1370</v>
      </c>
      <c r="C12" s="5" t="s">
        <v>196</v>
      </c>
      <c r="D12" s="5" t="s">
        <v>1372</v>
      </c>
      <c r="E12" s="5" t="s">
        <v>1366</v>
      </c>
      <c r="F12" s="5" t="e">
        <f>MATCH(SpecimenColumnFinder[[#This Row],[DataType]],DataColumns[#Headers],0)</f>
        <v>#N/A</v>
      </c>
      <c r="G12" s="5" t="e">
        <f>MATCH(SpecimenColumnFinder[[#This Row],[DataType]],DataColumns[ColumnType],0)</f>
        <v>#N/A</v>
      </c>
      <c r="H12" s="5">
        <f>IF(SpecimenColumnFinder[[#This Row],[REQUIRED]]="Optional",0,
IF(SpecimenColumnFinder[[#This Row],[VBV or Column]]="Value-By-Value",NumSpecimens,
1))</f>
        <v>0</v>
      </c>
      <c r="I12"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2" s="173" t="str">
        <f>IF(SpecimenColumnFinder[[#This Row],[Num Given]]&lt;SpecimenColumnFinder[[#This Row],[Num Required]],
"MISSING",
"OK")</f>
        <v>OK</v>
      </c>
      <c r="K12" s="173"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2" s="173" t="e">
        <f>INDIRECT(SpecimenColumnFinder[[#This Row],[First Value Address]],FALSE)</f>
        <v>#REF!</v>
      </c>
    </row>
    <row r="13" spans="1:15" x14ac:dyDescent="0.25">
      <c r="A13" t="s">
        <v>1331</v>
      </c>
      <c r="B13" s="5" t="s">
        <v>1486</v>
      </c>
      <c r="D13" s="5" t="s">
        <v>1372</v>
      </c>
      <c r="E13" s="5" t="s">
        <v>1366</v>
      </c>
      <c r="F13" s="5" t="e">
        <f>MATCH(SpecimenColumnFinder[[#This Row],[DataType]],DataColumns[#Headers],0)</f>
        <v>#N/A</v>
      </c>
      <c r="G13" s="5" t="e">
        <f>MATCH(SpecimenColumnFinder[[#This Row],[DataType]],DataColumns[ColumnType],0)</f>
        <v>#N/A</v>
      </c>
      <c r="H13" s="5">
        <f>IF(SpecimenColumnFinder[[#This Row],[REQUIRED]]="Optional",0,
IF(SpecimenColumnFinder[[#This Row],[VBV or Column]]="Value-By-Value",NumSpecimens,
1))</f>
        <v>0</v>
      </c>
      <c r="I13"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3" s="173" t="str">
        <f>IF(SpecimenColumnFinder[[#This Row],[Num Given]]&lt;SpecimenColumnFinder[[#This Row],[Num Required]],
"MISSING",
"OK")</f>
        <v>OK</v>
      </c>
      <c r="K13" s="173"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3" s="173" t="e">
        <f>INDIRECT(SpecimenColumnFinder[[#This Row],[First Value Address]],FALSE)</f>
        <v>#REF!</v>
      </c>
    </row>
    <row r="14" spans="1:15" x14ac:dyDescent="0.25">
      <c r="A14" t="s">
        <v>1387</v>
      </c>
      <c r="B14" s="5" t="s">
        <v>226</v>
      </c>
      <c r="C14" s="5" t="s">
        <v>188</v>
      </c>
      <c r="D14" s="5" t="s">
        <v>1324</v>
      </c>
      <c r="E14" s="5" t="s">
        <v>1365</v>
      </c>
      <c r="F14" s="5">
        <f>MATCH(SpecimenColumnFinder[[#This Row],[DataType]],DataColumns[#Headers],0)</f>
        <v>12</v>
      </c>
      <c r="G14" s="5" t="e">
        <f>MATCH(SpecimenColumnFinder[[#This Row],[DataType]],DataColumns[ColumnType],0)</f>
        <v>#N/A</v>
      </c>
      <c r="H14">
        <f>IF(SpecimenColumnFinder[[#This Row],[REQUIRED]]="Optional",0,
IF(SpecimenColumnFinder[[#This Row],[VBV or Column]]="Value-By-Value",NumSpecimens,
1))</f>
        <v>1</v>
      </c>
      <c r="I14">
        <f>IF(ISERROR(SpecimenColumnFinder[[#This Row],[Data Values Column Number]]),
IF(ISERROR(INDEX(DataColumns[],SpecimenColumnNumber,SpecimenColumnFinder[[#This Row],[Data Columns Input Column]])),
0,
1),
COUNTA(INDIRECT(CONCATENATE("'Data Values'!C",SpecimenColumnFinder[[#This Row],[Data Values Column Number]]),FALSE))-1)</f>
        <v>0</v>
      </c>
      <c r="J14" s="173" t="str">
        <f>IF(SpecimenColumnFinder[[#This Row],[Num Given]]&lt;SpecimenColumnFinder[[#This Row],[Num Required]],
"MISSING",
"OK")</f>
        <v>MISSING</v>
      </c>
      <c r="K14" s="173"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4" s="173" t="e">
        <f>INDIRECT(SpecimenColumnFinder[[#This Row],[First Value Address]],FALSE)</f>
        <v>#N/A</v>
      </c>
    </row>
    <row r="15" spans="1:15" x14ac:dyDescent="0.25">
      <c r="A15" t="s">
        <v>1326</v>
      </c>
      <c r="B15" s="5" t="s">
        <v>226</v>
      </c>
      <c r="C15" s="5" t="s">
        <v>201</v>
      </c>
      <c r="D15" s="5" t="s">
        <v>1324</v>
      </c>
      <c r="E15" s="5" t="s">
        <v>1365</v>
      </c>
      <c r="F15" s="5">
        <f>MATCH(SpecimenColumnFinder[[#This Row],[DataType]],DataColumns[#Headers],0)</f>
        <v>10</v>
      </c>
      <c r="G15" s="5" t="e">
        <f>MATCH(SpecimenColumnFinder[[#This Row],[DataType]],DataColumns[ColumnType],0)</f>
        <v>#N/A</v>
      </c>
      <c r="H15" s="5">
        <f>IF(SpecimenColumnFinder[[#This Row],[REQUIRED]]="Optional",0,
IF(SpecimenColumnFinder[[#This Row],[VBV or Column]]="Value-By-Value",NumSpecimens,
1))</f>
        <v>1</v>
      </c>
      <c r="I15"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5" s="173" t="str">
        <f>IF(SpecimenColumnFinder[[#This Row],[Num Given]]&lt;SpecimenColumnFinder[[#This Row],[Num Required]],
"MISSING",
"OK")</f>
        <v>MISSING</v>
      </c>
      <c r="K15" s="173"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5" s="173" t="e">
        <f>INDIRECT(SpecimenColumnFinder[[#This Row],[First Value Address]],FALSE)</f>
        <v>#N/A</v>
      </c>
    </row>
    <row r="16" spans="1:15" x14ac:dyDescent="0.25">
      <c r="A16" t="s">
        <v>196</v>
      </c>
      <c r="B16" s="5" t="s">
        <v>226</v>
      </c>
      <c r="D16" s="5" t="s">
        <v>1324</v>
      </c>
      <c r="E16" s="5" t="s">
        <v>1365</v>
      </c>
      <c r="F16" s="5">
        <f>MATCH(SpecimenColumnFinder[[#This Row],[DataType]],DataColumns[#Headers],0)</f>
        <v>11</v>
      </c>
      <c r="G16" s="5" t="e">
        <f>MATCH(SpecimenColumnFinder[[#This Row],[DataType]],DataColumns[ColumnType],0)</f>
        <v>#N/A</v>
      </c>
      <c r="H16" s="5">
        <f>IF(SpecimenColumnFinder[[#This Row],[REQUIRED]]="Optional",0,
IF(SpecimenColumnFinder[[#This Row],[VBV or Column]]="Value-By-Value",NumSpecimens,
1))</f>
        <v>1</v>
      </c>
      <c r="I16"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6" s="173" t="str">
        <f>IF(SpecimenColumnFinder[[#This Row],[Num Given]]&lt;SpecimenColumnFinder[[#This Row],[Num Required]],
"MISSING",
"OK")</f>
        <v>MISSING</v>
      </c>
      <c r="K16" s="173"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6" s="173" t="e">
        <f>INDIRECT(SpecimenColumnFinder[[#This Row],[First Value Address]],FALSE)</f>
        <v>#N/A</v>
      </c>
    </row>
  </sheetData>
  <sortState ref="A2:A26">
    <sortCondition ref="A2:A26"/>
  </sortState>
  <pageMargins left="0.7" right="0.7" top="0.75" bottom="0.75" header="0.3" footer="0.3"/>
  <pageSetup orientation="portrait"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19"/>
  <sheetViews>
    <sheetView workbookViewId="0"/>
  </sheetViews>
  <sheetFormatPr defaultRowHeight="15" x14ac:dyDescent="0.25"/>
  <cols>
    <col min="1" max="1" width="32" bestFit="1" customWidth="1"/>
    <col min="2" max="2" width="36.7109375" bestFit="1" customWidth="1"/>
    <col min="3" max="3" width="21.5703125" bestFit="1" customWidth="1"/>
    <col min="4" max="4" width="10" bestFit="1" customWidth="1"/>
    <col min="5" max="5" width="15" bestFit="1" customWidth="1"/>
    <col min="6" max="6" width="5.28515625" bestFit="1" customWidth="1"/>
    <col min="7" max="7" width="22.42578125" bestFit="1" customWidth="1"/>
    <col min="8" max="8" width="53.7109375" style="5" bestFit="1" customWidth="1"/>
    <col min="9" max="9" width="33" style="5" bestFit="1" customWidth="1"/>
    <col min="10" max="10" width="11.42578125" style="5" bestFit="1" customWidth="1"/>
    <col min="11" max="11" width="15.7109375" style="5" bestFit="1" customWidth="1"/>
    <col min="12" max="12" width="9.140625" bestFit="1" customWidth="1"/>
    <col min="13" max="13" width="8.42578125" bestFit="1" customWidth="1"/>
    <col min="14" max="14" width="8.5703125" bestFit="1" customWidth="1"/>
    <col min="15" max="15" width="6.28515625" bestFit="1" customWidth="1"/>
    <col min="16" max="16" width="21.42578125" bestFit="1" customWidth="1"/>
    <col min="17" max="17" width="12.7109375" bestFit="1" customWidth="1"/>
  </cols>
  <sheetData>
    <row r="1" spans="1:17" s="5" customFormat="1" ht="60" x14ac:dyDescent="0.25">
      <c r="A1" s="188" t="s">
        <v>1382</v>
      </c>
      <c r="B1" s="188" t="s">
        <v>1414</v>
      </c>
      <c r="C1" s="188" t="s">
        <v>1373</v>
      </c>
      <c r="D1" s="188" t="s">
        <v>1324</v>
      </c>
      <c r="E1" s="188" t="s">
        <v>1413</v>
      </c>
      <c r="F1" s="188" t="s">
        <v>1430</v>
      </c>
      <c r="G1" s="188" t="s">
        <v>1429</v>
      </c>
      <c r="H1" s="188" t="s">
        <v>1431</v>
      </c>
      <c r="I1" s="188" t="s">
        <v>1435</v>
      </c>
      <c r="J1" s="188" t="s">
        <v>1415</v>
      </c>
      <c r="K1" s="188" t="s">
        <v>1432</v>
      </c>
      <c r="L1" s="188" t="s">
        <v>1386</v>
      </c>
      <c r="M1" s="188" t="s">
        <v>1417</v>
      </c>
      <c r="N1" s="188" t="s">
        <v>1418</v>
      </c>
      <c r="O1" s="188" t="s">
        <v>1412</v>
      </c>
      <c r="P1" s="188" t="s">
        <v>1433</v>
      </c>
      <c r="Q1" s="188" t="s">
        <v>1419</v>
      </c>
    </row>
    <row r="2" spans="1:17" x14ac:dyDescent="0.25">
      <c r="A2" t="s">
        <v>1393</v>
      </c>
      <c r="B2" t="s">
        <v>1367</v>
      </c>
      <c r="C2" t="s">
        <v>1374</v>
      </c>
      <c r="D2" t="s">
        <v>1372</v>
      </c>
      <c r="E2" t="s">
        <v>1365</v>
      </c>
      <c r="F2" s="5">
        <v>1</v>
      </c>
      <c r="G2" s="5" t="e">
        <f>INDEX(DataColumns[ColumnLabel],MATCH(ResultColumnFinder[[#This Row],[DV Num]],DataColumns[DVNum],0))</f>
        <v>#N/A</v>
      </c>
      <c r="H2" s="5" t="e">
        <f>CONCATENATE(ResultColumnFinder[[#This Row],[DataType]],ResultColumnFinder[[#This Row],[Data Value Label]])</f>
        <v>#N/A</v>
      </c>
      <c r="I2" s="5" t="str">
        <f>CONCATENATE(ResultColumnFinder[[#This Row],[DataType]],ResultColumnFinder[[#This Row],[DV Num]])</f>
        <v>ResultAnalyst1</v>
      </c>
      <c r="J2">
        <f>MATCH(ResultColumnFinder[[#This Row],[DataType]],DataColumns[#Headers],0)</f>
        <v>18</v>
      </c>
      <c r="K2" s="5" t="e">
        <f>MATCH(CONCATENATE("ResultValue",ResultColumnFinder[[#This Row],[Data Value Label]]),DataColumns[Concat],0)</f>
        <v>#N/A</v>
      </c>
      <c r="L2" t="e">
        <f>MATCH(ResultColumnFinder[[#This Row],[Concat]],DataColumns[Concat],0)</f>
        <v>#N/A</v>
      </c>
      <c r="M2">
        <f>IF(ResultColumnFinder[[#This Row],[REQUIRED]]="Optional",0,
IF(ResultColumnFinder[[#This Row],[VBV or Column]]="Value-By-Value",NumSpecimens,
1))</f>
        <v>0</v>
      </c>
      <c r="N2" t="e">
        <f>IF(ISERROR(ResultColumnFinder[[#This Row],[Data Values Column Number]]),
IF(ISERROR(ResultColumnFinder[[#This Row],[Data Columns Input Column]]),
0,
IF(INDEX(DataColumns[],ResultColumnFinder[[#This Row],[Data Values Input Row]],ResultColumnFinder[[#This Row],[Data Columns Input Column]])="",
0,
1)),
1)</f>
        <v>#N/A</v>
      </c>
      <c r="O2" t="e">
        <f>IF(ResultColumnFinder[[#This Row],[Num Given]]&lt;ResultColumnFinder[[#This Row],[Num Required]],
"MISSING",
"OK")</f>
        <v>#N/A</v>
      </c>
      <c r="P2"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2" s="5" t="e">
        <f>INDIRECT(ResultColumnFinder[[#This Row],[First Value Address]],FALSE)</f>
        <v>#N/A</v>
      </c>
    </row>
    <row r="3" spans="1:17" x14ac:dyDescent="0.25">
      <c r="A3" t="s">
        <v>1454</v>
      </c>
      <c r="B3" t="s">
        <v>1179</v>
      </c>
      <c r="C3" t="s">
        <v>1378</v>
      </c>
      <c r="D3" t="s">
        <v>1324</v>
      </c>
      <c r="E3" t="s">
        <v>1365</v>
      </c>
      <c r="F3" s="5">
        <v>1</v>
      </c>
      <c r="G3" s="5" t="e">
        <f>INDEX(DataColumns[ColumnLabel],MATCH(ResultColumnFinder[[#This Row],[DV Num]],DataColumns[DVNum],0))</f>
        <v>#N/A</v>
      </c>
      <c r="H3" s="5" t="e">
        <f>CONCATENATE(ResultColumnFinder[[#This Row],[DataType]],ResultColumnFinder[[#This Row],[Data Value Label]])</f>
        <v>#N/A</v>
      </c>
      <c r="I3" s="5" t="str">
        <f>CONCATENATE(ResultColumnFinder[[#This Row],[DataType]],ResultColumnFinder[[#This Row],[DV Num]])</f>
        <v>AnalysisMethodCode1</v>
      </c>
      <c r="J3">
        <f>MATCH(ResultColumnFinder[[#This Row],[DataType]],DataColumns[#Headers],0)</f>
        <v>20</v>
      </c>
      <c r="K3" s="5" t="e">
        <f>MATCH(CONCATENATE("ResultValue",ResultColumnFinder[[#This Row],[Data Value Label]]),DataColumns[Concat],0)</f>
        <v>#N/A</v>
      </c>
      <c r="L3" s="5" t="e">
        <f>MATCH(ResultColumnFinder[[#This Row],[Concat]],DataColumns[Concat],0)</f>
        <v>#N/A</v>
      </c>
      <c r="M3">
        <f>IF(ResultColumnFinder[[#This Row],[REQUIRED]]="Optional",0,
IF(ResultColumnFinder[[#This Row],[VBV or Column]]="Value-By-Value",NumSpecimens,
1))</f>
        <v>1</v>
      </c>
      <c r="N3" t="e">
        <f>IF(ISERROR(ResultColumnFinder[[#This Row],[Data Values Column Number]]),
IF(ISERROR(ResultColumnFinder[[#This Row],[Data Columns Input Column]]),
0,
IF(INDEX(DataColumns[],ResultColumnFinder[[#This Row],[Data Values Input Row]],ResultColumnFinder[[#This Row],[Data Columns Input Column]])="",
0,
1)),
1)</f>
        <v>#N/A</v>
      </c>
      <c r="O3" t="e">
        <f>IF(ResultColumnFinder[[#This Row],[Num Given]]&lt;ResultColumnFinder[[#This Row],[Num Required]],
"MISSING",
"OK")</f>
        <v>#N/A</v>
      </c>
      <c r="P3"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3" s="5" t="e">
        <f>INDIRECT(ResultColumnFinder[[#This Row],[First Value Address]],FALSE)</f>
        <v>#N/A</v>
      </c>
    </row>
    <row r="4" spans="1:17" x14ac:dyDescent="0.25">
      <c r="A4" t="s">
        <v>1154</v>
      </c>
      <c r="B4" t="s">
        <v>1368</v>
      </c>
      <c r="C4" t="s">
        <v>1154</v>
      </c>
      <c r="D4" t="s">
        <v>1324</v>
      </c>
      <c r="E4" t="s">
        <v>1365</v>
      </c>
      <c r="F4" s="5">
        <v>1</v>
      </c>
      <c r="G4" s="5" t="e">
        <f>INDEX(DataColumns[ColumnLabel],MATCH(ResultColumnFinder[[#This Row],[DV Num]],DataColumns[DVNum],0))</f>
        <v>#N/A</v>
      </c>
      <c r="H4" s="5" t="e">
        <f>CONCATENATE(ResultColumnFinder[[#This Row],[DataType]],ResultColumnFinder[[#This Row],[Data Value Label]])</f>
        <v>#N/A</v>
      </c>
      <c r="I4" s="5" t="str">
        <f>CONCATENATE(ResultColumnFinder[[#This Row],[DataType]],ResultColumnFinder[[#This Row],[DV Num]])</f>
        <v>AggregationStatisticCV1</v>
      </c>
      <c r="J4">
        <f>MATCH(ResultColumnFinder[[#This Row],[DataType]],DataColumns[#Headers],0)</f>
        <v>27</v>
      </c>
      <c r="K4" s="5" t="e">
        <f>MATCH(CONCATENATE("ResultValue",ResultColumnFinder[[#This Row],[Data Value Label]]),DataColumns[Concat],0)</f>
        <v>#N/A</v>
      </c>
      <c r="L4" s="5" t="e">
        <f>MATCH(ResultColumnFinder[[#This Row],[Concat]],DataColumns[Concat],0)</f>
        <v>#N/A</v>
      </c>
      <c r="M4">
        <f>IF(ResultColumnFinder[[#This Row],[REQUIRED]]="Optional",0,
IF(ResultColumnFinder[[#This Row],[VBV or Column]]="Value-By-Value",NumSpecimens,
1))</f>
        <v>1</v>
      </c>
      <c r="N4" t="e">
        <f>IF(ISERROR(ResultColumnFinder[[#This Row],[Data Values Column Number]]),
IF(ISERROR(ResultColumnFinder[[#This Row],[Data Columns Input Column]]),
0,
IF(INDEX(DataColumns[],ResultColumnFinder[[#This Row],[Data Values Input Row]],ResultColumnFinder[[#This Row],[Data Columns Input Column]])="",
0,
1)),
1)</f>
        <v>#N/A</v>
      </c>
      <c r="O4" t="e">
        <f>IF(ResultColumnFinder[[#This Row],[Num Given]]&lt;ResultColumnFinder[[#This Row],[Num Required]],
"MISSING",
"OK")</f>
        <v>#N/A</v>
      </c>
      <c r="P4"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4" t="e">
        <f>INDIRECT(ResultColumnFinder[[#This Row],[First Value Address]],FALSE)</f>
        <v>#N/A</v>
      </c>
    </row>
    <row r="5" spans="1:17" x14ac:dyDescent="0.25">
      <c r="A5" t="s">
        <v>1143</v>
      </c>
      <c r="B5" t="s">
        <v>1368</v>
      </c>
      <c r="C5" t="s">
        <v>1143</v>
      </c>
      <c r="D5" t="s">
        <v>1324</v>
      </c>
      <c r="E5" t="s">
        <v>1365</v>
      </c>
      <c r="F5" s="5">
        <v>1</v>
      </c>
      <c r="G5" s="5" t="e">
        <f>INDEX(DataColumns[ColumnLabel],MATCH(ResultColumnFinder[[#This Row],[DV Num]],DataColumns[DVNum],0))</f>
        <v>#N/A</v>
      </c>
      <c r="H5" s="5" t="e">
        <f>CONCATENATE(ResultColumnFinder[[#This Row],[DataType]],ResultColumnFinder[[#This Row],[Data Value Label]])</f>
        <v>#N/A</v>
      </c>
      <c r="I5" s="5" t="str">
        <f>CONCATENATE(ResultColumnFinder[[#This Row],[DataType]],ResultColumnFinder[[#This Row],[DV Num]])</f>
        <v>CensorCodeCV1</v>
      </c>
      <c r="J5">
        <f>MATCH(ResultColumnFinder[[#This Row],[DataType]],DataColumns[#Headers],0)</f>
        <v>22</v>
      </c>
      <c r="K5" s="5" t="e">
        <f>MATCH(CONCATENATE("ResultValue",ResultColumnFinder[[#This Row],[Data Value Label]]),DataColumns[Concat],0)</f>
        <v>#N/A</v>
      </c>
      <c r="L5" s="5" t="e">
        <f>MATCH(ResultColumnFinder[[#This Row],[Concat]],DataColumns[Concat],0)</f>
        <v>#N/A</v>
      </c>
      <c r="M5">
        <f>IF(ResultColumnFinder[[#This Row],[REQUIRED]]="Optional",0,
IF(ResultColumnFinder[[#This Row],[VBV or Column]]="Value-By-Value",NumSpecimens,
1))</f>
        <v>1</v>
      </c>
      <c r="N5" t="e">
        <f>IF(ISERROR(ResultColumnFinder[[#This Row],[Data Values Column Number]]),
IF(ISERROR(ResultColumnFinder[[#This Row],[Data Columns Input Column]]),
0,
IF(INDEX(DataColumns[],ResultColumnFinder[[#This Row],[Data Values Input Row]],ResultColumnFinder[[#This Row],[Data Columns Input Column]])="",
0,
1)),
1)</f>
        <v>#N/A</v>
      </c>
      <c r="O5" t="e">
        <f>IF(ResultColumnFinder[[#This Row],[Num Given]]&lt;ResultColumnFinder[[#This Row],[Num Required]],
"MISSING",
"OK")</f>
        <v>#N/A</v>
      </c>
      <c r="P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5" s="5" t="e">
        <f>INDIRECT(ResultColumnFinder[[#This Row],[First Value Address]],FALSE)</f>
        <v>#N/A</v>
      </c>
    </row>
    <row r="6" spans="1:17" x14ac:dyDescent="0.25">
      <c r="A6" t="s">
        <v>1144</v>
      </c>
      <c r="B6" t="s">
        <v>1368</v>
      </c>
      <c r="C6" t="s">
        <v>1144</v>
      </c>
      <c r="D6" t="s">
        <v>1324</v>
      </c>
      <c r="E6" t="s">
        <v>1365</v>
      </c>
      <c r="F6" s="5">
        <v>1</v>
      </c>
      <c r="G6" s="5" t="e">
        <f>INDEX(DataColumns[ColumnLabel],MATCH(ResultColumnFinder[[#This Row],[DV Num]],DataColumns[DVNum],0))</f>
        <v>#N/A</v>
      </c>
      <c r="H6" s="5" t="e">
        <f>CONCATENATE(ResultColumnFinder[[#This Row],[DataType]],ResultColumnFinder[[#This Row],[Data Value Label]])</f>
        <v>#N/A</v>
      </c>
      <c r="I6" s="5" t="str">
        <f>CONCATENATE(ResultColumnFinder[[#This Row],[DataType]],ResultColumnFinder[[#This Row],[DV Num]])</f>
        <v>QualityCodeCV1</v>
      </c>
      <c r="J6">
        <f>MATCH(ResultColumnFinder[[#This Row],[DataType]],DataColumns[#Headers],0)</f>
        <v>23</v>
      </c>
      <c r="K6" s="5" t="e">
        <f>MATCH(CONCATENATE("ResultValue",ResultColumnFinder[[#This Row],[Data Value Label]]),DataColumns[Concat],0)</f>
        <v>#N/A</v>
      </c>
      <c r="L6" s="5" t="e">
        <f>MATCH(ResultColumnFinder[[#This Row],[Concat]],DataColumns[Concat],0)</f>
        <v>#N/A</v>
      </c>
      <c r="M6">
        <f>IF(ResultColumnFinder[[#This Row],[REQUIRED]]="Optional",0,
IF(ResultColumnFinder[[#This Row],[VBV or Column]]="Value-By-Value",NumSpecimens,
1))</f>
        <v>1</v>
      </c>
      <c r="N6" t="e">
        <f>IF(ISERROR(ResultColumnFinder[[#This Row],[Data Values Column Number]]),
IF(ISERROR(ResultColumnFinder[[#This Row],[Data Columns Input Column]]),
0,
IF(INDEX(DataColumns[],ResultColumnFinder[[#This Row],[Data Values Input Row]],ResultColumnFinder[[#This Row],[Data Columns Input Column]])="",
0,
1)),
1)</f>
        <v>#N/A</v>
      </c>
      <c r="O6" t="e">
        <f>IF(ResultColumnFinder[[#This Row],[Num Given]]&lt;ResultColumnFinder[[#This Row],[Num Required]],
"MISSING",
"OK")</f>
        <v>#N/A</v>
      </c>
      <c r="P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6" s="5" t="e">
        <f>INDIRECT(ResultColumnFinder[[#This Row],[First Value Address]],FALSE)</f>
        <v>#N/A</v>
      </c>
    </row>
    <row r="7" spans="1:17" x14ac:dyDescent="0.25">
      <c r="A7" t="s">
        <v>1304</v>
      </c>
      <c r="B7" t="s">
        <v>1368</v>
      </c>
      <c r="D7" t="s">
        <v>1324</v>
      </c>
      <c r="E7" t="s">
        <v>1365</v>
      </c>
      <c r="F7" s="5">
        <v>1</v>
      </c>
      <c r="G7" s="5" t="e">
        <f>INDEX(DataColumns[ColumnLabel],MATCH(ResultColumnFinder[[#This Row],[DV Num]],DataColumns[DVNum],0))</f>
        <v>#N/A</v>
      </c>
      <c r="H7" s="5" t="e">
        <f>CONCATENATE(ResultColumnFinder[[#This Row],[DataType]],ResultColumnFinder[[#This Row],[Data Value Label]])</f>
        <v>#N/A</v>
      </c>
      <c r="I7" s="5" t="str">
        <f>CONCATENATE(ResultColumnFinder[[#This Row],[DataType]],ResultColumnFinder[[#This Row],[DV Num]])</f>
        <v>TimeAggregationInterval1</v>
      </c>
      <c r="J7">
        <f>MATCH(ResultColumnFinder[[#This Row],[DataType]],DataColumns[#Headers],0)</f>
        <v>25</v>
      </c>
      <c r="K7" s="5" t="e">
        <f>MATCH(CONCATENATE("ResultValue",ResultColumnFinder[[#This Row],[Data Value Label]]),DataColumns[Concat],0)</f>
        <v>#N/A</v>
      </c>
      <c r="L7" s="5" t="e">
        <f>MATCH(ResultColumnFinder[[#This Row],[Concat]],DataColumns[Concat],0)</f>
        <v>#N/A</v>
      </c>
      <c r="M7">
        <f>IF(ResultColumnFinder[[#This Row],[REQUIRED]]="Optional",0,
IF(ResultColumnFinder[[#This Row],[VBV or Column]]="Value-By-Value",NumSpecimens,
1))</f>
        <v>1</v>
      </c>
      <c r="N7" t="e">
        <f>IF(ISERROR(ResultColumnFinder[[#This Row],[Data Values Column Number]]),
IF(ISERROR(ResultColumnFinder[[#This Row],[Data Columns Input Column]]),
0,
IF(INDEX(DataColumns[],ResultColumnFinder[[#This Row],[Data Values Input Row]],ResultColumnFinder[[#This Row],[Data Columns Input Column]])="",
0,
1)),
1)</f>
        <v>#N/A</v>
      </c>
      <c r="O7" t="e">
        <f>IF(ResultColumnFinder[[#This Row],[Num Given]]&lt;ResultColumnFinder[[#This Row],[Num Required]],
"MISSING",
"OK")</f>
        <v>#N/A</v>
      </c>
      <c r="P7"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7" s="5" t="e">
        <f>INDIRECT(ResultColumnFinder[[#This Row],[First Value Address]],FALSE)</f>
        <v>#N/A</v>
      </c>
    </row>
    <row r="8" spans="1:17" x14ac:dyDescent="0.25">
      <c r="A8" t="s">
        <v>1305</v>
      </c>
      <c r="B8" t="s">
        <v>1368</v>
      </c>
      <c r="D8" t="s">
        <v>1324</v>
      </c>
      <c r="E8" t="s">
        <v>1365</v>
      </c>
      <c r="F8" s="5">
        <v>1</v>
      </c>
      <c r="G8" s="5" t="e">
        <f>INDEX(DataColumns[ColumnLabel],MATCH(ResultColumnFinder[[#This Row],[DV Num]],DataColumns[DVNum],0))</f>
        <v>#N/A</v>
      </c>
      <c r="H8" s="5" t="e">
        <f>CONCATENATE(ResultColumnFinder[[#This Row],[DataType]],ResultColumnFinder[[#This Row],[Data Value Label]])</f>
        <v>#N/A</v>
      </c>
      <c r="I8" s="5" t="str">
        <f>CONCATENATE(ResultColumnFinder[[#This Row],[DataType]],ResultColumnFinder[[#This Row],[DV Num]])</f>
        <v>TimeAggregationIntervalUnitCode1</v>
      </c>
      <c r="J8">
        <f>MATCH(ResultColumnFinder[[#This Row],[DataType]],DataColumns[#Headers],0)</f>
        <v>26</v>
      </c>
      <c r="K8" s="5" t="e">
        <f>MATCH(CONCATENATE("ResultValue",ResultColumnFinder[[#This Row],[Data Value Label]]),DataColumns[Concat],0)</f>
        <v>#N/A</v>
      </c>
      <c r="L8" s="5" t="e">
        <f>MATCH(ResultColumnFinder[[#This Row],[Concat]],DataColumns[Concat],0)</f>
        <v>#N/A</v>
      </c>
      <c r="M8">
        <f>IF(ResultColumnFinder[[#This Row],[REQUIRED]]="Optional",0,
IF(ResultColumnFinder[[#This Row],[VBV or Column]]="Value-By-Value",NumSpecimens,
1))</f>
        <v>1</v>
      </c>
      <c r="N8" t="e">
        <f>IF(ISERROR(ResultColumnFinder[[#This Row],[Data Values Column Number]]),
IF(ISERROR(ResultColumnFinder[[#This Row],[Data Columns Input Column]]),
0,
IF(INDEX(DataColumns[],ResultColumnFinder[[#This Row],[Data Values Input Row]],ResultColumnFinder[[#This Row],[Data Columns Input Column]])="",
0,
1)),
1)</f>
        <v>#N/A</v>
      </c>
      <c r="O8" t="e">
        <f>IF(ResultColumnFinder[[#This Row],[Num Given]]&lt;ResultColumnFinder[[#This Row],[Num Required]],
"MISSING",
"OK")</f>
        <v>#N/A</v>
      </c>
      <c r="P8"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8" s="5" t="e">
        <f>INDIRECT(ResultColumnFinder[[#This Row],[First Value Address]],FALSE)</f>
        <v>#N/A</v>
      </c>
    </row>
    <row r="9" spans="1:17" x14ac:dyDescent="0.25">
      <c r="A9" t="s">
        <v>1306</v>
      </c>
      <c r="B9" t="s">
        <v>1184</v>
      </c>
      <c r="C9" t="s">
        <v>1375</v>
      </c>
      <c r="D9" t="s">
        <v>1324</v>
      </c>
      <c r="E9" t="s">
        <v>1365</v>
      </c>
      <c r="F9" s="5">
        <v>1</v>
      </c>
      <c r="G9" s="5" t="e">
        <f>INDEX(DataColumns[ColumnLabel],MATCH(ResultColumnFinder[[#This Row],[DV Num]],DataColumns[DVNum],0))</f>
        <v>#N/A</v>
      </c>
      <c r="H9" s="5" t="e">
        <f>CONCATENATE(ResultColumnFinder[[#This Row],[DataType]],ResultColumnFinder[[#This Row],[Data Value Label]])</f>
        <v>#N/A</v>
      </c>
      <c r="I9" s="5" t="str">
        <f>CONCATENATE(ResultColumnFinder[[#This Row],[DataType]],ResultColumnFinder[[#This Row],[DV Num]])</f>
        <v>ProcessingLevelCode1</v>
      </c>
      <c r="J9">
        <f>MATCH(ResultColumnFinder[[#This Row],[DataType]],DataColumns[#Headers],0)</f>
        <v>21</v>
      </c>
      <c r="K9" s="5" t="e">
        <f>MATCH(CONCATENATE("ResultValue",ResultColumnFinder[[#This Row],[Data Value Label]]),DataColumns[Concat],0)</f>
        <v>#N/A</v>
      </c>
      <c r="L9" s="5" t="e">
        <f>MATCH(ResultColumnFinder[[#This Row],[Concat]],DataColumns[Concat],0)</f>
        <v>#N/A</v>
      </c>
      <c r="M9">
        <f>IF(ResultColumnFinder[[#This Row],[REQUIRED]]="Optional",0,
IF(ResultColumnFinder[[#This Row],[VBV or Column]]="Value-By-Value",NumSpecimens,
1))</f>
        <v>1</v>
      </c>
      <c r="N9" t="e">
        <f>IF(ISERROR(ResultColumnFinder[[#This Row],[Data Values Column Number]]),
IF(ISERROR(ResultColumnFinder[[#This Row],[Data Columns Input Column]]),
0,
IF(INDEX(DataColumns[],ResultColumnFinder[[#This Row],[Data Values Input Row]],ResultColumnFinder[[#This Row],[Data Columns Input Column]])="",
0,
1)),
1)</f>
        <v>#N/A</v>
      </c>
      <c r="O9" t="e">
        <f>IF(ResultColumnFinder[[#This Row],[Num Given]]&lt;ResultColumnFinder[[#This Row],[Num Required]],
"MISSING",
"OK")</f>
        <v>#N/A</v>
      </c>
      <c r="P9"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9" s="5" t="e">
        <f>INDIRECT(ResultColumnFinder[[#This Row],[First Value Address]],FALSE)</f>
        <v>#N/A</v>
      </c>
    </row>
    <row r="10" spans="1:17" x14ac:dyDescent="0.25">
      <c r="A10" t="s">
        <v>1138</v>
      </c>
      <c r="B10" t="s">
        <v>1184</v>
      </c>
      <c r="C10" t="s">
        <v>1138</v>
      </c>
      <c r="D10" t="s">
        <v>1324</v>
      </c>
      <c r="E10" t="s">
        <v>1365</v>
      </c>
      <c r="F10" s="5">
        <v>1</v>
      </c>
      <c r="G10" s="5" t="e">
        <f>INDEX(DataColumns[ColumnLabel],MATCH(ResultColumnFinder[[#This Row],[DV Num]],DataColumns[DVNum],0))</f>
        <v>#N/A</v>
      </c>
      <c r="H10" s="5" t="e">
        <f>CONCATENATE(ResultColumnFinder[[#This Row],[DataType]],ResultColumnFinder[[#This Row],[Data Value Label]])</f>
        <v>#N/A</v>
      </c>
      <c r="I10" s="5" t="str">
        <f>CONCATENATE(ResultColumnFinder[[#This Row],[DataType]],ResultColumnFinder[[#This Row],[DV Num]])</f>
        <v>ResultTypeCV1</v>
      </c>
      <c r="J10">
        <f>MATCH(ResultColumnFinder[[#This Row],[DataType]],DataColumns[#Headers],0)</f>
        <v>14</v>
      </c>
      <c r="K10" s="5" t="e">
        <f>MATCH(CONCATENATE("ResultValue",ResultColumnFinder[[#This Row],[Data Value Label]]),DataColumns[Concat],0)</f>
        <v>#N/A</v>
      </c>
      <c r="L10" s="5" t="e">
        <f>MATCH(ResultColumnFinder[[#This Row],[Concat]],DataColumns[Concat],0)</f>
        <v>#N/A</v>
      </c>
      <c r="M10">
        <f>IF(ResultColumnFinder[[#This Row],[REQUIRED]]="Optional",0,
IF(ResultColumnFinder[[#This Row],[VBV or Column]]="Value-By-Value",NumSpecimens,
1))</f>
        <v>1</v>
      </c>
      <c r="N10" t="e">
        <f>IF(ISERROR(ResultColumnFinder[[#This Row],[Data Values Column Number]]),
IF(ISERROR(ResultColumnFinder[[#This Row],[Data Columns Input Column]]),
0,
IF(INDEX(DataColumns[],ResultColumnFinder[[#This Row],[Data Values Input Row]],ResultColumnFinder[[#This Row],[Data Columns Input Column]])="",
0,
1)),
1)</f>
        <v>#N/A</v>
      </c>
      <c r="O10" t="e">
        <f>IF(ResultColumnFinder[[#This Row],[Num Given]]&lt;ResultColumnFinder[[#This Row],[Num Required]],
"MISSING",
"OK")</f>
        <v>#N/A</v>
      </c>
      <c r="P10"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0" s="5" t="e">
        <f>INDIRECT(ResultColumnFinder[[#This Row],[First Value Address]],FALSE)</f>
        <v>#N/A</v>
      </c>
    </row>
    <row r="11" spans="1:17" x14ac:dyDescent="0.25">
      <c r="A11" t="s">
        <v>201</v>
      </c>
      <c r="B11" t="s">
        <v>1184</v>
      </c>
      <c r="C11" t="s">
        <v>201</v>
      </c>
      <c r="D11" t="s">
        <v>1324</v>
      </c>
      <c r="E11" t="s">
        <v>1365</v>
      </c>
      <c r="F11" s="5">
        <v>1</v>
      </c>
      <c r="G11" s="5" t="e">
        <f>INDEX(DataColumns[ColumnLabel],MATCH(ResultColumnFinder[[#This Row],[DV Num]],DataColumns[DVNum],0))</f>
        <v>#N/A</v>
      </c>
      <c r="H11" s="5" t="e">
        <f>CONCATENATE(ResultColumnFinder[[#This Row],[DataType]],ResultColumnFinder[[#This Row],[Data Value Label]])</f>
        <v>#N/A</v>
      </c>
      <c r="I11" s="5" t="str">
        <f>CONCATENATE(ResultColumnFinder[[#This Row],[DataType]],ResultColumnFinder[[#This Row],[DV Num]])</f>
        <v>SampledMediumCV1</v>
      </c>
      <c r="J11">
        <f>MATCH(ResultColumnFinder[[#This Row],[DataType]],DataColumns[#Headers],0)</f>
        <v>17</v>
      </c>
      <c r="K11" s="5" t="e">
        <f>MATCH(CONCATENATE("ResultValue",ResultColumnFinder[[#This Row],[Data Value Label]]),DataColumns[Concat],0)</f>
        <v>#N/A</v>
      </c>
      <c r="L11" s="5" t="e">
        <f>MATCH(ResultColumnFinder[[#This Row],[Concat]],DataColumns[Concat],0)</f>
        <v>#N/A</v>
      </c>
      <c r="M11">
        <f>IF(ResultColumnFinder[[#This Row],[REQUIRED]]="Optional",0,
IF(ResultColumnFinder[[#This Row],[VBV or Column]]="Value-By-Value",NumSpecimens,
1))</f>
        <v>1</v>
      </c>
      <c r="N11" t="e">
        <f>IF(ISERROR(ResultColumnFinder[[#This Row],[Data Values Column Number]]),
IF(ISERROR(ResultColumnFinder[[#This Row],[Data Columns Input Column]]),
0,
IF(INDEX(DataColumns[],ResultColumnFinder[[#This Row],[Data Values Input Row]],ResultColumnFinder[[#This Row],[Data Columns Input Column]])="",
0,
1)),
1)</f>
        <v>#N/A</v>
      </c>
      <c r="O11" t="e">
        <f>IF(ResultColumnFinder[[#This Row],[Num Given]]&lt;ResultColumnFinder[[#This Row],[Num Required]],
"MISSING",
"OK")</f>
        <v>#N/A</v>
      </c>
      <c r="P11"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1" s="5" t="e">
        <f>INDIRECT(ResultColumnFinder[[#This Row],[First Value Address]],FALSE)</f>
        <v>#N/A</v>
      </c>
    </row>
    <row r="12" spans="1:17" x14ac:dyDescent="0.25">
      <c r="A12" t="s">
        <v>1323</v>
      </c>
      <c r="B12" t="s">
        <v>1184</v>
      </c>
      <c r="C12" t="s">
        <v>1377</v>
      </c>
      <c r="D12" t="s">
        <v>1372</v>
      </c>
      <c r="E12" t="s">
        <v>1365</v>
      </c>
      <c r="F12" s="5">
        <v>1</v>
      </c>
      <c r="G12" s="5" t="e">
        <f>INDEX(DataColumns[ColumnLabel],MATCH(ResultColumnFinder[[#This Row],[DV Num]],DataColumns[DVNum],0))</f>
        <v>#N/A</v>
      </c>
      <c r="H12" s="5" t="e">
        <f>CONCATENATE(ResultColumnFinder[[#This Row],[DataType]],ResultColumnFinder[[#This Row],[Data Value Label]])</f>
        <v>#N/A</v>
      </c>
      <c r="I12" s="5" t="str">
        <f>CONCATENATE(ResultColumnFinder[[#This Row],[DataType]],ResultColumnFinder[[#This Row],[DV Num]])</f>
        <v>TaxonomicClassifierName1</v>
      </c>
      <c r="J12">
        <f>MATCH(ResultColumnFinder[[#This Row],[DataType]],DataColumns[#Headers],0)</f>
        <v>24</v>
      </c>
      <c r="K12" s="5" t="e">
        <f>MATCH(CONCATENATE("ResultValue",ResultColumnFinder[[#This Row],[Data Value Label]]),DataColumns[Concat],0)</f>
        <v>#N/A</v>
      </c>
      <c r="L12" s="5" t="e">
        <f>MATCH(ResultColumnFinder[[#This Row],[Concat]],DataColumns[Concat],0)</f>
        <v>#N/A</v>
      </c>
      <c r="M12">
        <f>IF(ResultColumnFinder[[#This Row],[REQUIRED]]="Optional",0,
IF(ResultColumnFinder[[#This Row],[VBV or Column]]="Value-By-Value",NumSpecimens,
1))</f>
        <v>0</v>
      </c>
      <c r="N12" t="e">
        <f>IF(ISERROR(ResultColumnFinder[[#This Row],[Data Values Column Number]]),
IF(ISERROR(ResultColumnFinder[[#This Row],[Data Columns Input Column]]),
0,
IF(INDEX(DataColumns[],ResultColumnFinder[[#This Row],[Data Values Input Row]],ResultColumnFinder[[#This Row],[Data Columns Input Column]])="",
0,
1)),
1)</f>
        <v>#N/A</v>
      </c>
      <c r="O12" t="e">
        <f>IF(ResultColumnFinder[[#This Row],[Num Given]]&lt;ResultColumnFinder[[#This Row],[Num Required]],
"MISSING",
"OK")</f>
        <v>#N/A</v>
      </c>
      <c r="P12"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2" s="5" t="e">
        <f>INDIRECT(ResultColumnFinder[[#This Row],[First Value Address]],FALSE)</f>
        <v>#N/A</v>
      </c>
    </row>
    <row r="13" spans="1:17" x14ac:dyDescent="0.25">
      <c r="A13" t="s">
        <v>1380</v>
      </c>
      <c r="B13" t="s">
        <v>1184</v>
      </c>
      <c r="D13" t="s">
        <v>1324</v>
      </c>
      <c r="E13" t="s">
        <v>1365</v>
      </c>
      <c r="F13" s="5">
        <v>1</v>
      </c>
      <c r="G13" s="5" t="e">
        <f>INDEX(DataColumns[ColumnLabel],MATCH(ResultColumnFinder[[#This Row],[DV Num]],DataColumns[DVNum],0))</f>
        <v>#N/A</v>
      </c>
      <c r="H13" s="5" t="e">
        <f>CONCATENATE(ResultColumnFinder[[#This Row],[DataType]],ResultColumnFinder[[#This Row],[Data Value Label]])</f>
        <v>#N/A</v>
      </c>
      <c r="I13" s="5" t="str">
        <f>CONCATENATE(ResultColumnFinder[[#This Row],[DataType]],ResultColumnFinder[[#This Row],[DV Num]])</f>
        <v>UnitName1</v>
      </c>
      <c r="J13">
        <f>MATCH(ResultColumnFinder[[#This Row],[DataType]],DataColumns[#Headers],0)</f>
        <v>16</v>
      </c>
      <c r="K13" s="5" t="e">
        <f>MATCH(CONCATENATE("ResultValue",ResultColumnFinder[[#This Row],[Data Value Label]]),DataColumns[Concat],0)</f>
        <v>#N/A</v>
      </c>
      <c r="L13" s="5" t="e">
        <f>MATCH(ResultColumnFinder[[#This Row],[Concat]],DataColumns[Concat],0)</f>
        <v>#N/A</v>
      </c>
      <c r="M13">
        <f>IF(ResultColumnFinder[[#This Row],[REQUIRED]]="Optional",0,
IF(ResultColumnFinder[[#This Row],[VBV or Column]]="Value-By-Value",NumSpecimens,
1))</f>
        <v>1</v>
      </c>
      <c r="N13" t="e">
        <f>IF(ISERROR(ResultColumnFinder[[#This Row],[Data Values Column Number]]),
IF(ISERROR(ResultColumnFinder[[#This Row],[Data Columns Input Column]]),
0,
IF(INDEX(DataColumns[],ResultColumnFinder[[#This Row],[Data Values Input Row]],ResultColumnFinder[[#This Row],[Data Columns Input Column]])="",
0,
1)),
1)</f>
        <v>#N/A</v>
      </c>
      <c r="O13" t="e">
        <f>IF(ResultColumnFinder[[#This Row],[Num Given]]&lt;ResultColumnFinder[[#This Row],[Num Required]],
"MISSING",
"OK")</f>
        <v>#N/A</v>
      </c>
      <c r="P13"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3" s="5" t="e">
        <f>INDIRECT(ResultColumnFinder[[#This Row],[First Value Address]],FALSE)</f>
        <v>#N/A</v>
      </c>
    </row>
    <row r="14" spans="1:17" x14ac:dyDescent="0.25">
      <c r="A14" t="s">
        <v>1381</v>
      </c>
      <c r="B14" t="s">
        <v>1184</v>
      </c>
      <c r="C14" t="s">
        <v>1379</v>
      </c>
      <c r="D14" t="s">
        <v>1324</v>
      </c>
      <c r="E14" t="s">
        <v>1365</v>
      </c>
      <c r="F14" s="5">
        <v>1</v>
      </c>
      <c r="G14" s="5" t="e">
        <f>INDEX(DataColumns[ColumnLabel],MATCH(ResultColumnFinder[[#This Row],[DV Num]],DataColumns[DVNum],0))</f>
        <v>#N/A</v>
      </c>
      <c r="H14" s="5" t="e">
        <f>CONCATENATE(ResultColumnFinder[[#This Row],[DataType]],ResultColumnFinder[[#This Row],[Data Value Label]])</f>
        <v>#N/A</v>
      </c>
      <c r="I14" s="5" t="str">
        <f>CONCATENATE(ResultColumnFinder[[#This Row],[DataType]],ResultColumnFinder[[#This Row],[DV Num]])</f>
        <v>VariableCode1</v>
      </c>
      <c r="J14">
        <f>MATCH(ResultColumnFinder[[#This Row],[DataType]],DataColumns[#Headers],0)</f>
        <v>15</v>
      </c>
      <c r="K14" s="5" t="e">
        <f>MATCH(CONCATENATE("ResultValue",ResultColumnFinder[[#This Row],[Data Value Label]]),DataColumns[Concat],0)</f>
        <v>#N/A</v>
      </c>
      <c r="L14" s="5" t="e">
        <f>MATCH(ResultColumnFinder[[#This Row],[Concat]],DataColumns[Concat],0)</f>
        <v>#N/A</v>
      </c>
      <c r="M14">
        <f>IF(ResultColumnFinder[[#This Row],[REQUIRED]]="Optional",0,
IF(ResultColumnFinder[[#This Row],[VBV or Column]]="Value-By-Value",NumSpecimens,
1))</f>
        <v>1</v>
      </c>
      <c r="N14" t="e">
        <f>IF(ISERROR(ResultColumnFinder[[#This Row],[Data Values Column Number]]),
IF(ISERROR(ResultColumnFinder[[#This Row],[Data Columns Input Column]]),
0,
IF(INDEX(DataColumns[],ResultColumnFinder[[#This Row],[Data Values Input Row]],ResultColumnFinder[[#This Row],[Data Columns Input Column]])="",
0,
1)),
1)</f>
        <v>#N/A</v>
      </c>
      <c r="O14" t="e">
        <f>IF(ResultColumnFinder[[#This Row],[Num Given]]&lt;ResultColumnFinder[[#This Row],[Num Required]],
"MISSING",
"OK")</f>
        <v>#N/A</v>
      </c>
      <c r="P14"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4" s="5" t="e">
        <f>INDIRECT(ResultColumnFinder[[#This Row],[First Value Address]],FALSE)</f>
        <v>#N/A</v>
      </c>
    </row>
    <row r="15" spans="1:17" x14ac:dyDescent="0.25">
      <c r="A15" t="s">
        <v>1362</v>
      </c>
      <c r="B15" t="s">
        <v>1179</v>
      </c>
      <c r="D15" t="s">
        <v>1372</v>
      </c>
      <c r="E15" t="s">
        <v>1366</v>
      </c>
      <c r="F15" s="5">
        <v>1</v>
      </c>
      <c r="G15" s="5" t="e">
        <f>INDEX(DataColumns[ColumnLabel],MATCH(ResultColumnFinder[[#This Row],[DV Num]],DataColumns[DVNum],0))</f>
        <v>#N/A</v>
      </c>
      <c r="H15" s="5" t="e">
        <f>CONCATENATE(ResultColumnFinder[[#This Row],[DataType]],ResultColumnFinder[[#This Row],[Data Value Label]])</f>
        <v>#N/A</v>
      </c>
      <c r="I15" s="5" t="str">
        <f>CONCATENATE(ResultColumnFinder[[#This Row],[DataType]],ResultColumnFinder[[#This Row],[DV Num]])</f>
        <v>AnalysisDateTime1</v>
      </c>
      <c r="J15" t="e">
        <f>MATCH(ResultColumnFinder[[#This Row],[DataType]],DataColumns[#Headers],0)</f>
        <v>#N/A</v>
      </c>
      <c r="K15" s="5" t="e">
        <f>MATCH(CONCATENATE("ResultValue",ResultColumnFinder[[#This Row],[Data Value Label]]),DataColumns[Concat],0)</f>
        <v>#N/A</v>
      </c>
      <c r="L15" s="5" t="e">
        <f>MATCH(ResultColumnFinder[[#This Row],[Concat]],DataColumns[Concat],0)</f>
        <v>#N/A</v>
      </c>
      <c r="M15">
        <f>IF(ResultColumnFinder[[#This Row],[REQUIRED]]="Optional",0,
IF(ResultColumnFinder[[#This Row],[VBV or Column]]="Value-By-Value",NumSpecimens,
1))</f>
        <v>0</v>
      </c>
      <c r="N15">
        <f>IF(ISERROR(ResultColumnFinder[[#This Row],[Data Values Column Number]]),
IF(ISERROR(ResultColumnFinder[[#This Row],[Data Columns Input Column]]),
0,
IF(INDEX(DataColumns[],ResultColumnFinder[[#This Row],[Data Values Input Row]],ResultColumnFinder[[#This Row],[Data Columns Input Column]])="",
0,
1)),
1)</f>
        <v>0</v>
      </c>
      <c r="O15" t="str">
        <f>IF(ResultColumnFinder[[#This Row],[Num Given]]&lt;ResultColumnFinder[[#This Row],[Num Required]],
"MISSING",
"OK")</f>
        <v>OK</v>
      </c>
      <c r="P1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5" s="5" t="e">
        <f>INDIRECT(ResultColumnFinder[[#This Row],[First Value Address]],FALSE)</f>
        <v>#REF!</v>
      </c>
    </row>
    <row r="16" spans="1:17" x14ac:dyDescent="0.25">
      <c r="A16" t="s">
        <v>1363</v>
      </c>
      <c r="B16" t="s">
        <v>1179</v>
      </c>
      <c r="D16" t="s">
        <v>1372</v>
      </c>
      <c r="E16" t="s">
        <v>1365</v>
      </c>
      <c r="F16" s="5">
        <v>1</v>
      </c>
      <c r="G16" s="5" t="e">
        <f>INDEX(DataColumns[ColumnLabel],MATCH(ResultColumnFinder[[#This Row],[DV Num]],DataColumns[DVNum],0))</f>
        <v>#N/A</v>
      </c>
      <c r="H16" s="5" t="e">
        <f>CONCATENATE(ResultColumnFinder[[#This Row],[DataType]],ResultColumnFinder[[#This Row],[Data Value Label]])</f>
        <v>#N/A</v>
      </c>
      <c r="I16" s="5" t="str">
        <f>CONCATENATE(ResultColumnFinder[[#This Row],[DataType]],ResultColumnFinder[[#This Row],[DV Num]])</f>
        <v>AnalysisDateTimeUTCOffset1</v>
      </c>
      <c r="J16">
        <f>MATCH(ResultColumnFinder[[#This Row],[DataType]],DataColumns[#Headers],0)</f>
        <v>19</v>
      </c>
      <c r="K16" s="5" t="e">
        <f>MATCH(CONCATENATE("ResultValue",ResultColumnFinder[[#This Row],[Data Value Label]]),DataColumns[Concat],0)</f>
        <v>#N/A</v>
      </c>
      <c r="L16" s="5" t="e">
        <f>MATCH(ResultColumnFinder[[#This Row],[Concat]],DataColumns[Concat],0)</f>
        <v>#N/A</v>
      </c>
      <c r="M16">
        <f>IF(ResultColumnFinder[[#This Row],[REQUIRED]]="Optional",0,
IF(ResultColumnFinder[[#This Row],[VBV or Column]]="Value-By-Value",NumSpecimens,
1))</f>
        <v>0</v>
      </c>
      <c r="N16" t="e">
        <f>IF(ISERROR(ResultColumnFinder[[#This Row],[Data Values Column Number]]),
IF(ISERROR(ResultColumnFinder[[#This Row],[Data Columns Input Column]]),
0,
IF(INDEX(DataColumns[],ResultColumnFinder[[#This Row],[Data Values Input Row]],ResultColumnFinder[[#This Row],[Data Columns Input Column]])="",
0,
1)),
1)</f>
        <v>#N/A</v>
      </c>
      <c r="O16" t="e">
        <f>IF(ResultColumnFinder[[#This Row],[Num Given]]&lt;ResultColumnFinder[[#This Row],[Num Required]],
"MISSING",
"OK")</f>
        <v>#N/A</v>
      </c>
      <c r="P1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6" s="5" t="e">
        <f>INDIRECT(ResultColumnFinder[[#This Row],[First Value Address]],FALSE)</f>
        <v>#N/A</v>
      </c>
    </row>
    <row r="17" spans="1:17" x14ac:dyDescent="0.25">
      <c r="A17" t="s">
        <v>1364</v>
      </c>
      <c r="B17" t="s">
        <v>1371</v>
      </c>
      <c r="D17" t="s">
        <v>1372</v>
      </c>
      <c r="E17" t="s">
        <v>1366</v>
      </c>
      <c r="F17" s="5">
        <v>1</v>
      </c>
      <c r="G17" s="5" t="e">
        <f>INDEX(DataColumns[ColumnLabel],MATCH(ResultColumnFinder[[#This Row],[DV Num]],DataColumns[DVNum],0))</f>
        <v>#N/A</v>
      </c>
      <c r="H17" s="5" t="e">
        <f>CONCATENATE(ResultColumnFinder[[#This Row],[DataType]],ResultColumnFinder[[#This Row],[Data Value Label]])</f>
        <v>#N/A</v>
      </c>
      <c r="I17" s="5" t="str">
        <f>CONCATENATE(ResultColumnFinder[[#This Row],[DataType]],ResultColumnFinder[[#This Row],[DV Num]])</f>
        <v>ValueAnnotation1</v>
      </c>
      <c r="J17" t="e">
        <f>MATCH(ResultColumnFinder[[#This Row],[DataType]],DataColumns[#Headers],0)</f>
        <v>#N/A</v>
      </c>
      <c r="K17" s="5" t="e">
        <f>MATCH(CONCATENATE("ResultValue",ResultColumnFinder[[#This Row],[Data Value Label]]),DataColumns[Concat],0)</f>
        <v>#N/A</v>
      </c>
      <c r="L17" s="5" t="e">
        <f>MATCH(ResultColumnFinder[[#This Row],[Concat]],DataColumns[Concat],0)</f>
        <v>#N/A</v>
      </c>
      <c r="M17">
        <f>IF(ResultColumnFinder[[#This Row],[REQUIRED]]="Optional",0,
IF(ResultColumnFinder[[#This Row],[VBV or Column]]="Value-By-Value",NumSpecimens,
1))</f>
        <v>0</v>
      </c>
      <c r="N17">
        <f>IF(ISERROR(ResultColumnFinder[[#This Row],[Data Values Column Number]]),
IF(ISERROR(ResultColumnFinder[[#This Row],[Data Columns Input Column]]),
0,
IF(INDEX(DataColumns[],ResultColumnFinder[[#This Row],[Data Values Input Row]],ResultColumnFinder[[#This Row],[Data Columns Input Column]])="",
0,
1)),
1)</f>
        <v>0</v>
      </c>
      <c r="O17" t="str">
        <f>IF(ResultColumnFinder[[#This Row],[Num Given]]&lt;ResultColumnFinder[[#This Row],[Num Required]],
"MISSING",
"OK")</f>
        <v>OK</v>
      </c>
      <c r="P17"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7" s="5" t="e">
        <f>INDIRECT(ResultColumnFinder[[#This Row],[First Value Address]],FALSE)</f>
        <v>#REF!</v>
      </c>
    </row>
    <row r="18" spans="1:17" x14ac:dyDescent="0.25">
      <c r="A18" t="s">
        <v>1137</v>
      </c>
      <c r="B18" t="s">
        <v>1184</v>
      </c>
      <c r="D18" t="s">
        <v>1372</v>
      </c>
      <c r="E18" t="s">
        <v>1366</v>
      </c>
      <c r="F18" s="5">
        <v>1</v>
      </c>
      <c r="G18" s="5" t="e">
        <f>INDEX(DataColumns[ColumnLabel],MATCH(ResultColumnFinder[[#This Row],[DV Num]],DataColumns[DVNum],0))</f>
        <v>#N/A</v>
      </c>
      <c r="H18" s="5" t="e">
        <f>CONCATENATE(ResultColumnFinder[[#This Row],[DataType]],ResultColumnFinder[[#This Row],[Data Value Label]])</f>
        <v>#N/A</v>
      </c>
      <c r="I18" s="5" t="str">
        <f>CONCATENATE(ResultColumnFinder[[#This Row],[DataType]],ResultColumnFinder[[#This Row],[DV Num]])</f>
        <v>ResultUUID1</v>
      </c>
      <c r="J18" t="e">
        <f>MATCH(ResultColumnFinder[[#This Row],[DataType]],DataColumns[#Headers],0)</f>
        <v>#N/A</v>
      </c>
      <c r="K18" s="5" t="e">
        <f>MATCH(CONCATENATE("ResultValue",ResultColumnFinder[[#This Row],[Data Value Label]]),DataColumns[Concat],0)</f>
        <v>#N/A</v>
      </c>
      <c r="L18" s="5" t="e">
        <f>MATCH(ResultColumnFinder[[#This Row],[Concat]],DataColumns[Concat],0)</f>
        <v>#N/A</v>
      </c>
      <c r="M18">
        <f>IF(ResultColumnFinder[[#This Row],[REQUIRED]]="Optional",0,
IF(ResultColumnFinder[[#This Row],[VBV or Column]]="Value-By-Value",NumSpecimens,
1))</f>
        <v>0</v>
      </c>
      <c r="N18">
        <f>IF(ISERROR(ResultColumnFinder[[#This Row],[Data Values Column Number]]),
IF(ISERROR(ResultColumnFinder[[#This Row],[Data Columns Input Column]]),
0,
IF(INDEX(DataColumns[],ResultColumnFinder[[#This Row],[Data Values Input Row]],ResultColumnFinder[[#This Row],[Data Columns Input Column]])="",
0,
1)),
1)</f>
        <v>0</v>
      </c>
      <c r="O18" t="str">
        <f>IF(ResultColumnFinder[[#This Row],[Num Given]]&lt;ResultColumnFinder[[#This Row],[Num Required]],
"MISSING",
"OK")</f>
        <v>OK</v>
      </c>
      <c r="P18"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8" s="5" t="e">
        <f>INDIRECT(ResultColumnFinder[[#This Row],[First Value Address]],FALSE)</f>
        <v>#REF!</v>
      </c>
    </row>
    <row r="19" spans="1:17" x14ac:dyDescent="0.25">
      <c r="A19" t="s">
        <v>1445</v>
      </c>
      <c r="B19" t="s">
        <v>1369</v>
      </c>
      <c r="D19" t="s">
        <v>1324</v>
      </c>
      <c r="E19" t="s">
        <v>1366</v>
      </c>
      <c r="F19" s="5">
        <v>1</v>
      </c>
      <c r="G19" s="5" t="e">
        <f>INDEX(DataColumns[ColumnLabel],MATCH(ResultColumnFinder[[#This Row],[DV Num]],DataColumns[DVNum],0))</f>
        <v>#N/A</v>
      </c>
      <c r="H19" s="5" t="e">
        <f>CONCATENATE(ResultColumnFinder[[#This Row],[DataType]],ResultColumnFinder[[#This Row],[Data Value Label]])</f>
        <v>#N/A</v>
      </c>
      <c r="I19" s="5" t="str">
        <f>CONCATENATE(ResultColumnFinder[[#This Row],[DataType]],ResultColumnFinder[[#This Row],[DV Num]])</f>
        <v>ResultValue1</v>
      </c>
      <c r="J19" t="e">
        <f>MATCH(ResultColumnFinder[[#This Row],[DataType]],DataColumns[#Headers],0)</f>
        <v>#N/A</v>
      </c>
      <c r="K19" s="5" t="e">
        <f>MATCH(CONCATENATE("ResultValue",ResultColumnFinder[[#This Row],[Data Value Label]]),DataColumns[Concat],0)</f>
        <v>#N/A</v>
      </c>
      <c r="L19" s="5" t="e">
        <f>MATCH(ResultColumnFinder[[#This Row],[Concat]],DataColumns[Concat],0)</f>
        <v>#N/A</v>
      </c>
      <c r="M19">
        <f>IF(ResultColumnFinder[[#This Row],[REQUIRED]]="Optional",0,
IF(ResultColumnFinder[[#This Row],[VBV or Column]]="Value-By-Value",NumSpecimens,
1))</f>
        <v>1</v>
      </c>
      <c r="N19">
        <f>IF(ISERROR(ResultColumnFinder[[#This Row],[Data Values Column Number]]),
IF(ISERROR(ResultColumnFinder[[#This Row],[Data Columns Input Column]]),
0,
IF(INDEX(DataColumns[],ResultColumnFinder[[#This Row],[Data Values Input Row]],ResultColumnFinder[[#This Row],[Data Columns Input Column]])="",
0,
1)),
1)</f>
        <v>0</v>
      </c>
      <c r="O19" t="str">
        <f>IF(ResultColumnFinder[[#This Row],[Num Given]]&lt;ResultColumnFinder[[#This Row],[Num Required]],
"MISSING",
"OK")</f>
        <v>MISSING</v>
      </c>
      <c r="P19"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9" s="5" t="e">
        <f>INDIRECT(ResultColumnFinder[[#This Row],[First Value Address]],FALSE)</f>
        <v>#REF!</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D8"/>
  <sheetViews>
    <sheetView workbookViewId="0">
      <selection activeCell="A8" sqref="A8:XFD8"/>
    </sheetView>
  </sheetViews>
  <sheetFormatPr defaultColWidth="8.85546875" defaultRowHeight="15" x14ac:dyDescent="0.25"/>
  <cols>
    <col min="1" max="1" width="12" style="27" bestFit="1" customWidth="1"/>
    <col min="2" max="2" width="11.28515625" style="27" customWidth="1"/>
    <col min="3" max="3" width="18.42578125" style="27" customWidth="1"/>
    <col min="4" max="4" width="16.28515625" style="27" customWidth="1"/>
    <col min="5" max="5" width="29.140625" style="27" customWidth="1"/>
    <col min="6" max="6" width="25.85546875" style="27" customWidth="1"/>
    <col min="7" max="7" width="13" style="27" customWidth="1"/>
    <col min="8" max="8" width="25" style="27" customWidth="1"/>
    <col min="9" max="9" width="15.7109375" style="27" customWidth="1"/>
    <col min="10" max="10" width="12.140625" style="27" customWidth="1"/>
    <col min="11" max="11" width="23.28515625" style="27" customWidth="1"/>
    <col min="12" max="12" width="15.7109375" style="27" customWidth="1"/>
    <col min="13" max="13" width="17.7109375" style="27" customWidth="1"/>
    <col min="14" max="22" width="20.42578125" style="27" customWidth="1"/>
    <col min="23" max="23" width="69.5703125" style="27" customWidth="1"/>
    <col min="24" max="24" width="34.7109375" style="27" bestFit="1" customWidth="1"/>
    <col min="25" max="25" width="18.7109375" style="27" customWidth="1"/>
    <col min="26" max="26" width="86.140625" style="27" customWidth="1"/>
    <col min="27" max="27" width="17.28515625" style="27" customWidth="1"/>
    <col min="28" max="28" width="32.5703125" style="27" customWidth="1"/>
    <col min="29" max="29" width="19.140625" style="27" bestFit="1" customWidth="1"/>
    <col min="30" max="30" width="28.28515625" style="27" customWidth="1"/>
    <col min="31" max="31" width="31.5703125" style="27" customWidth="1"/>
    <col min="32" max="32" width="28.7109375" style="27" customWidth="1"/>
    <col min="33" max="33" width="11.7109375" style="27" customWidth="1"/>
    <col min="34" max="35" width="8.85546875" style="27"/>
    <col min="36" max="36" width="20.28515625" style="27" bestFit="1" customWidth="1"/>
    <col min="37" max="37" width="16.42578125" style="27" customWidth="1"/>
    <col min="38" max="38" width="23.140625" style="27" bestFit="1" customWidth="1"/>
    <col min="39" max="39" width="17.28515625" style="27" bestFit="1" customWidth="1"/>
    <col min="40" max="40" width="23.28515625" style="27" bestFit="1" customWidth="1"/>
    <col min="41" max="41" width="23.5703125" style="27" bestFit="1" customWidth="1"/>
    <col min="42" max="42" width="24.28515625" style="27" bestFit="1" customWidth="1"/>
    <col min="43" max="43" width="24.28515625" style="27" customWidth="1"/>
    <col min="44" max="45" width="15.42578125" style="27" customWidth="1"/>
    <col min="46" max="46" width="12" style="27" bestFit="1" customWidth="1"/>
    <col min="47" max="47" width="21.42578125" style="27" bestFit="1" customWidth="1"/>
    <col min="48" max="48" width="15.42578125" style="27" bestFit="1" customWidth="1"/>
    <col min="49" max="49" width="21.5703125" style="27" bestFit="1" customWidth="1"/>
    <col min="50" max="50" width="21.85546875" style="27" bestFit="1" customWidth="1"/>
    <col min="51" max="51" width="24.28515625" style="27" bestFit="1" customWidth="1"/>
    <col min="52" max="52" width="37.42578125" style="27" customWidth="1"/>
    <col min="53" max="53" width="26.28515625" style="27" bestFit="1" customWidth="1"/>
    <col min="54" max="54" width="24.42578125" style="27" bestFit="1" customWidth="1"/>
    <col min="55" max="55" width="22.42578125" style="27" customWidth="1"/>
    <col min="56" max="56" width="20.42578125" style="27" customWidth="1"/>
    <col min="57" max="57" width="11" style="27" bestFit="1" customWidth="1"/>
    <col min="58" max="58" width="13.5703125" style="27" bestFit="1" customWidth="1"/>
    <col min="59" max="59" width="15.42578125" style="27" bestFit="1" customWidth="1"/>
    <col min="60" max="60" width="11.140625" style="27" bestFit="1" customWidth="1"/>
    <col min="61" max="61" width="9.5703125" style="27" bestFit="1" customWidth="1"/>
    <col min="62" max="62" width="22.42578125" style="27" bestFit="1" customWidth="1"/>
    <col min="63" max="64" width="22.42578125" style="27" customWidth="1"/>
    <col min="65" max="70" width="20.28515625" style="27" customWidth="1"/>
    <col min="71" max="71" width="17.140625" style="27" customWidth="1"/>
    <col min="72" max="72" width="19" style="27" customWidth="1"/>
    <col min="73" max="73" width="20.7109375" style="27" bestFit="1" customWidth="1"/>
    <col min="74" max="74" width="38.42578125" style="27" customWidth="1"/>
    <col min="75" max="76" width="26.5703125" style="27" customWidth="1"/>
    <col min="77" max="77" width="11.85546875" style="27" bestFit="1" customWidth="1"/>
    <col min="78" max="78" width="18.140625" style="27" bestFit="1" customWidth="1"/>
    <col min="79" max="79" width="18.140625" style="27" customWidth="1"/>
    <col min="80" max="80" width="11.85546875" style="27" customWidth="1"/>
    <col min="81" max="81" width="20.7109375" style="27" bestFit="1" customWidth="1"/>
    <col min="82" max="16384" width="8.85546875" style="27"/>
  </cols>
  <sheetData>
    <row r="1" spans="1:82" x14ac:dyDescent="0.25">
      <c r="A1" s="27" t="s">
        <v>225</v>
      </c>
      <c r="B1" s="27" t="s">
        <v>215</v>
      </c>
      <c r="C1" s="27" t="s">
        <v>1300</v>
      </c>
      <c r="D1" s="27" t="s">
        <v>217</v>
      </c>
      <c r="E1" s="27" t="s">
        <v>1292</v>
      </c>
      <c r="F1" s="27" t="s">
        <v>1272</v>
      </c>
      <c r="G1" s="27" t="s">
        <v>216</v>
      </c>
      <c r="H1" s="27" t="s">
        <v>1283</v>
      </c>
      <c r="I1" s="27" t="s">
        <v>218</v>
      </c>
      <c r="J1" s="27" t="s">
        <v>219</v>
      </c>
      <c r="K1" s="27" t="s">
        <v>1282</v>
      </c>
      <c r="L1" s="27" t="s">
        <v>220</v>
      </c>
      <c r="M1" s="27" t="s">
        <v>221</v>
      </c>
      <c r="N1" s="27" t="s">
        <v>222</v>
      </c>
      <c r="O1" s="27" t="s">
        <v>1332</v>
      </c>
      <c r="P1" s="27" t="s">
        <v>1463</v>
      </c>
      <c r="Q1" s="27" t="s">
        <v>1358</v>
      </c>
      <c r="R1" s="27" t="s">
        <v>1359</v>
      </c>
      <c r="S1" s="27" t="s">
        <v>1331</v>
      </c>
      <c r="T1" s="27" t="s">
        <v>1464</v>
      </c>
      <c r="U1" s="27" t="s">
        <v>1465</v>
      </c>
      <c r="V1" s="27" t="s">
        <v>1387</v>
      </c>
      <c r="W1" s="27" t="s">
        <v>223</v>
      </c>
      <c r="X1" s="27" t="s">
        <v>1284</v>
      </c>
      <c r="Y1" s="27" t="s">
        <v>224</v>
      </c>
      <c r="Z1" s="27" t="s">
        <v>226</v>
      </c>
      <c r="AA1" s="27" t="s">
        <v>243</v>
      </c>
      <c r="AB1" s="27" t="s">
        <v>1421</v>
      </c>
      <c r="AC1" s="27" t="s">
        <v>1422</v>
      </c>
      <c r="AD1" s="27" t="s">
        <v>1423</v>
      </c>
      <c r="AE1" s="27" t="s">
        <v>1424</v>
      </c>
      <c r="AF1" s="27" t="s">
        <v>244</v>
      </c>
      <c r="AG1" s="27" t="s">
        <v>248</v>
      </c>
      <c r="AH1" s="27" t="s">
        <v>1078</v>
      </c>
      <c r="AI1" s="27" t="s">
        <v>238</v>
      </c>
      <c r="AJ1" s="27" t="s">
        <v>1426</v>
      </c>
      <c r="AK1" s="27" t="s">
        <v>1178</v>
      </c>
      <c r="AL1" s="27" t="s">
        <v>1455</v>
      </c>
      <c r="AM1" s="27" t="s">
        <v>1456</v>
      </c>
      <c r="AN1" s="27" t="s">
        <v>1457</v>
      </c>
      <c r="AO1" s="27" t="s">
        <v>1473</v>
      </c>
      <c r="AP1" s="27" t="s">
        <v>1461</v>
      </c>
      <c r="AQ1" s="27" t="s">
        <v>1466</v>
      </c>
      <c r="AR1" s="27" t="s">
        <v>1434</v>
      </c>
      <c r="AS1" s="27" t="s">
        <v>1437</v>
      </c>
      <c r="AT1" s="27" t="s">
        <v>1445</v>
      </c>
      <c r="AU1" s="27" t="s">
        <v>1458</v>
      </c>
      <c r="AV1" s="27" t="s">
        <v>1459</v>
      </c>
      <c r="AW1" s="27" t="s">
        <v>1460</v>
      </c>
      <c r="AX1" s="27" t="s">
        <v>1472</v>
      </c>
      <c r="AY1" s="27" t="s">
        <v>1462</v>
      </c>
      <c r="AZ1" s="27" t="s">
        <v>1467</v>
      </c>
      <c r="BA1" s="27" t="s">
        <v>1468</v>
      </c>
      <c r="BB1" s="27" t="s">
        <v>1469</v>
      </c>
      <c r="BC1" s="27" t="s">
        <v>1470</v>
      </c>
      <c r="BD1" s="27" t="s">
        <v>1471</v>
      </c>
      <c r="BE1" s="27" t="s">
        <v>1137</v>
      </c>
      <c r="BF1" s="27" t="s">
        <v>1436</v>
      </c>
      <c r="BG1" s="27" t="s">
        <v>1438</v>
      </c>
      <c r="BH1" s="27" t="s">
        <v>1439</v>
      </c>
      <c r="BI1" s="27" t="s">
        <v>1440</v>
      </c>
      <c r="BJ1" s="27" t="s">
        <v>1441</v>
      </c>
      <c r="BK1" s="27" t="s">
        <v>1442</v>
      </c>
      <c r="BL1" s="27" t="s">
        <v>1443</v>
      </c>
      <c r="BM1" s="27" t="s">
        <v>1444</v>
      </c>
      <c r="BN1" s="27" t="s">
        <v>1448</v>
      </c>
      <c r="BO1" s="27" t="s">
        <v>1449</v>
      </c>
      <c r="BP1" s="27" t="s">
        <v>1450</v>
      </c>
      <c r="BQ1" s="27" t="s">
        <v>1451</v>
      </c>
      <c r="BR1" s="27" t="s">
        <v>1452</v>
      </c>
      <c r="BS1" s="27" t="s">
        <v>1184</v>
      </c>
      <c r="BT1" s="27" t="s">
        <v>1483</v>
      </c>
      <c r="BU1" s="27" t="s">
        <v>1186</v>
      </c>
      <c r="BV1" s="27" t="s">
        <v>1187</v>
      </c>
      <c r="BW1" s="27" t="s">
        <v>1446</v>
      </c>
      <c r="BX1" s="27" t="s">
        <v>1447</v>
      </c>
      <c r="BY1" s="27" t="s">
        <v>1475</v>
      </c>
      <c r="BZ1" s="27" t="s">
        <v>1476</v>
      </c>
      <c r="CA1" s="27" t="s">
        <v>1477</v>
      </c>
      <c r="CB1" s="27" t="s">
        <v>1474</v>
      </c>
      <c r="CC1" s="27" t="s">
        <v>1204</v>
      </c>
    </row>
    <row r="2" spans="1:82" x14ac:dyDescent="0.25">
      <c r="A2" s="27" t="s">
        <v>1080</v>
      </c>
      <c r="B2" s="27">
        <v>3</v>
      </c>
      <c r="C2" s="27">
        <v>2</v>
      </c>
      <c r="D2" s="27">
        <f>MAX(NumOrganizations+1,2)</f>
        <v>2</v>
      </c>
      <c r="E2" s="27">
        <f>IF(AND(CitationDOI="",NumORCIDs=0,NumIGSNs=0),1,3)</f>
        <v>1</v>
      </c>
      <c r="F2" s="27">
        <f>IF(AND(CitationDOI="",NumORCIDs=0,NumIGSNs=0),1,4)</f>
        <v>1</v>
      </c>
      <c r="G2" s="27">
        <f>MAX(NumPeople+1,2)</f>
        <v>2</v>
      </c>
      <c r="H2" s="27">
        <f>IF(NumORCIDs=0,1,MAX(NumORCIDs+1,2))</f>
        <v>1</v>
      </c>
      <c r="I2" s="27">
        <f>MAX(NumOrganizations+1,NumPeople+1,2)</f>
        <v>2</v>
      </c>
      <c r="J2" s="27">
        <f>IF(COUNTA(CitationInformation)=0,1,2)</f>
        <v>1</v>
      </c>
      <c r="K2" s="27">
        <f>IF(CitationDOI="",1,2)</f>
        <v>1</v>
      </c>
      <c r="L2" s="27">
        <f>IF(COUNTA(CitationInformation)=0,1,NumAuthors+1)</f>
        <v>1</v>
      </c>
      <c r="M2" s="27">
        <f>IF(COUNTA(CitationInformation)=0,1,2)</f>
        <v>1</v>
      </c>
      <c r="N2" s="27">
        <v>2</v>
      </c>
      <c r="O2" s="27">
        <v>1</v>
      </c>
      <c r="P2" s="27">
        <v>1</v>
      </c>
      <c r="Q2" s="27">
        <v>1</v>
      </c>
      <c r="R2" s="27">
        <v>1</v>
      </c>
      <c r="S2" s="27">
        <v>1</v>
      </c>
      <c r="T2" s="27">
        <v>1</v>
      </c>
      <c r="U2" s="27">
        <v>1</v>
      </c>
      <c r="V2" s="27">
        <v>1</v>
      </c>
      <c r="W2" s="27">
        <f>MAX(NumParentSamplingFeatures+NumSpecimens+1,2)</f>
        <v>2</v>
      </c>
      <c r="X2" s="27">
        <f>IF(AND(NumIGSNs=0,COUNTIF(DataColumns[ColumnType],"SpecimenIGSN")=0),1,MAX(2,NumIGSNs+1,NumParentSamplingFeatures+NumSpecimens+1))</f>
        <v>1</v>
      </c>
      <c r="Y2" s="27">
        <f>IF(NumSites=0,1,NumSites+1)</f>
        <v>1</v>
      </c>
      <c r="Z2" s="27">
        <f>NumParentSpecimens+NumSpecimens+1</f>
        <v>2</v>
      </c>
      <c r="AA2" s="27">
        <f>IF(COUNTA(SpatialOffsets[Spatial Offset Code])=0,1,COUNTA(SpatialOffsets[Spatial Offset Code])+1)</f>
        <v>1</v>
      </c>
      <c r="AB2" s="27">
        <v>1</v>
      </c>
      <c r="AC2" s="27">
        <v>1</v>
      </c>
      <c r="AD2" s="27">
        <v>1</v>
      </c>
      <c r="AE2" s="27">
        <v>1</v>
      </c>
      <c r="AF2" s="27">
        <f>IF(AND(NumRelatedFeatures=0,MATCH("ParentSamplingFeatureCode",SpecimenColumnFinder[DataType],0))="NOT GIVEN",1,MAX(2,NumRelatedFeatures+1,NumRelatedFeatures+NumSpecimens+1))</f>
        <v>2</v>
      </c>
      <c r="AG2" s="27">
        <f>MAX(NumMethods+1,2)</f>
        <v>2</v>
      </c>
      <c r="AH2" s="27">
        <f>MAX(NumVariables+1,2)</f>
        <v>2</v>
      </c>
      <c r="AI2" s="27">
        <v>1</v>
      </c>
      <c r="AJ2" s="27">
        <f>IF(NumTaxClassifiers=0,1,NumTaxClassifiers+1)</f>
        <v>1</v>
      </c>
      <c r="AK2" s="27">
        <f>MAX(NumProcessingLevels+1,2)</f>
        <v>2</v>
      </c>
      <c r="AL2" s="27">
        <v>1</v>
      </c>
      <c r="AM2" s="27">
        <v>1</v>
      </c>
      <c r="AN2" s="27">
        <v>1</v>
      </c>
      <c r="AO2" s="27">
        <v>1</v>
      </c>
      <c r="AP2" s="27">
        <v>1</v>
      </c>
      <c r="AQ2" s="27">
        <f>NumSpecimens+1</f>
        <v>2</v>
      </c>
      <c r="AR2" s="27">
        <v>1</v>
      </c>
      <c r="AS2" s="27">
        <v>1</v>
      </c>
      <c r="AT2" s="27">
        <v>1</v>
      </c>
      <c r="AU2" s="27">
        <v>1</v>
      </c>
      <c r="AV2" s="27">
        <v>1</v>
      </c>
      <c r="AW2" s="27">
        <v>1</v>
      </c>
      <c r="AX2" s="27">
        <v>1</v>
      </c>
      <c r="AY2" s="27">
        <v>1</v>
      </c>
      <c r="AZ2" s="27">
        <f>MAX(NumDataColumns*NumSpecimens+1,2)</f>
        <v>2</v>
      </c>
      <c r="BA2" s="27">
        <f>NumSpecimens+1</f>
        <v>2</v>
      </c>
      <c r="BB2" s="27">
        <f>MAX(NumDataColumns*NumSpecimens+1,2)</f>
        <v>2</v>
      </c>
      <c r="BC2" s="27">
        <f>NumSpecimens+1</f>
        <v>2</v>
      </c>
      <c r="BD2" s="27">
        <f>MAX(NumDataColumns*NumSpecimens+1,2)</f>
        <v>2</v>
      </c>
      <c r="BE2" s="27">
        <v>1</v>
      </c>
      <c r="BF2" s="27">
        <v>1</v>
      </c>
      <c r="BG2" s="27">
        <v>1</v>
      </c>
      <c r="BH2" s="27">
        <v>1</v>
      </c>
      <c r="BI2" s="27">
        <v>1</v>
      </c>
      <c r="BJ2" s="27">
        <v>1</v>
      </c>
      <c r="BK2" s="27">
        <v>1</v>
      </c>
      <c r="BL2" s="27">
        <v>1</v>
      </c>
      <c r="BM2" s="27">
        <v>1</v>
      </c>
      <c r="BN2" s="27">
        <v>1</v>
      </c>
      <c r="BO2" s="27">
        <v>1</v>
      </c>
      <c r="BP2" s="27">
        <v>1</v>
      </c>
      <c r="BQ2" s="27">
        <v>1</v>
      </c>
      <c r="BR2" s="27">
        <v>1</v>
      </c>
      <c r="BS2" s="27">
        <f>MAX(NumDataColumns*NumSpecimens+1,2)</f>
        <v>2</v>
      </c>
      <c r="BT2" s="27">
        <f>MAX(NumDataColumns*NumSpecimens+1,2)</f>
        <v>2</v>
      </c>
      <c r="BU2" s="27">
        <f>IF(COUNTIF(BE:BE,"Measurement")=0,1,MAX(NumDataColumns*NumSpecimens+1,2))</f>
        <v>1</v>
      </c>
      <c r="BV2" s="27">
        <f>IF(COUNTIF(BF:BF,"Measurement")=0,1,MAX(NumDataColumns*NumSpecimens+1,2))</f>
        <v>1</v>
      </c>
      <c r="BW2" s="27">
        <f>IF(COUNTIFS(BF:BF,"Count observation",BF:BF,"Truth observation",BF:BF,"Category observation")=0,1,MAX(NumDataColumns*NumSpecimens+1,2))</f>
        <v>1</v>
      </c>
      <c r="BX2" s="27">
        <f>IF(COUNTIFS(BF:BF,"Count observation",BF:BF,"Truth observation",BF:BF,"Category observation")=0,1,MAX(NumDataColumns*NumSpecimens+1,2))</f>
        <v>1</v>
      </c>
    </row>
    <row r="3" spans="1:82" x14ac:dyDescent="0.25">
      <c r="A3" s="27">
        <f t="shared" ref="A3:A7" si="0">ROW()-3</f>
        <v>0</v>
      </c>
      <c r="B3" s="27" t="s">
        <v>134</v>
      </c>
      <c r="C3" s="27" t="s">
        <v>1209</v>
      </c>
      <c r="D3" s="27" t="s">
        <v>177</v>
      </c>
      <c r="E3" s="27"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7" t="str">
        <f>IF(AND(CitationDOI="",NumORCIDs=0,NumIGSNs=0),"","ExternalIdentifierSystems:")</f>
        <v/>
      </c>
      <c r="G3" s="27" t="s">
        <v>175</v>
      </c>
      <c r="H3" s="27" t="str">
        <f>IF(NumORCIDs=0,"","PersonExternalIdentifiers:")</f>
        <v/>
      </c>
      <c r="I3" s="27" t="s">
        <v>178</v>
      </c>
      <c r="J3" s="27" t="str">
        <f>IF(COUNTA(CitationInformation)=0,"","Citations:")</f>
        <v/>
      </c>
      <c r="K3" s="27" t="str">
        <f>IF(CitationDOI="","","CitationExternalIdentifiers:")</f>
        <v/>
      </c>
      <c r="L3" s="27" t="str">
        <f>IF(COUNTA(CitationInformation)=0,"","AuthorLists:")</f>
        <v/>
      </c>
      <c r="M3" s="27" t="str">
        <f>IF(COUNTA(CitationInformation)=0,"","DatasetCitations:")</f>
        <v/>
      </c>
      <c r="N3" s="27" t="s">
        <v>213</v>
      </c>
      <c r="O3" s="27" t="str">
        <f>""</f>
        <v/>
      </c>
      <c r="P3" s="27" t="str">
        <f>""</f>
        <v/>
      </c>
      <c r="Q3" s="27" t="str">
        <f>""</f>
        <v/>
      </c>
      <c r="R3" s="27" t="str">
        <f>""</f>
        <v/>
      </c>
      <c r="S3" s="27" t="str">
        <f>""</f>
        <v/>
      </c>
      <c r="T3" s="27" t="str">
        <f>""</f>
        <v/>
      </c>
      <c r="U3" s="27" t="str">
        <f>""</f>
        <v/>
      </c>
      <c r="V3" s="27" t="str">
        <f>""</f>
        <v/>
      </c>
      <c r="W3" s="27" t="s">
        <v>214</v>
      </c>
      <c r="X3" s="27" t="str">
        <f>IF(AND(NumIGSNs=0,COUNTIF(DataColumns[ColumnType],"SpecimenIGSN")=0),"","SamplingFeatureExternalIdentifiers:")</f>
        <v/>
      </c>
      <c r="Y3" s="27" t="str">
        <f>IF(MAX(Sites[SiteID])=0,"","Sites:")</f>
        <v/>
      </c>
      <c r="Z3" s="27" t="s">
        <v>1407</v>
      </c>
      <c r="AA3" s="27" t="str">
        <f>IF(COUNTA(SpatialOffsets[Spatial Offset Code])=0,"","Spatialoffsets:")</f>
        <v/>
      </c>
      <c r="AB3" s="27" t="str">
        <f>""</f>
        <v/>
      </c>
      <c r="AC3" s="27" t="str">
        <f>""</f>
        <v/>
      </c>
      <c r="AD3" s="27" t="str">
        <f>""</f>
        <v/>
      </c>
      <c r="AE3" s="27" t="str">
        <f>""</f>
        <v/>
      </c>
      <c r="AF3" s="27" t="e">
        <f>IF(AND(NumRelatedFeatures=0,INDEX(SpecimenColumnFinder[First Value Address],MATCH("ParentSamplingFeatureCode",SpecimenColumnFinder[DataType],0))="NOT GIVEN"),"","RelatedFeatures:")</f>
        <v>#N/A</v>
      </c>
      <c r="AG3" s="27" t="s">
        <v>273</v>
      </c>
      <c r="AH3" s="27" t="s">
        <v>1079</v>
      </c>
      <c r="AI3" s="27" t="str">
        <f>""</f>
        <v/>
      </c>
      <c r="AJ3" s="27" t="str">
        <f>IF(NumTaxClassifiers=0,"","TaxonomicClassifiers:")</f>
        <v/>
      </c>
      <c r="AK3" s="27" t="s">
        <v>1427</v>
      </c>
      <c r="AL3" s="27" t="str">
        <f>""</f>
        <v/>
      </c>
      <c r="AM3" s="27" t="str">
        <f>""</f>
        <v/>
      </c>
      <c r="AN3" s="27" t="str">
        <f>""</f>
        <v/>
      </c>
      <c r="AO3" s="27" t="str">
        <f>""</f>
        <v/>
      </c>
      <c r="AP3" s="27" t="str">
        <f>""</f>
        <v/>
      </c>
      <c r="AQ3" s="27" t="s">
        <v>1181</v>
      </c>
      <c r="AR3" s="27" t="str">
        <f>""</f>
        <v/>
      </c>
      <c r="AS3" s="27" t="str">
        <f>""</f>
        <v/>
      </c>
      <c r="AT3" s="27" t="str">
        <f>""</f>
        <v/>
      </c>
      <c r="AU3" s="27" t="str">
        <f>""</f>
        <v/>
      </c>
      <c r="AV3" s="27" t="str">
        <f>""</f>
        <v/>
      </c>
      <c r="AW3" s="27" t="str">
        <f>""</f>
        <v/>
      </c>
      <c r="AX3" s="27" t="str">
        <f>""</f>
        <v/>
      </c>
      <c r="AY3" s="27" t="str">
        <f>""</f>
        <v/>
      </c>
      <c r="AZ3" s="27" t="str">
        <f>""</f>
        <v/>
      </c>
      <c r="BA3" s="27" t="s">
        <v>1183</v>
      </c>
      <c r="BB3" s="27" t="str">
        <f>""</f>
        <v/>
      </c>
      <c r="BC3" s="27" t="s">
        <v>1301</v>
      </c>
      <c r="BD3" s="27" t="str">
        <f>""</f>
        <v/>
      </c>
      <c r="BE3" s="27" t="str">
        <f>""</f>
        <v/>
      </c>
      <c r="BF3" s="27" t="str">
        <f>""</f>
        <v/>
      </c>
      <c r="BG3" s="27" t="str">
        <f>""</f>
        <v/>
      </c>
      <c r="BH3" s="27" t="str">
        <f>""</f>
        <v/>
      </c>
      <c r="BI3" s="27" t="str">
        <f>""</f>
        <v/>
      </c>
      <c r="BJ3" s="27" t="str">
        <f>""</f>
        <v/>
      </c>
      <c r="BK3" s="27" t="str">
        <f>""</f>
        <v/>
      </c>
      <c r="BL3" s="27" t="str">
        <f>""</f>
        <v/>
      </c>
      <c r="BM3" s="27" t="str">
        <f>""</f>
        <v/>
      </c>
      <c r="BN3" s="27" t="str">
        <f>""</f>
        <v/>
      </c>
      <c r="BO3" s="27" t="str">
        <f>""</f>
        <v/>
      </c>
      <c r="BP3" s="27" t="str">
        <f>""</f>
        <v/>
      </c>
      <c r="BQ3" s="27" t="str">
        <f>""</f>
        <v/>
      </c>
      <c r="BR3" s="27" t="str">
        <f>""</f>
        <v/>
      </c>
      <c r="BS3" s="27" t="s">
        <v>1185</v>
      </c>
      <c r="BT3" s="27" t="s">
        <v>1481</v>
      </c>
      <c r="BU3" s="27" t="str">
        <f>IF(COUNTIF(BF:BF,"Measurement")=0,"","MeasurementResults:")</f>
        <v/>
      </c>
      <c r="BV3" s="27" t="str">
        <f>IF(COUNTIF(BF:BF,"Measurement")=0,"","MeasurementResultValues:")</f>
        <v/>
      </c>
      <c r="BW3" s="27" t="str">
        <f>IF(COUNTIFS(BF:BF,"Count observation",BF:BF,"Truth observation",BF:BF,"Category observation")=0,"","CategoricalResults:")</f>
        <v/>
      </c>
      <c r="BX3" s="27" t="str">
        <f>IF(COUNTIFS(BF:BF,"Count observation",BF:BF,"Truth observation",BF:BF,"Category observation")=0,"","CategoricalResultValues:")</f>
        <v/>
      </c>
      <c r="CC3" s="27" t="s">
        <v>1208</v>
      </c>
      <c r="CD3" s="27">
        <f>MAX(B2:BX2)</f>
        <v>3</v>
      </c>
    </row>
    <row r="4" spans="1:82" x14ac:dyDescent="0.25">
      <c r="A4" s="27">
        <f t="shared" si="0"/>
        <v>1</v>
      </c>
      <c r="B4" s="27" t="s">
        <v>1302</v>
      </c>
      <c r="C4" s="27" t="str">
        <f>CONCATENATE("  - &amp;DatasetID00001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",IF(DatasetAbstract="","",CONCATENATE(CHAR(34),DatasetAbstract,CHAR(34)))),
"}")</f>
        <v xml:space="preserve">  - &amp;DatasetID00001 {DatasetUUID:  "" PLEASE FILL IN THE Dataset TYPE IN THE Dataset CITATION TAB PLEASE FILL IN THE Dataset CODE IN THE Dataset CITATION TAB PLEASE FILL IN THE Dataset TITLE IN THE Dataset CITATION TAB,  DatasetAbstract:  }</v>
      </c>
      <c r="D4" s="27" t="str">
        <f>IF(INDEX(Organizations[Organization Type '[CV']],ROW()-3)="","PLEASE FILL IN AT LEAST ONE ORGANIZATION WITH TYPE, CODE, AND NAME",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PLEASE FILL IN AT LEAST ONE ORGANIZATION WITH TYPE, CODE, AND NAME</v>
      </c>
      <c r="E4" s="27"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7"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&amp;ExternalIdentifierSystemID00001 {ExternalIdentifierSystemName:  "ORCID", IdentifierSystemOrganizationObj:  *OrganizationID00001,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7" t="str">
        <f>IF(INDEX(People[First Name],ROW()-3)="","PLEASE FILL IN AT LEAST ONE PERSON WITH FIRST, MIDDLE AND LAST NAME",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PLEASE FILL IN AT LEAST ONE PERSON WITH FIRST, MIDDLE AND LAST NAME</v>
      </c>
      <c r="H4"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4"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J4" s="27" t="str">
        <f>IF(COUNTA(CitationInformation)=0,"",
CONCATENATE("  - &amp;CitationID00001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7" t="str">
        <f>IF(CitationDOI="","",
CONCATENATE("  - {",
"CitationObj:  *CitationID001",
", ExternalIdentifierSystemObj:  *ExternalIdentifierSystemID00002",
", CitationExternalIdentifier:  ",CHAR(34),CitationDOI,CHAR(34),
", CitationExternalIdentifierURI:  ","",
"}"))</f>
        <v/>
      </c>
      <c r="L4" s="27" t="str">
        <f>IF(COUNTA(CitationInformation)=0,"",
IF(INDEX(AuthorList[Author Name],ROW()-3)="","PLEASE FILL IN AT LEAST ONE CITATION AUTHOR",
CONCATENATE("  - &amp;AuthorListID",TEXT(ROW()-3,"00000"),
"  {CitationObj: *CitationID00001",
", PersonObj: *PersonID",IFERROR(TEXT(MATCH(INDEX(AuthorList[Author Name],ROW()-3),People[Full Name],0),"00000"),"PLEASE SELECT A VALID AUTHOR NAME FROM THE DROP-DOWN LIST"),
", AuthorOrder: ",INDEX(AuthorList[Author Number],ROW()-3),
"}")))</f>
        <v/>
      </c>
      <c r="M4" s="27" t="str">
        <f>IF(COUNTA(CitationInformation)=0,"",
CONCATENATE("  - {",
"DatasetObj: *DatasetID00001",
", CitationObj: *CitationID00001",
IF(DatasetCitationRelationship="","PLEASE FILL IN THE RELATIONSHIP BETWEEN THE Dataset AND THE CITATION",CONCATENATE(", RelationshipTypeCV: ",DatasetCitationRelationship)),
"}"))</f>
        <v/>
      </c>
      <c r="N4" s="27" t="str">
        <f>IF(LatLonDatum="","PLEASE FILL IN A VALID LAT/LONG DATUM",
CONCATENATE("  - &amp;SRSID",TEXT(ROW()-3,"00000"),"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7"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4" s="27"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4" s="27"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4" s="27"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4" s="27"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4" s="27"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4" s="27"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4" s="27"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4" s="27" t="str">
        <f>IF(ROW()-3&gt;NumParentSamplingFeatures+NumSpecimens,"",
IF(ROW()-3&gt;NumParentSamplingFeatures,
CONCATENATE("  - &amp;SamplingFeatureID",TEXT(ROW()-3,"00000"),
" {","SamplingFeatureUUID:  ",CHAR(34),O4,CHAR(34),
", SamplingFeatureTypeCV:  ",CHAR(34),"Specimen",CHAR(34),
", SamplingFeatureCode:  ",CHAR(34),P4,CHAR(34),
", SamplingFeatureName:  ",CHAR(34),Q4,CHAR(34),
", SamplingFeatureDescription:  ",CHAR(34),R4,CHAR(34),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&amp;SamplingFeatureID00001 {SamplingFeatureUUID:  "", SamplingFeatureTypeCV:  "Specimen", SamplingFeatureCode:  "PLEASE SPECIFY WHICH COLUMN HAS THE SPECIMEN CODES!!!", SamplingFeatureName:  "", SamplingFeatureDescription:  "", SamplingFeatureGeotypeCV:  Point, FeatureGeometry:  NULL, Elevation_m:  NULL, ElevationDatumCV:  NULL}</v>
      </c>
      <c r="X4" s="27" t="str">
        <f>IF(AND(NumIGSNs=0,COUNTIF(DataColumns[ColumnType],"SpecimenIGSN")=0),"",
IF(ROW()-3&gt;NumIGSNs+NumSpecimens,"",
IF(ROW()-3&gt;NumIGSNs,
IF(ISERROR(MATCH("SpecimenIGSN",DataColumns[ColumnType],0)),"",
IF(S4="","",
CONCATENATE("  - {",
"SamplingFeatureObj:  *SamplingFeatureID",TEXT(ROW()-2-NumIGSNs+NumParentSamplingFeatures-1,"00000"),
", ExternalIdentifierSystemObj:  *ExternalIdentifierSystemID00003",
", SamplingFeatureExternalIdentifier:  ",CHAR(34),S4,CHAR(34),
", SamplingFeatureExternalIdentifierURI:  ",CHAR(34),"http://app.geosamples.org/sample/igsn/",S4,CHAR(34),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4"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c>
      <c r="Z4" s="27" t="e">
        <f>IF(ROW()-4&gt;NumParentSpecimens+NumSpecimens,"",
IF(ROW()-3&gt;NumParentSpecimens,
CONCATENATE("  - {",
"SamplingFeatureObj:  *SamplingFeatureID",TEXT(ROW()-3+NumParentSamplingFeatures,"00000"),
", SpecimenTypeCV:  ",CHAR(34),T4,CHAR(34),
", SpecimenMediumCV:  ",CHAR(34),U4,CHAR(34),
", IsFieldSpecimen:  ",CHAR(34),V4,CHAR(34),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#N/A</v>
      </c>
      <c r="AA4"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4" s="27" t="str">
        <f>CONCATENATE("*SamplingFeatureID",TEXT(ROW()-2-NumRelatedFeatures+NumParentSamplingFeatures-1,"00000"))</f>
        <v>*SamplingFeatureID00001</v>
      </c>
      <c r="AC4" s="27"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4" s="178"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4" s="178"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4" s="27" t="e">
        <f>IF(AND(NumRelatedFeatures=0,MATCH("ParentSamplingFeatureCode",SpecimenColumnFinder[DataType],0)="NOT GIVEN"),"",
IF(ROW()-3&gt;NumRelatedFeatures+NumSpecimens,"",
IF(ROW()-3&gt;NumRelatedFeatures,
IF(AD4="NO RELATED FEATURE","",
CONCATENATE("  - {",
"SamplingFeatureObj:  ",AB4,
", RelationshipTypeCV:  ",CHAR(34),AC4,CHAR(34),
", RelatedFeatureObj: ",AD4,
", SpatialOffsetObj:  ",AE4,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#N/A</v>
      </c>
      <c r="AG4" s="27" t="str">
        <f>IF(INDEX(Methods[Method Type],ROW()-3)="","PLEASE FILL IN AT LEAST ONE METHOD",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PLEASE FILL IN AT LEAST ONE METHOD</v>
      </c>
      <c r="AH4" s="27" t="str">
        <f>IF(INDEX(Variables[Variable Type],ROW()-3)="","PLEASE FILL IN AT LEAST ONE VARIABLE",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PLEASE FILL IN AT LEAST ONE VARIABLE</v>
      </c>
      <c r="AJ4"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4" s="27" t="str">
        <f>IF(INDEX(ProcessingLevels[Processing Level Code],ROW()-3)="","PLEASE FILL IN AT LEAST ONE PROCESSING LEVEL",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PLEASE FILL IN AT LEAST ONE PROCESSING LEVEL</v>
      </c>
      <c r="AL4" s="27"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4" s="27"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4" s="27"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4" s="27"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4" s="27" t="str">
        <f t="shared" ref="AP4:AP8" si="1">CONCATENATE("*SamplingFeatureID",TEXT(ROW()-3+NumParentSamplingFeatures,"00000"))</f>
        <v>*SamplingFeatureID00001</v>
      </c>
      <c r="AQ4" s="27" t="e">
        <f>IF(ROW()-3&gt;NumSpecimens,"",
CONCATENATE("  - &amp;ActionID",TEXT(ROW()-3,"00000"),
" {","ActionTypeCV:  ",CHAR(34),"Specimen collection",CHAR(34),
", MethodObj: ",AL4,
", BeginDateTime:  ",CHAR(34),AM4,CHAR(34),
", BeginDateTimeUTCOffset:  ",CHAR(34),AN4,CHAR(34),
", EndDateTime:  NULL",
", EndDateTimeUTCOffset:  NULL",
", ActionDescription:  ",CHAR(34),"Action generated by Excel Template for ",TemplateProfile," v.",TemplateVersion,CHAR(34),
", ActionFileLink:  NULL",
,"}"))</f>
        <v>#N/A</v>
      </c>
      <c r="AR4" s="27">
        <v>1</v>
      </c>
      <c r="AS4" s="27" t="e">
        <f>INDEX(ResultColumnFinder[Data Value Label],MATCH($AR4,ResultColumnFinder[DV Num],1))</f>
        <v>#N/A</v>
      </c>
      <c r="AT4" s="27" t="str">
        <f>IF(INDEX(ResultColumnFinder[First Value Address],MATCH(CONCATENATE("ResultValue",$AR4),ResultColumnFinder[Concat2],0))="NOT GIVEN",
"",
IF(OFFSET(INDIRECT(INDEX(ResultColumnFinder[First Value Address],MATCH(CONCATENATE("ResultValue",$AR4),ResultColumnFinder[Concat2],0)),FALSE),ROW()-4-($AR4-1)*NumSpecimens,0)="",
"",
OFFSET(INDIRECT(INDEX(ResultColumnFinder[First Value Address],MATCH(CONCATENATE("ResultValue",$AR4),ResultColumnFinder[Concat2],0)),FALSE),ROW()-4-($AR4-1)*NumSpecimens,0))
)</f>
        <v/>
      </c>
      <c r="AU4" s="27" t="e">
        <f>IF(INDEX(ResultColumnFinder[First Value Address],MATCH(CONCATENATE("AnalysisMethodCode",$AR4),ResultColumnFinder[Concat2],0))="NOT GIVEN",
CONCATENATE("PLEASE FILL IN A VALID ANALYSIS METHOD CODE FOR ",$AS4),
IF(LEFT(INDEX(ResultColumnFinder[First Value Address],MATCH(CONCATENATE("AnalysisMethodCode",$AR4),ResultColumnFinder[Concat2],0)),14)="'Data Columns'",
IF(ISERROR(MATCH(INDIRECT(INDEX(ResultColumnFinder[First Value Address],MATCH(CONCATENATE("AnalysisMethodCode",$AR4),ResultColumnFinder[Concat2],0)),FALSE),Methods[Method Code],0)),
CONCATENATE("PLEASE FILL IN A VALID ANALYSIS METHOD CODE FOR ",$AS4),
CONCATENATE("*MethodID",TEXT(MATCH(INDIRECT(INDEX(ResultColumnFinder[First Value Address],MATCH(CONCATENATE("AnalysisMethodCode",$AR4),ResultColumnFinder[Concat2],0)),FALSE),Methods[Method Code],0),"00000"))),
IF(ISERROR(MATCH(OFFSET(INDIRECT(INDEX(ResultColumnFinder[First Value Address],MATCH(CONCATENATE("AnalysisMethodCode",$AR4),ResultColumnFinder[Concat2],0)),FALSE),ROW()-4-($AR4-1)*NumSpecimens,0),Methods[Method Code],0)),
CONCATENATE("PLEASE SPECIFY A VALID ANALYSIS METHOD CODE FOR ",$AS4," IN ROW ",ROW()-4-($AR4-1)*NumSpecimens),
CONCATENATE("*MethodID",TEXT(MATCH(OFFSET(INDIRECT(INDEX(ResultColumnFinder[First Value Address],MATCH(CONCATENATE("AnalysisMethodCode",$AR4),ResultColumnFinder[Concat2],0)),FALSE),ROW()-4-($AR4-1)*NumSpecimens,0),Methods[Method Code],0),"00000")))))</f>
        <v>#N/A</v>
      </c>
      <c r="AV4" s="27" t="str">
        <f>IF(INDEX(ResultColumnFinder[First Value Address],MATCH(CONCATENATE("AnalysisDateTime",$AR4),ResultColumnFinder[Concat2],0))="NOT GIVEN",
"",
IF(OFFSET(INDIRECT(INDEX(ResultColumnFinder[First Value Address],MATCH(CONCATENATE("AnalysisDateTime",$AR4),ResultColumnFinder[Concat2],0)),FALSE),ROW()-4-($AR4-1)*NumSpecimens,0)="",
CONCATENATE("PLEASE SPECIFY AN ANALYSIS TIME FOR ",$AS4," IN ROW ",ROW()-4-($AR4-1)*NumSpecimens),
TEXT(OFFSET(INDIRECT(INDEX(ResultColumnFinder[First Value Address],MATCH(CONCATENATE("AnalysisDateTime",$AR4),ResultColumnFinder[Concat2],0)),FALSE),ROW()-4-($AR4-1)*NumSpecimens,0),"yyyy-mm-dd hh:mm:ss")))</f>
        <v/>
      </c>
      <c r="AW4" s="27" t="e">
        <f>IF(INDEX(ResultColumnFinder[First Value Address],MATCH(CONCATENATE("AnalysisDateTimeUTCOffset",$AR4),ResultColumnFinder[Concat2],0))="NOT GIVEN",
"",
IF(LEFT(INDEX(ResultColumnFinder[First Value Address],MATCH(CONCATENATE("AnalysisDateTimeUTCOffset",$AR4),ResultColumnFinder[Concat2],0)),14)="'Data Columns'",
IF(INDIRECT(INDEX(ResultColumnFinder[First Value Address],MATCH(CONCATENATE("AnalysisDateTimeUTCOffset",$AR4),ResultColumnFinder[Concat2],0)),FALSE)="",
CONCATENATE("PLEASE FILL IN AN ANALYSIS TIME UTC OFFSET FOR ",$AS4),
INDIRECT(INDEX(ResultColumnFinder[First Value Address],MATCH(CONCATENATE("AnalysisDateTimeUTCOffset",$AR4),ResultColumnFinder[Concat2],0)),FALSE)),
IF(OFFSET(INDIRECT(INDEX(ResultColumnFinder[First Value Address],MATCH(CONCATENATE("AnalysisDateTimeUTCOffset",$AR4),ResultColumnFinder[Concat2],0)),FALSE),ROW()-4-($AR4-1)*NumSpecimens,0)="",
CONCATENATE("PLEASE SPECIFY AN ANALYSIS TIME UTC OFFSET FOR ",$AS4," IN ROW ",ROW()-4-($AR4-1)*NumSpecimens),
OFFSET(INDIRECT(INDEX(ResultColumnFinder[First Value Address],MATCH(CONCATENATE("AnalysisDateTimeUTCOffset",$AR4),ResultColumnFinder[Concat2],0)),FALSE),ROW()-4-($AR4-1)*NumSpecimens,0))))</f>
        <v>#N/A</v>
      </c>
      <c r="AX4" s="27" t="e">
        <f>IF(INDEX(ResultColumnFinder[First Value Address],MATCH(CONCATENATE("ResultAnalyst",$AR4),ResultColumnFinder[Concat2],0))="NOT GIVEN",
"",
IF(LEFT(INDEX(ResultColumnFinder[First Value Address],MATCH(CONCATENATE("ResultAnalyst",$AR4),ResultColumnFinder[Concat2],0)),14)="'Data Columns'",
IF(ISERROR(MATCH(INDIRECT(INDEX(ResultColumnFinder[First Value Address],MATCH(CONCATENATE("ResultAnalyst",$AR4),ResultColumnFinder[Concat2],0)),FALSE),People[Full Name],0)),
CONCATENATE("PLEASE FILL IN A VALID ANALYST FOR ",$AS4),
CONCATENATE("*AffiliationID",TEXT(MATCH(INDIRECT(INDEX(ResultColumnFinder[First Value Address],MATCH(CONCATENATE("ResultAnalyst",$AR4),ResultColumnFinder[Concat2],0)),FALSE),People[Full Name],0),"00000"))),
IF(OFFSET(INDIRECT(INDEX(ResultColumnFinder[First Value Address],MATCH(CONCATENATE("ResultAnalyst",$AR4),ResultColumnFinder[Concat2],0)),FALSE),ROW()-4-($AR4-1)*NumSpecimens,0)="",
"",
IF(ISERROR(MATCH(OFFSET(INDIRECT(INDEX(ResultColumnFinder[First Value Address],MATCH(CONCATENATE("ResultAnalyst",$AR4),ResultColumnFinder[Concat2],0)),FALSE),ROW()-4-($AR4-1)*NumSpecimens,0),People[Full Name],0)),
CONCATENATE("PLEASE SPECIFY A VALID ANALYST FOR ",$AS4," IN ROW ",ROW()-4-($AR4-1)*NumSpecimens),
CONCATENATE("*AffiliationID",TEXT(MATCH(OFFSET(INDIRECT(INDEX(ResultColumnFinder[First Value Address],MATCH(CONCATENATE("ResultAnalyst",$AR4),ResultColumnFinder[Concat2],0)),FALSE),ROW()-4-($AR4-1)*NumSpecimens,0),People[Full Name],0),"00000"))))))</f>
        <v>#N/A</v>
      </c>
      <c r="AY4" s="27" t="str">
        <f t="shared" ref="AY4:AY8" si="2">CONCATENATE("*SamplingFeatureID",TEXT(ROW()-3-($AR4-1)*NumSpecimens+NumParentSamplingFeatures,"00000"))</f>
        <v>*SamplingFeatureID00001</v>
      </c>
      <c r="AZ4" s="27" t="str">
        <f>IF(ROW()-3&gt;NumDataColumns*NumSpecimens,"",
IF(AT4="","",
CONCATENATE("  - &amp;ActionID",TEXT(ROW()-3+NumSpecimens,"00000"),
" {","ActionTypeCV:  ",CHAR(34),"Specimen analysis",CHAR(34),
", MethodObj: ",AU4,
", BeginDateTime:  ",CHAR(34),AV4,CHAR(34),
", BeginDateTimeUTCOffset:  ",CHAR(34),AW4,CHAR(34),
", EndDateTime:  NULL",
", EndDateTimeUTCOffset:  NULL",
", ActionDescription:  ",CHAR(34),"Action generated by Excel Template for ",TemplateProfile," v.",TemplateVersion,CHAR(34),
", ActionFileLink:  NULL",
,"}")))</f>
        <v/>
      </c>
      <c r="BA4" s="27" t="str">
        <f>IF(ROW()-3&gt;NumSpecimens,"",
CONCATENATE("  - &amp;FeatureActionID",TEXT(ROW()-3,"00000"),
" {","SamplingFeatureObj:  ",AP4,
", ActionObj:  *ActionID",TEXT(ROW()-3,"00000"),"}"))</f>
        <v xml:space="preserve">  - &amp;FeatureActionID00001 {SamplingFeatureObj:  *SamplingFeatureID00001, ActionObj:  *ActionID00001}</v>
      </c>
      <c r="BB4" s="27" t="str">
        <f>IF(ROW()-3&gt;NumDataColumns*NumSpecimens,"",
IF(AT4="","",
CONCATENATE("  - &amp;FeatureActionID",TEXT(ROW()-3+NumSpecimens,"00000"),
" {","SamplingFeatureObj:  ",AY4,
", ActionObj:  *ActionID",TEXT(ROW()-3+NumSpecimens,"00000"),"}")))</f>
        <v/>
      </c>
      <c r="BC4" s="27" t="e">
        <f>IF(ROW()-3&gt;NumSpecimens,"",
IF(AO4="","",
CONCATENATE("  - {",
"ActionObj:  *ActionID",TEXT(ROW()-3,"00000"),
", AffiliationObj:  ",AO4,
", IsActionLead: TRUE",
", RoleDescription: NULL",
"}")))</f>
        <v>#N/A</v>
      </c>
      <c r="BD4" s="27" t="str">
        <f>IF(ROW()-3&gt;NumDataColumns*NumSpecimens,"",
IF(AT4="","",
IF(AX4="","",
CONCATENATE("  - {",
"ActionObj:  *ActionID",TEXT(ROW()-3+NumSpecimens,"00000"),
", AffiliationObj:  ",AX4,
", IsActionLead: TRUE",
", RoleDescription: NULL",
"}"))))</f>
        <v/>
      </c>
      <c r="BE4" s="27" t="str">
        <f>IF(INDEX(ResultColumnFinder[First Value Address],MATCH(CONCATENATE("ResultUUID",$AR4),ResultColumnFinder[Concat2],0))="NOT GIVEN",
"",
IF(OFFSET(INDIRECT(INDEX(ResultColumnFinder[First Value Address],MATCH(CONCATENATE("ResultUUID",$AR4),ResultColumnFinder[Concat2],0)),FALSE),ROW()-4-($AR4-1)*NumSpecimens,0)="",
"",
OFFSET(INDIRECT(INDEX(ResultColumnFinder[First Value Address],MATCH(CONCATENATE("ResultUUID",$AR4),ResultColumnFinder[Concat2],0)),FALSE),ROW()-4-($AR4-1)*NumSpecimens,0))
)</f>
        <v/>
      </c>
      <c r="BF4" s="27" t="e">
        <f>IF(INDEX(ResultColumnFinder[First Value Address],MATCH(CONCATENATE("ResultTypeCV",$AR4),ResultColumnFinder[Concat2],0))="NOT GIVEN",
"PLEASE NOTE: A  RESULT TYPE MUST BE SPECIFIED FOR EACH RESULT",
IF(LEFT(INDEX(ResultColumnFinder[First Value Address],MATCH(CONCATENATE("ResultTypeCV",$AR4),ResultColumnFinder[Concat2],0)),14)="'Data Columns'",
IF(COUNTIF(ResultTypeCV,INDIRECT(INDEX(ResultColumnFinder[First Value Address],MATCH(CONCATENATE("ResultTypeCV",$AR4),ResultColumnFinder[Concat2],0)),FALSE))=0,
CONCATENATE("PLEASE FILL IN A VALID  RESULT TYPE FOR ",$AS4),
INDIRECT(INDEX(ResultColumnFinder[First Value Address],MATCH(CONCATENATE("ResultTypeCV",$AR4),ResultColumnFinder[Concat2],0)),FALSE)),
IF(COUNTIF(ResultTypeCV,OFFSET(INDIRECT(INDEX(ResultColumnFinder[First Value Address],MATCH(CONCATENATE("ResultTypeCV",$AR4),ResultColumnFinder[Concat2],0)),FALSE),ROW()-4-($AR4-1)*NumSpecimens,0))=0,
CONCATENATE("PLEASE SPECIFY A VALID  RESULT TYPE FOR ",$AS4," IN ROW ",ROW()-4-($AR4-1)*NumSpecimens),
OFFSET(INDIRECT(INDEX(ResultColumnFinder[First Value Address],MATCH(CONCATENATE("ResultTypeCV",$AR4),ResultColumnFinder[Concat2],0)),FALSE),ROW()-4-($AR4-1)*NumSpecimens,0))
))</f>
        <v>#N/A</v>
      </c>
      <c r="BG4" s="27" t="e">
        <f>IF(INDEX(ResultColumnFinder[First Value Address],MATCH(CONCATENATE("VariableCode",$AR4),ResultColumnFinder[Concat2],0))="NOT GIVEN",
"PLEASE NOTE: A VARIABLE CODE MUST BE SPECIFIED FOR EACH RESULT",
IF(LEFT(INDEX(ResultColumnFinder[First Value Address],MATCH(CONCATENATE("VariableCode",$AR4),ResultColumnFinder[Concat2],0)),14)="'Data Columns'",
IF(ISERROR(MATCH(INDIRECT(INDEX(ResultColumnFinder[First Value Address],MATCH(CONCATENATE("VariableCode",$AR4),ResultColumnFinder[Concat2],0)),FALSE),Variables[Variable Code],0)),
CONCATENATE("PLEASE FILL IN A VALID VARIABLE CODE FOR ",$AS4),
CONCATENATE("*VariableID",TEXT(MATCH(INDIRECT(INDEX(ResultColumnFinder[First Value Address],MATCH(CONCATENATE("VariableCode",$AR4),ResultColumnFinder[Concat2],0)),FALSE),Variables[Variable Code],0),"00000"))),
IF(ISERROR(MATCH(OFFSET(INDIRECT(INDEX(ResultColumnFinder[First Value Address],MATCH(CONCATENATE("VariableCode",$AR4),ResultColumnFinder[Concat2],0)),FALSE),ROW()-4-($AR4-1)*NumSpecimens,0),Variables[Variable Code],0)),
CONCATENATE("PLEASE SPECIFY A VALID VARIABLE CODE FOR ",$AS4," IN ROW ",ROW()-4-($AR4-1)*NumSpecimens),
CONCATENATE("*VariableID",TEXT(MATCH(OFFSET(INDIRECT(INDEX(ResultColumnFinder[First Value Address],MATCH(CONCATENATE("VariableCode",$AR4),ResultColumnFinder[Concat2],0)),FALSE),ROW()-4-($AR4-1)*NumSpecimens,0),Variables[Variable Code],0),"00000")))))</f>
        <v>#N/A</v>
      </c>
      <c r="BH4" s="27" t="e">
        <f>IF(INDEX(ResultColumnFinder[First Value Address],MATCH(CONCATENATE("UnitName",$AR4),ResultColumnFinder[Concat2],0))="NOT GIVEN",
"PLEASE NOTE: A UNIT MUST BE SPECIFIED FOR EACH RESULT",
IF(LEFT(INDEX(ResultColumnFinder[First Value Address],MATCH(CONCATENATE("UnitName",$AR4),ResultColumnFinder[Concat2],0)),14)="'Data Columns'",
IF(INDIRECT(INDEX(ResultColumnFinder[First Value Address],MATCH(CONCATENATE("UnitName",$AR4),ResultColumnFinder[Concat2],0)),FALSE)="",
CONCATENATE("PLEASE FILL IN A UNIT FOR ",$AS4),
INDIRECT(INDEX(ResultColumnFinder[First Value Address],MATCH(CONCATENATE("UnitName",$AR4),ResultColumnFinder[Concat2],0)),FALSE)),
IF(OFFSET(INDIRECT(INDEX(ResultColumnFinder[First Value Address],MATCH(CONCATENATE("UnitName",$AR4),ResultColumnFinder[Concat2],0)),FALSE),ROW()-4-($AR4-1)*NumSpecimens,0)="",
CONCATENATE("PLEASE SPECIFY A UNIT FOR ",$AS4," IN ROW ",ROW()-4-($AR4-1)*NumSpecimens),
OFFSET(INDIRECT(INDEX(ResultColumnFinder[First Value Address],MATCH(CONCATENATE("UnitName",$AR4),ResultColumnFinder[Concat2],0)),FALSE),ROW()-4-($AR4-1)*NumSpecimens,0))
))</f>
        <v>#N/A</v>
      </c>
      <c r="BI4" s="27" t="e">
        <f>IF(INDEX(ResultColumnFinder[First Value Address],MATCH(CONCATENATE("TaxonomicClassifierName",$AR4),ResultColumnFinder[Concat2],0))="NOT GIVEN",
"",
IF(LEFT(INDEX(ResultColumnFinder[First Value Address],MATCH(CONCATENATE("TaxonomicClassifierName",$AR4),ResultColumnFinder[Concat2],0)),14)="'Data Columns'",
IF(ISERROR(MATCH(INDIRECT(INDEX(ResultColumnFinder[First Value Address],MATCH(CONCATENATE("TaxonomicClassifierName",$AR4),ResultColumnFinder[Concat2],0)),FALSE),TaxonomicClassifiers[Taxonomic Classifier Name],0)),
"",
CONCATENATE("*VariableID",TEXT(MATCH(INDIRECT(INDEX(ResultColumnFinder[First Value Address],MATCH(CONCATENATE("TaxonomicClassifierName",$AR4),ResultColumnFinder[Concat2],0)),FALSE),TaxonomicClassifiers[Taxonomic Classifier Name],0),"00000"))),
IF(ISERROR(MATCH(OFFSET(INDIRECT(INDEX(ResultColumnFinder[First Value Address],MATCH(CONCATENATE("TaxonomicClassifierName",$AR4),ResultColumnFinder[Concat2],0)),FALSE),ROW()-4-($AR4-1)*NumSpecimens,0),TaxonomicClassifiers[Taxonomic Classifier Name],0)),
"",
CONCATENATE("*VariableID",TEXT(MATCH(OFFSET(INDIRECT(INDEX(ResultColumnFinder[First Value Address],MATCH(CONCATENATE("TaxonomicClassifierName",$AR4),ResultColumnFinder[Concat2],0)),FALSE),ROW()-4-($AR4-1)*NumSpecimens,0),TaxonomicClassifiers[Taxonomic Classifier Name],0),"00000")))))</f>
        <v>#N/A</v>
      </c>
      <c r="BJ4" s="27" t="e">
        <f>IF(INDEX(ResultColumnFinder[First Value Address],MATCH(CONCATENATE("ProcessingLevelCode",$AR4),ResultColumnFinder[Concat2],0))="NOT GIVEN",
"PLEASE NOTE: A PROCESSING LEVEL CODE MUST BE SPECIFIED FOR EACH RESULT",
IF(LEFT(INDEX(ResultColumnFinder[First Value Address],MATCH(CONCATENATE("ProcessingLevelCode",$AR4),ResultColumnFinder[Concat2],0)),14)="'Data Columns'",
IF(ISERROR(MATCH(INDIRECT(INDEX(ResultColumnFinder[First Value Address],MATCH(CONCATENATE("ProcessingLevelCode",$AR4),ResultColumnFinder[Concat2],0)),FALSE),ProcessingLevels[Processing Level Code],0)),
CONCATENATE("PLEASE FILL IN A VALID PROCESSING LEVEL CODE FOR ",$AS4),
CONCATENATE("*ProcessingLevelID",TEXT(MATCH(INDIRECT(INDEX(ResultColumnFinder[First Value Address],MATCH(CONCATENATE("ProcessingLevelCode",$AR4),ResultColumnFinder[Concat2],0)),FALSE),ProcessingLevels[Processing Level Code],0),"00000"))),
IF(ISERROR(MATCH(OFFSET(INDIRECT(INDEX(ResultColumnFinder[First Value Address],MATCH(CONCATENATE("ProcessingLevelCode",$AR4),ResultColumnFinder[Concat2],0)),FALSE),ROW()-4-($AR4-1)*NumSpecimens,0),ProcessingLevels[Processing Level Code],0)),
CONCATENATE("PLEASE SPECIFY A VALID PROCESSING LEVEL CODE FOR ",$AS4," IN ROW ",ROW()-4-($AR4-1)*NumSpecimens),
CONCATENATE("*ProcessingLevelID",TEXT(MATCH(OFFSET(INDIRECT(INDEX(ResultColumnFinder[First Value Address],MATCH(CONCATENATE("ProcessingLevelCode",$AR4),ResultColumnFinder[Concat2],0)),FALSE),ROW()-4-($AR4-1)*NumSpecimens,0),ProcessingLevels[Processing Level Code],0),"00000")))))</f>
        <v>#N/A</v>
      </c>
      <c r="BK4" s="27"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Address],MATCH("CollectionDateTime",SpecimenColumnFinder[DataType],0)),FALSE),ROW()-4-($AR4-1)*NumSpecimens,0)="",
CONCATENATE("PLEASE SPECIFY A SPECIMEN COLLECTION DATE/TIME IN ROW ",ROW()-4-($AR4-1)*NumSpecimens),
TEXT(OFFSET(INDIRECT(INDEX(SpecimenColumnFinder[First Value Address],MATCH("CollectionDateTime",SpecimenColumnFinder[DataType],0)),FALSE),ROW()-4-($AR4-1)*NumSpecimens,0),"yyyy-mm-dd hh:mm:ss")))</f>
        <v>PLEASE NOTE: THE SPECIMEN COLLECTION DATE/TIME MUST BE SPECIFIED</v>
      </c>
      <c r="BL4" s="27"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Address],MATCH("CollectionDateTimeUTCOffset",SpecimenColumnFinder[DataType],0)),FALSE),ROW()-4-($AR4-1)*NumSpecimens,0)="",
CONCATENATE("PLEASE SPECIFY A COLLECTION TIME UTC OFFSET IN ROW ",ROW()-4-($AR4-1)*NumSpecimens),
OFFSET(INDIRECT(INDEX(SpecimenColumnFinder[First Value Address],MATCH("CollectionDateTimeUTCOffset",SpecimenColumnFinder[DataType],0)),FALSE),ROW()-4-($AR4-1)*NumSpecimens,0)))</f>
        <v>#N/A</v>
      </c>
      <c r="BM4" s="27" t="e">
        <f>IF(INDEX(ResultColumnFinder[First Value Address],MATCH(CONCATENATE("SampledMediumCV",$AR4),ResultColumnFinder[Concat2],0))="NOT GIVEN",
"PLEASE NOTE: A SAMPLED MEDIUM MUST BE SPECIFIED FOR EACH RESULT",
IF(LEFT(INDEX(ResultColumnFinder[First Value Address],MATCH(CONCATENATE("SampledMediumCV",$AR4),ResultColumnFinder[Concat2],0)),14)="'Data Columns'",
IF(COUNTIF(SampledMediumCV,INDIRECT(INDEX(ResultColumnFinder[First Value Address],MATCH(CONCATENATE("SampledMediumCV",$AR4),ResultColumnFinder[Concat2],0)),FALSE))=0,
CONCATENATE("PLEASE FILL IN A VALID SAMPLED MEDIUM FOR ",$AS4),
INDIRECT(INDEX(ResultColumnFinder[First Value Address],MATCH(CONCATENATE("SampledMediumCV",$AR4),ResultColumnFinder[Concat2],0)),FALSE)),
IF(COUNTIF(SampledMediumCV,OFFSET(INDIRECT(INDEX(ResultColumnFinder[First Value Address],MATCH(CONCATENATE("SampledMediumCV",$AR4),ResultColumnFinder[Concat2],0)),FALSE),ROW()-4-($AR4-1)*NumSpecimens,0))=0,
CONCATENATE("PLEASE SPECIFY A VALID SAMPLED MEDIUM FOR ",$AS4," IN ROW ",ROW()-4-($AR4-1)*NumSpecimens),
OFFSET(INDIRECT(INDEX(ResultColumnFinder[First Value Address],MATCH(CONCATENATE("SampledMediumCV",$AR4),ResultColumnFinder[Concat2],0)),FALSE),ROW()-4-($AR4-1)*NumSpecimens,0))
))</f>
        <v>#N/A</v>
      </c>
      <c r="BN4" s="27" t="e">
        <f>IF(BF4&lt;&gt;"Measurement","",
IF(INDEX(ResultColumnFinder[First Value Address],MATCH(CONCATENATE("CensorCodeCV",$AR4),ResultColumnFinder[Concat2],0))="NOT GIVEN",
"PLEASE NOTE: A CENSOR CODE MUST BE SPECIFIED FOR EACH RESULT",
IF(LEFT(INDEX(ResultColumnFinder[First Value Address],MATCH(CONCATENATE("CensorCodeCV",$AR4),ResultColumnFinder[Concat2],0)),14)="'Data Columns'",
IF(COUNTIF(CensorCodeCV,INDIRECT(INDEX(ResultColumnFinder[First Value Address],MATCH(CONCATENATE("CensorCodeCV",$AR4),ResultColumnFinder[Concat2],0)),FALSE))=0,
CONCATENATE("PLEASE FILL IN A VALID CENSOR CODE FOR ",$AS4),
INDIRECT(INDEX(ResultColumnFinder[First Value Address],MATCH(CONCATENATE("CensorCodeCV",$AR4),ResultColumnFinder[Concat2],0)),FALSE)),
IF(COUNTIF(CensorCodeCV,OFFSET(INDIRECT(INDEX(ResultColumnFinder[First Value Address],MATCH(CONCATENATE("CensorCodeCV",$AR4),ResultColumnFinder[Concat2],0)),FALSE),ROW()-4-($AR4-1)*NumSpecimens,0))=0,
CONCATENATE("PLEASE SPECIFY A VALID CENSOR CODE FOR ",$AS4," IN ROW ",ROW()-4-($AR4-1)*NumSpecimens),
OFFSET(INDIRECT(INDEX(ResultColumnFinder[First Value Address],MATCH(CONCATENATE("CensorCodeCV",$AR4),ResultColumnFinder[Concat2],0)),FALSE),ROW()-4-($AR4-1)*NumSpecimens,0))
)))</f>
        <v>#N/A</v>
      </c>
      <c r="BO4" s="27" t="e">
        <f>IF(INDEX(ResultColumnFinder[First Value Address],MATCH(CONCATENATE("QualityCodeCV",$AR4),ResultColumnFinder[Concat2],0))="NOT GIVEN",
"PLEASE NOTE: A QUALITY CODE MUST BE SPECIFIED FOR EACH RESULT",
IF(LEFT(INDEX(ResultColumnFinder[First Value Address],MATCH(CONCATENATE("QualityCodeCV",$AR4),ResultColumnFinder[Concat2],0)),14)="'Data Columns'",
IF(COUNTIF(QualityCodeCV,INDIRECT(INDEX(ResultColumnFinder[First Value Address],MATCH(CONCATENATE("QualityCodeCV",$AR4),ResultColumnFinder[Concat2],0)),FALSE))=0,
CONCATENATE("PLEASE FILL IN A VALID QUALITY CODE FOR ",$AS4),
INDIRECT(INDEX(ResultColumnFinder[First Value Address],MATCH(CONCATENATE("QualityCodeCV",$AR4),ResultColumnFinder[Concat2],0)),FALSE)),
IF(COUNTIF(QualityCodeCV,OFFSET(INDIRECT(INDEX(ResultColumnFinder[First Value Address],MATCH(CONCATENATE("QualityCodeCV",$AR4),ResultColumnFinder[Concat2],0)),FALSE),ROW()-4-($AR4-1)*NumSpecimens,0))=0,
CONCATENATE("PLEASE SPECIFY A VALID QUALITY CODE FOR ",$AS4," IN ROW ",ROW()-4-($AR4-1)*NumSpecimens),
OFFSET(INDIRECT(INDEX(ResultColumnFinder[First Value Address],MATCH(CONCATENATE("QualityCodeCV",$AR4),ResultColumnFinder[Concat2],0)),FALSE),ROW()-4-($AR4-1)*NumSpecimens,0))
))</f>
        <v>#N/A</v>
      </c>
      <c r="BP4" s="27" t="e">
        <f>IF(BF4&lt;&gt;"Measurement","",
IF(INDEX(ResultColumnFinder[First Value Address],MATCH(CONCATENATE("AggregationStatisticCV",$AR4),ResultColumnFinder[Concat2],0))="NOT GIVEN",
"PLEASE NOTE: AN AGGREGATION STATISTIC MUST BE SPECIFIED FOR EACH MEASUREMENT RESULT",
IF(LEFT(INDEX(ResultColumnFinder[First Value Address],MATCH(CONCATENATE("AggregationStatisticCV",$AR4),ResultColumnFinder[Concat2],0)),14)="'Data Columns'",
IF(COUNTIF(AggregationStatisticCV,INDIRECT(INDEX(ResultColumnFinder[First Value Address],MATCH(CONCATENATE("AggregationStatisticCV",$AR4),ResultColumnFinder[Concat2],0)),FALSE))=0,
CONCATENATE("PLEASE FILL IN A VALID AGGREGATION STATISTIC FOR ",$AS4),
INDIRECT(INDEX(ResultColumnFinder[First Value Address],MATCH(CONCATENATE("AggregationStatisticCV",$AR4),ResultColumnFinder[Concat2],0)),FALSE)),
IF(COUNTIF(AggregationStatisticCV,OFFSET(INDIRECT(INDEX(ResultColumnFinder[First Value Address],MATCH(CONCATENATE("AggregationStatisticCV",$AR4),ResultColumnFinder[Concat2],0)),FALSE),ROW()-4-($AR4-1)*NumSpecimens,0))=0,
CONCATENATE("PLEASE SPECIFY A VALID AGGREGATION STATISTIC FOR ",$AS4," IN ROW ",ROW()-4-($AR4-1)*NumSpecimens),
OFFSET(INDIRECT(INDEX(ResultColumnFinder[First Value Address],MATCH(CONCATENATE("AggregationStatisticCV",$AR4),ResultColumnFinder[Concat2],0)),FALSE),ROW()-4-($AR4-1)*NumSpecimens,0))
)))</f>
        <v>#N/A</v>
      </c>
      <c r="BQ4" s="27" t="e">
        <f>IF(BF4&lt;&gt;"Measurement","",
IF(INDEX(ResultColumnFinder[First Value Address],MATCH(CONCATENATE("TimeAggregationInterval",$AR4),ResultColumnFinder[Concat2],0))="NOT GIVEN",
"PLEASE NOTE: A TIME AGGREGATION INTERVAL MUST BE SPECIFIED FOR EACH RESULT",
IF(LEFT(INDEX(ResultColumnFinder[First Value Address],MATCH(CONCATENATE("TimeAggregationInterval",$AR4),ResultColumnFinder[Concat2],0)),14)="'Data Columns'",
IF(INDIRECT(INDEX(ResultColumnFinder[First Value Address],MATCH(CONCATENATE("TimeAggregationInterval",$AR4),ResultColumnFinder[Concat2],0)),FALSE)="",
CONCATENATE("PLEASE FILL IN A TIME AGGREGATION INTERVAL FOR ",$AS4),
INDIRECT(INDEX(ResultColumnFinder[First Value Address],MATCH(CONCATENATE("TimeAggregationInterval",$AR4),ResultColumnFinder[Concat2],0)),FALSE)),
IF(OFFSET(INDIRECT(INDEX(ResultColumnFinder[First Value Address],MATCH(CONCATENATE("TimeAggregationInterval",$AR4),ResultColumnFinder[Concat2],0)),FALSE),ROW()-4-($AR4-1)*NumSpecimens,0)="",
CONCATENATE("PLEASE SPECIFY A TIME AGGREGATION INTERVAL FOR ",$AS4," IN ROW ",ROW()-4-($AR4-1)*NumSpecimens),
OFFSET(INDIRECT(INDEX(ResultColumnFinder[First Value Address],MATCH(CONCATENATE("TimeAggregationInterval",$AR4),ResultColumnFinder[Concat2],0)),FALSE),ROW()-4-($AR4-1)*NumSpecimens,0))
)))</f>
        <v>#N/A</v>
      </c>
      <c r="BR4" s="27" t="e">
        <f>IF(BF4&lt;&gt;"Measurement","",
IF(INDEX(ResultColumnFinder[First Value Address],MATCH(CONCATENATE("TimeAggregationIntervalUnitCode",$AR4),ResultColumnFinder[Concat2],0))="NOT GIVEN",
"PLEASE NOTE: A TIME AGGREGATION UNIT MUST BE SPECIFIED FOR EACH RESULT",
IF(LEFT(INDEX(ResultColumnFinder[First Value Address],MATCH(CONCATENATE("TimeAggregationIntervalUnitCode",$AR4),ResultColumnFinder[Concat2],0)),14)="'Data Columns'",
IF(INDIRECT(INDEX(ResultColumnFinder[First Value Address],MATCH(CONCATENATE("TimeAggregationIntervalUnitCode",$AR4),ResultColumnFinder[Concat2],0)),FALSE)="",
CONCATENATE("PLEASE FILL IN A TIME AGGREGATION UNIT FOR ",$AS4),
INDIRECT(INDEX(ResultColumnFinder[First Value Address],MATCH(CONCATENATE("TimeAggregationIntervalUnitCode",$AR4),ResultColumnFinder[Concat2],0)),FALSE)),
IF(OFFSET(INDIRECT(INDEX(ResultColumnFinder[First Value Address],MATCH(CONCATENATE("TimeAggregationIntervalUnitCode",$AR4),ResultColumnFinder[Concat2],0)),FALSE),ROW()-4-($AR4-1)*NumSpecimens,0)="",
CONCATENATE("PLEASE SPECIFY A TIME AGGREGATION UNIT FOR ",$AS4," IN ROW ",ROW()-4-($AR4-1)*NumSpecimens),
OFFSET(INDIRECT(INDEX(ResultColumnFinder[First Value Address],MATCH(CONCATENATE("TimeAggregationIntervalUnitCode",$AR4),ResultColumnFinder[Concat2],0)),FALSE),ROW()-4-($AR4-1)*NumSpecimens,0))
)))</f>
        <v>#N/A</v>
      </c>
      <c r="BS4" s="27" t="str">
        <f>IF(NumDataColumns=0,"PLEASE SELECT AT LEAST 1 COLUMN OF RESULT VALUES",
IF(AT4="","",
CONCATENATE("  - &amp;ResultID",TEXT(ROW()-3,"00000"),
" {","ResultUUID:  ",CHAR(34),BE4,CHAR(34),
", FeatureActionObj: *FeatureActionID",TEXT(ROW()-3,"00000"),
", ResultTypeCV:  ",CHAR(34),BF4,CHAR(34),
", VariableObj:  ",BG4,
", UnitsObj:  ",BH4,
", TaxonomicClassifierObj:  ",BI4,
", ProcessingLevelObj:  ",BJ4,
", ResultDateTime:  ",BK4,
", ResultDateTimeUTCOffset:  ",BL4,
", ValidDateTime:  ","",
", ValidDateTimeUTCOffset:  ","",
", StatusCV:  ","",
", SampledMediumCV:  ",CHAR(34),BM4,CHAR(34),
", ValueCount:  ",1,"}")))</f>
        <v>PLEASE SELECT AT LEAST 1 COLUMN OF RESULT VALUES</v>
      </c>
      <c r="BT4" s="27" t="str">
        <f>IF(NumDataColumns=0,"THERE MUST BE AT LEAST ONE COLUMN OF DATA VALUES",
IF(AT4="","",
CONCATENATE("  - {DatasetObj: *DatasetID00001, ",
"ResultObj: *ResultID",TEXT(ROW()-3,"00000"),
"}")))</f>
        <v>THERE MUST BE AT LEAST ONE COLUMN OF DATA VALUES</v>
      </c>
      <c r="BU4" s="27">
        <f>MAX(NumDataColumns*NumSpecimens+1,2)</f>
        <v>2</v>
      </c>
      <c r="BV4" s="27" t="e">
        <f>IF(BF4&lt;&gt;"Measurement","",
IF(AT4="","",
CONCATENATE("  - &amp;MeasurementResultValueID",TEXT(ROW()-3,"00000"),
" {","MeasurementResultObj: *MeasurementResultID",TEXT(ROW()-3,"00000"),
", DataValue: ",AT4,
", ValueDateTime:  ",CHAR(34),BK4,CHAR(34),
", ValueDateTimeUTCOffset:  ",BL4,
"}")))</f>
        <v>#N/A</v>
      </c>
      <c r="BW4" s="27" t="e">
        <f>IF(BF4="Measurement","",
IF(AT4="","",
CONCATENATE("  - &amp;CategoricalResultID",TEXT(ROW()-3,"00000"),
" {","ResultObj: *ResultID",TEXT(ROW()-3,"00000"),
", XLocation:  NULL",
", XLocationUnitsObj:  ","",
", YLocation:  NULL",
", YLocationUnitsObj:  ","",
", ZLocation:  NULL",
", ZLocationUnitsObj:  ","",
", SpatialReferenceObj:  ","",
", QualityCodeCV:  ",CHAR(34),BO4,CHAR(34),
"}")))</f>
        <v>#N/A</v>
      </c>
      <c r="BX4" s="27" t="e">
        <f>IF(BF4="Measurement","",
IF(AT4="","",
CONCATENATE("  - &amp;CategoricalResultValueID",TEXT(ROW()-3,"00000"),
" {","MeasurementResultObj: *CategoricalResultID",TEXT(ROW()-3,"00000"),
", DataValue: ",AT4,
", ValueDateTime:  ",CHAR(34),BK4,CHAR(34),
", ValueDateTimeUTCOffset:  ",BL4,
"}")))</f>
        <v>#N/A</v>
      </c>
      <c r="CC4" s="27" t="s">
        <v>1205</v>
      </c>
      <c r="CD4" s="27">
        <f>SUM(B2:BX2)</f>
        <v>96</v>
      </c>
    </row>
    <row r="5" spans="1:82" x14ac:dyDescent="0.25">
      <c r="A5" s="27">
        <f t="shared" si="0"/>
        <v>2</v>
      </c>
      <c r="B5" s="27" t="str">
        <f>CONCATENATE("  - {",
"Version: ",CHAR(34),YODAVersion,CHAR(34),
", Profile: ",CHAR(34),TemplateProfile,CHAR(34),
", CreationTool: ",CHAR(34),"Excel Template v",TemplateVersion,CHAR(34),
", DateCreated: ",CHAR(34),TEXT(TODAY(),"yyyy-mm-dd"),CHAR(34),
", DateUpdated: ",CHAR(34),TEXT(TODAY(),"yyyy-mm-dd"),CHAR(34),
"}")</f>
        <v xml:space="preserve">  - {Version: "1.0.0", Profile: "Specimen", CreationTool: "Excel Template v1.0.0", DateCreated: "2015-04-20", DateUpdated: "2015-04-20"}</v>
      </c>
      <c r="D5" s="27"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E5" s="27"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7"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&amp;ExternalIdentifierSystemID00002 {ExternalIdentifierSystemName:  "Digital Object Identifier (DOI)", IdentifierSystemOrganizationObj:  *OrganizationID00002, ExternalIdentifierSystemDescription:  "A Digital Identifier of an Object that provides an actionable, interoperable, persistent link to that object", ExternalIdentifierSystemURL:  "http://www.doi.org/"}</v>
      </c>
      <c r="G5" s="27"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5"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5" s="27"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5" s="27"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5" s="27"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5" s="27"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5" s="27"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5" s="27"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5" s="27"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5" s="27"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5" s="27"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5" s="27" t="str">
        <f>IF(ROW()-3&gt;NumParentSamplingFeatures+NumSpecimens,"",
IF(ROW()-3&gt;NumParentSamplingFeatures,
CONCATENATE("  - &amp;SamplingFeatureID",TEXT(ROW()-3,"00000"),
" {","SamplingFeatureUUID:  ",CHAR(34),O5,CHAR(34),
", SamplingFeatureTypeCV:  ",CHAR(34),"Specimen",CHAR(34),
", SamplingFeatureCode:  ",CHAR(34),P5,CHAR(34),
", SamplingFeatureName:  ",CHAR(34),Q5,CHAR(34),
", SamplingFeatureDescription:  ",CHAR(34),R5,CHAR(34),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5" s="27" t="str">
        <f>IF(AND(NumIGSNs=0,COUNTIF(DataColumns[ColumnType],"SpecimenIGSN")=0),"",
IF(ROW()-3&gt;NumIGSNs+NumSpecimens,"",
IF(ROW()-3&gt;NumIGSNs,
IF(ISERROR(MATCH("SpecimenIGSN",DataColumns[ColumnType],0)),"",
IF(S5="","",
CONCATENATE("  - {",
"SamplingFeatureObj:  *SamplingFeatureID",TEXT(ROW()-2-NumIGSNs+NumParentSamplingFeatures-1,"00000"),
", ExternalIdentifierSystemObj:  *ExternalIdentifierSystemID00003",
", SamplingFeatureExternalIdentifier:  ",CHAR(34),S5,CHAR(34),
", SamplingFeatureExternalIdentifierURI:  ",CHAR(34),"http://app.geosamples.org/sample/igsn/",S5,CHAR(34),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5"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c>
      <c r="Z5" s="27" t="e">
        <f>IF(ROW()-4&gt;NumParentSpecimens+NumSpecimens,"",
IF(ROW()-3&gt;NumParentSpecimens,
CONCATENATE("  - {",
"SamplingFeatureObj:  *SamplingFeatureID",TEXT(ROW()-3+NumParentSamplingFeatures,"00000"),
", SpecimenTypeCV:  ",CHAR(34),T5,CHAR(34),
", SpecimenMediumCV:  ",CHAR(34),U5,CHAR(34),
", IsFieldSpecimen:  ",CHAR(34),V5,CHAR(34),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#N/A</v>
      </c>
      <c r="AA5"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5" s="27" t="str">
        <f t="shared" ref="AB5:AB8" si="3">CONCATENATE("*SamplingFeatureID",TEXT(ROW()-2-NumRelatedFeatures+NumParentSamplingFeatures-1,"00000"))</f>
        <v>*SamplingFeatureID00002</v>
      </c>
      <c r="AC5" s="27"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5" s="178"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5" s="178"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5" s="27" t="str">
        <f>IF(AND(NumRelatedFeatures=0,MATCH("ParentSamplingFeatureCode",SpecimenColumnFinder[DataType],0)="NOT GIVEN"),"",
IF(ROW()-3&gt;NumRelatedFeatures+NumSpecimens,"",
IF(ROW()-3&gt;NumRelatedFeatures,
IF(AD5="NO RELATED FEATURE","",
CONCATENATE("  - {",
"SamplingFeatureObj:  ",AB5,
", RelationshipTypeCV:  ",CHAR(34),AC5,CHAR(34),
", RelatedFeatureObj: ",AD5,
", SpatialOffsetObj:  ",AE5,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c>
      <c r="AG5" s="27"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c>
      <c r="AH5" s="27"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5"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5" s="27"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5" s="27"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5" s="27"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5" s="27"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5" s="27"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5" s="27" t="str">
        <f t="shared" si="1"/>
        <v>*SamplingFeatureID00002</v>
      </c>
      <c r="AQ5" s="27" t="str">
        <f>IF(ROW()-3&gt;NumSpecimens,"",
CONCATENATE("  - &amp;ActionID",TEXT(ROW()-3,"00000"),
" {","ActionTypeCV:  ",CHAR(34),"Specimen collection",CHAR(34),
", MethodObj: ",AL5,
", BeginDateTime:  ",CHAR(34),AM5,CHAR(34),
", BeginDateTimeUTCOffset:  ",CHAR(34),AN5,CHAR(34),
", EndDateTime:  NULL",
", EndDateTimeUTCOffset:  NULL",
", ActionDescription:  ",CHAR(34),"Action generated by Excel Template for ",TemplateProfile," v.",TemplateVersion,CHAR(34),
", ActionFileLink:  NULL",
,"}"))</f>
        <v/>
      </c>
      <c r="AR5" s="27">
        <f t="shared" ref="AR5:AR8" si="4">IF(ROW()-3&gt;NumSpecimens*AR4,AR4+1,AR4)</f>
        <v>2</v>
      </c>
      <c r="AS5" s="27" t="e">
        <f>INDEX(ResultColumnFinder[Data Value Label],MATCH($AR5,ResultColumnFinder[DV Num],1))</f>
        <v>#N/A</v>
      </c>
      <c r="AT5" s="27" t="e">
        <f>IF(INDEX(ResultColumnFinder[First Value Address],MATCH(CONCATENATE("ResultValue",$AR5),ResultColumnFinder[Concat2],0))="NOT GIVEN",
"",
IF(OFFSET(INDIRECT(INDEX(ResultColumnFinder[First Value Address],MATCH(CONCATENATE("ResultValue",$AR5),ResultColumnFinder[Concat2],0)),FALSE),ROW()-4-($AR5-1)*NumSpecimens,0)="",
"",
OFFSET(INDIRECT(INDEX(ResultColumnFinder[First Value Address],MATCH(CONCATENATE("ResultValue",$AR5),ResultColumnFinder[Concat2],0)),FALSE),ROW()-4-($AR5-1)*NumSpecimens,0))
)</f>
        <v>#N/A</v>
      </c>
      <c r="AU5" s="27" t="e">
        <f>IF(INDEX(ResultColumnFinder[First Value Address],MATCH(CONCATENATE("AnalysisMethodCode",$AR5),ResultColumnFinder[Concat2],0))="NOT GIVEN",
CONCATENATE("PLEASE FILL IN A VALID ANALYSIS METHOD CODE FOR ",$AS5),
IF(LEFT(INDEX(ResultColumnFinder[First Value Address],MATCH(CONCATENATE("AnalysisMethodCode",$AR5),ResultColumnFinder[Concat2],0)),14)="'Data Columns'",
IF(ISERROR(MATCH(INDIRECT(INDEX(ResultColumnFinder[First Value Address],MATCH(CONCATENATE("AnalysisMethodCode",$AR5),ResultColumnFinder[Concat2],0)),FALSE),Methods[Method Code],0)),
CONCATENATE("PLEASE FILL IN A VALID ANALYSIS METHOD CODE FOR ",$AS5),
CONCATENATE("*MethodID",TEXT(MATCH(INDIRECT(INDEX(ResultColumnFinder[First Value Address],MATCH(CONCATENATE("AnalysisMethodCode",$AR5),ResultColumnFinder[Concat2],0)),FALSE),Methods[Method Code],0),"00000"))),
IF(ISERROR(MATCH(OFFSET(INDIRECT(INDEX(ResultColumnFinder[First Value Address],MATCH(CONCATENATE("AnalysisMethodCode",$AR5),ResultColumnFinder[Concat2],0)),FALSE),ROW()-4-($AR5-1)*NumSpecimens,0),Methods[Method Code],0)),
CONCATENATE("PLEASE SPECIFY A VALID ANALYSIS METHOD CODE FOR ",$AS5," IN ROW ",ROW()-4-($AR5-1)*NumSpecimens),
CONCATENATE("*MethodID",TEXT(MATCH(OFFSET(INDIRECT(INDEX(ResultColumnFinder[First Value Address],MATCH(CONCATENATE("AnalysisMethodCode",$AR5),ResultColumnFinder[Concat2],0)),FALSE),ROW()-4-($AR5-1)*NumSpecimens,0),Methods[Method Code],0),"00000")))))</f>
        <v>#N/A</v>
      </c>
      <c r="AV5" s="27" t="e">
        <f>IF(INDEX(ResultColumnFinder[First Value Address],MATCH(CONCATENATE("AnalysisDateTime",$AR5),ResultColumnFinder[Concat2],0))="NOT GIVEN",
"",
IF(OFFSET(INDIRECT(INDEX(ResultColumnFinder[First Value Address],MATCH(CONCATENATE("AnalysisDateTime",$AR5),ResultColumnFinder[Concat2],0)),FALSE),ROW()-4-($AR5-1)*NumSpecimens,0)="",
CONCATENATE("PLEASE SPECIFY AN ANALYSIS TIME FOR ",$AS5," IN ROW ",ROW()-4-($AR5-1)*NumSpecimens),
TEXT(OFFSET(INDIRECT(INDEX(ResultColumnFinder[First Value Address],MATCH(CONCATENATE("AnalysisDateTime",$AR5),ResultColumnFinder[Concat2],0)),FALSE),ROW()-4-($AR5-1)*NumSpecimens,0),"yyyy-mm-dd hh:mm:ss")))</f>
        <v>#N/A</v>
      </c>
      <c r="AW5" s="27" t="e">
        <f>IF(INDEX(ResultColumnFinder[First Value Address],MATCH(CONCATENATE("AnalysisDateTimeUTCOffset",$AR5),ResultColumnFinder[Concat2],0))="NOT GIVEN",
"",
IF(LEFT(INDEX(ResultColumnFinder[First Value Address],MATCH(CONCATENATE("AnalysisDateTimeUTCOffset",$AR5),ResultColumnFinder[Concat2],0)),14)="'Data Columns'",
IF(INDIRECT(INDEX(ResultColumnFinder[First Value Address],MATCH(CONCATENATE("AnalysisDateTimeUTCOffset",$AR5),ResultColumnFinder[Concat2],0)),FALSE)="",
CONCATENATE("PLEASE FILL IN AN ANALYSIS TIME UTC OFFSET FOR ",$AS5),
INDIRECT(INDEX(ResultColumnFinder[First Value Address],MATCH(CONCATENATE("AnalysisDateTimeUTCOffset",$AR5),ResultColumnFinder[Concat2],0)),FALSE)),
IF(OFFSET(INDIRECT(INDEX(ResultColumnFinder[First Value Address],MATCH(CONCATENATE("AnalysisDateTimeUTCOffset",$AR5),ResultColumnFinder[Concat2],0)),FALSE),ROW()-4-($AR5-1)*NumSpecimens,0)="",
CONCATENATE("PLEASE SPECIFY AN ANALYSIS TIME UTC OFFSET FOR ",$AS5," IN ROW ",ROW()-4-($AR5-1)*NumSpecimens),
OFFSET(INDIRECT(INDEX(ResultColumnFinder[First Value Address],MATCH(CONCATENATE("AnalysisDateTimeUTCOffset",$AR5),ResultColumnFinder[Concat2],0)),FALSE),ROW()-4-($AR5-1)*NumSpecimens,0))))</f>
        <v>#N/A</v>
      </c>
      <c r="AX5" s="27" t="e">
        <f>IF(INDEX(ResultColumnFinder[First Value Address],MATCH(CONCATENATE("ResultAnalyst",$AR5),ResultColumnFinder[Concat2],0))="NOT GIVEN",
"",
IF(LEFT(INDEX(ResultColumnFinder[First Value Address],MATCH(CONCATENATE("ResultAnalyst",$AR5),ResultColumnFinder[Concat2],0)),14)="'Data Columns'",
IF(ISERROR(MATCH(INDIRECT(INDEX(ResultColumnFinder[First Value Address],MATCH(CONCATENATE("ResultAnalyst",$AR5),ResultColumnFinder[Concat2],0)),FALSE),People[Full Name],0)),
CONCATENATE("PLEASE FILL IN A VALID ANALYST FOR ",$AS5),
CONCATENATE("*AffiliationID",TEXT(MATCH(INDIRECT(INDEX(ResultColumnFinder[First Value Address],MATCH(CONCATENATE("ResultAnalyst",$AR5),ResultColumnFinder[Concat2],0)),FALSE),People[Full Name],0),"00000"))),
IF(OFFSET(INDIRECT(INDEX(ResultColumnFinder[First Value Address],MATCH(CONCATENATE("ResultAnalyst",$AR5),ResultColumnFinder[Concat2],0)),FALSE),ROW()-4-($AR5-1)*NumSpecimens,0)="",
"",
IF(ISERROR(MATCH(OFFSET(INDIRECT(INDEX(ResultColumnFinder[First Value Address],MATCH(CONCATENATE("ResultAnalyst",$AR5),ResultColumnFinder[Concat2],0)),FALSE),ROW()-4-($AR5-1)*NumSpecimens,0),People[Full Name],0)),
CONCATENATE("PLEASE SPECIFY A VALID ANALYST FOR ",$AS5," IN ROW ",ROW()-4-($AR5-1)*NumSpecimens),
CONCATENATE("*AffiliationID",TEXT(MATCH(OFFSET(INDIRECT(INDEX(ResultColumnFinder[First Value Address],MATCH(CONCATENATE("ResultAnalyst",$AR5),ResultColumnFinder[Concat2],0)),FALSE),ROW()-4-($AR5-1)*NumSpecimens,0),People[Full Name],0),"00000"))))))</f>
        <v>#N/A</v>
      </c>
      <c r="AY5" s="27" t="str">
        <f t="shared" si="2"/>
        <v>*SamplingFeatureID00001</v>
      </c>
      <c r="AZ5" s="27" t="str">
        <f>IF(ROW()-3&gt;NumDataColumns*NumSpecimens,"",
IF(AT5="","",
CONCATENATE("  - &amp;ActionID",TEXT(ROW()-3+NumSpecimens,"00000"),
" {","ActionTypeCV:  ",CHAR(34),"Specimen analysis",CHAR(34),
", MethodObj: ",AU5,
", BeginDateTime:  ",CHAR(34),AV5,CHAR(34),
", BeginDateTimeUTCOffset:  ",CHAR(34),AW5,CHAR(34),
", EndDateTime:  NULL",
", EndDateTimeUTCOffset:  NULL",
", ActionDescription:  ",CHAR(34),"Action generated by Excel Template for ",TemplateProfile," v.",TemplateVersion,CHAR(34),
", ActionFileLink:  NULL",
,"}")))</f>
        <v/>
      </c>
      <c r="BA5" s="27" t="str">
        <f>IF(ROW()-3&gt;NumSpecimens,"",
CONCATENATE("  - &amp;FeatureActionID",TEXT(ROW()-3,"00000"),
" {","SamplingFeatureObj:  ",AP5,
", ActionObj:  *ActionID",TEXT(ROW()-3,"00000"),"}"))</f>
        <v/>
      </c>
      <c r="BB5" s="27" t="str">
        <f>IF(ROW()-3&gt;NumDataColumns*NumSpecimens,"",
IF(AT5="","",
CONCATENATE("  - &amp;FeatureActionID",TEXT(ROW()-3+NumSpecimens,"00000"),
" {","SamplingFeatureObj:  ",AY5,
", ActionObj:  *ActionID",TEXT(ROW()-3+NumSpecimens,"00000"),"}")))</f>
        <v/>
      </c>
      <c r="BC5" s="27" t="str">
        <f>IF(ROW()-3&gt;NumSpecimens,"",
IF(AO5="","",
CONCATENATE("  - {",
"ActionObj:  *ActionID",TEXT(ROW()-3,"00000"),
", AffiliationObj:  ",AO5,
", IsActionLead: TRUE",
", RoleDescription: NULL",
"}")))</f>
        <v/>
      </c>
      <c r="BD5" s="27" t="str">
        <f>IF(ROW()-3&gt;NumDataColumns*NumSpecimens,"",
IF(AT5="","",
IF(AX5="","",
CONCATENATE("  - {",
"ActionObj:  *ActionID",TEXT(ROW()-3+NumSpecimens,"00000"),
", AffiliationObj:  ",AX5,
", IsActionLead: TRUE",
", RoleDescription: NULL",
"}"))))</f>
        <v/>
      </c>
      <c r="BE5" s="27" t="e">
        <f>IF(INDEX(ResultColumnFinder[First Value Address],MATCH(CONCATENATE("ResultUUID",$AR5),ResultColumnFinder[Concat2],0))="NOT GIVEN",
"",
IF(OFFSET(INDIRECT(INDEX(ResultColumnFinder[First Value Address],MATCH(CONCATENATE("ResultUUID",$AR5),ResultColumnFinder[Concat2],0)),FALSE),ROW()-4-($AR5-1)*NumSpecimens,0)="",
"",
OFFSET(INDIRECT(INDEX(ResultColumnFinder[First Value Address],MATCH(CONCATENATE("ResultUUID",$AR5),ResultColumnFinder[Concat2],0)),FALSE),ROW()-4-($AR5-1)*NumSpecimens,0))
)</f>
        <v>#N/A</v>
      </c>
      <c r="BF5" s="27" t="e">
        <f>IF(INDEX(ResultColumnFinder[First Value Address],MATCH(CONCATENATE("ResultTypeCV",$AR5),ResultColumnFinder[Concat2],0))="NOT GIVEN",
"PLEASE NOTE: A  RESULT TYPE MUST BE SPECIFIED FOR EACH RESULT",
IF(LEFT(INDEX(ResultColumnFinder[First Value Address],MATCH(CONCATENATE("ResultTypeCV",$AR5),ResultColumnFinder[Concat2],0)),14)="'Data Columns'",
IF(COUNTIF(ResultTypeCV,INDIRECT(INDEX(ResultColumnFinder[First Value Address],MATCH(CONCATENATE("ResultTypeCV",$AR5),ResultColumnFinder[Concat2],0)),FALSE))=0,
CONCATENATE("PLEASE FILL IN A VALID  RESULT TYPE FOR ",$AS5),
INDIRECT(INDEX(ResultColumnFinder[First Value Address],MATCH(CONCATENATE("ResultTypeCV",$AR5),ResultColumnFinder[Concat2],0)),FALSE)),
IF(COUNTIF(ResultTypeCV,OFFSET(INDIRECT(INDEX(ResultColumnFinder[First Value Address],MATCH(CONCATENATE("ResultTypeCV",$AR5),ResultColumnFinder[Concat2],0)),FALSE),ROW()-4-($AR5-1)*NumSpecimens,0))=0,
CONCATENATE("PLEASE SPECIFY A VALID  RESULT TYPE FOR ",$AS5," IN ROW ",ROW()-4-($AR5-1)*NumSpecimens),
OFFSET(INDIRECT(INDEX(ResultColumnFinder[First Value Address],MATCH(CONCATENATE("ResultTypeCV",$AR5),ResultColumnFinder[Concat2],0)),FALSE),ROW()-4-($AR5-1)*NumSpecimens,0))
))</f>
        <v>#N/A</v>
      </c>
      <c r="BG5" s="27" t="e">
        <f>IF(INDEX(ResultColumnFinder[First Value Address],MATCH(CONCATENATE("VariableCode",$AR5),ResultColumnFinder[Concat2],0))="NOT GIVEN",
"PLEASE NOTE: A VARIABLE CODE MUST BE SPECIFIED FOR EACH RESULT",
IF(LEFT(INDEX(ResultColumnFinder[First Value Address],MATCH(CONCATENATE("VariableCode",$AR5),ResultColumnFinder[Concat2],0)),14)="'Data Columns'",
IF(ISERROR(MATCH(INDIRECT(INDEX(ResultColumnFinder[First Value Address],MATCH(CONCATENATE("VariableCode",$AR5),ResultColumnFinder[Concat2],0)),FALSE),Variables[Variable Code],0)),
CONCATENATE("PLEASE FILL IN A VALID VARIABLE CODE FOR ",$AS5),
CONCATENATE("*VariableID",TEXT(MATCH(INDIRECT(INDEX(ResultColumnFinder[First Value Address],MATCH(CONCATENATE("VariableCode",$AR5),ResultColumnFinder[Concat2],0)),FALSE),Variables[Variable Code],0),"00000"))),
IF(ISERROR(MATCH(OFFSET(INDIRECT(INDEX(ResultColumnFinder[First Value Address],MATCH(CONCATENATE("VariableCode",$AR5),ResultColumnFinder[Concat2],0)),FALSE),ROW()-4-($AR5-1)*NumSpecimens,0),Variables[Variable Code],0)),
CONCATENATE("PLEASE SPECIFY A VALID VARIABLE CODE FOR ",$AS5," IN ROW ",ROW()-4-($AR5-1)*NumSpecimens),
CONCATENATE("*VariableID",TEXT(MATCH(OFFSET(INDIRECT(INDEX(ResultColumnFinder[First Value Address],MATCH(CONCATENATE("VariableCode",$AR5),ResultColumnFinder[Concat2],0)),FALSE),ROW()-4-($AR5-1)*NumSpecimens,0),Variables[Variable Code],0),"00000")))))</f>
        <v>#N/A</v>
      </c>
      <c r="BH5" s="27" t="e">
        <f>IF(INDEX(ResultColumnFinder[First Value Address],MATCH(CONCATENATE("UnitName",$AR5),ResultColumnFinder[Concat2],0))="NOT GIVEN",
"PLEASE NOTE: A UNIT MUST BE SPECIFIED FOR EACH RESULT",
IF(LEFT(INDEX(ResultColumnFinder[First Value Address],MATCH(CONCATENATE("UnitName",$AR5),ResultColumnFinder[Concat2],0)),14)="'Data Columns'",
IF(INDIRECT(INDEX(ResultColumnFinder[First Value Address],MATCH(CONCATENATE("UnitName",$AR5),ResultColumnFinder[Concat2],0)),FALSE)="",
CONCATENATE("PLEASE FILL IN A UNIT FOR ",$AS5),
INDIRECT(INDEX(ResultColumnFinder[First Value Address],MATCH(CONCATENATE("UnitName",$AR5),ResultColumnFinder[Concat2],0)),FALSE)),
IF(OFFSET(INDIRECT(INDEX(ResultColumnFinder[First Value Address],MATCH(CONCATENATE("UnitName",$AR5),ResultColumnFinder[Concat2],0)),FALSE),ROW()-4-($AR5-1)*NumSpecimens,0)="",
CONCATENATE("PLEASE SPECIFY A UNIT FOR ",$AS5," IN ROW ",ROW()-4-($AR5-1)*NumSpecimens),
OFFSET(INDIRECT(INDEX(ResultColumnFinder[First Value Address],MATCH(CONCATENATE("UnitName",$AR5),ResultColumnFinder[Concat2],0)),FALSE),ROW()-4-($AR5-1)*NumSpecimens,0))
))</f>
        <v>#N/A</v>
      </c>
      <c r="BI5" s="27" t="e">
        <f>IF(INDEX(ResultColumnFinder[First Value Address],MATCH(CONCATENATE("TaxonomicClassifierName",$AR5),ResultColumnFinder[Concat2],0))="NOT GIVEN",
"",
IF(LEFT(INDEX(ResultColumnFinder[First Value Address],MATCH(CONCATENATE("TaxonomicClassifierName",$AR5),ResultColumnFinder[Concat2],0)),14)="'Data Columns'",
IF(ISERROR(MATCH(INDIRECT(INDEX(ResultColumnFinder[First Value Address],MATCH(CONCATENATE("TaxonomicClassifierName",$AR5),ResultColumnFinder[Concat2],0)),FALSE),TaxonomicClassifiers[Taxonomic Classifier Name],0)),
"",
CONCATENATE("*VariableID",TEXT(MATCH(INDIRECT(INDEX(ResultColumnFinder[First Value Address],MATCH(CONCATENATE("TaxonomicClassifierName",$AR5),ResultColumnFinder[Concat2],0)),FALSE),TaxonomicClassifiers[Taxonomic Classifier Name],0),"00000"))),
IF(ISERROR(MATCH(OFFSET(INDIRECT(INDEX(ResultColumnFinder[First Value Address],MATCH(CONCATENATE("TaxonomicClassifierName",$AR5),ResultColumnFinder[Concat2],0)),FALSE),ROW()-4-($AR5-1)*NumSpecimens,0),TaxonomicClassifiers[Taxonomic Classifier Name],0)),
"",
CONCATENATE("*VariableID",TEXT(MATCH(OFFSET(INDIRECT(INDEX(ResultColumnFinder[First Value Address],MATCH(CONCATENATE("TaxonomicClassifierName",$AR5),ResultColumnFinder[Concat2],0)),FALSE),ROW()-4-($AR5-1)*NumSpecimens,0),TaxonomicClassifiers[Taxonomic Classifier Name],0),"00000")))))</f>
        <v>#N/A</v>
      </c>
      <c r="BJ5" s="27" t="e">
        <f>IF(INDEX(ResultColumnFinder[First Value Address],MATCH(CONCATENATE("ProcessingLevelCode",$AR5),ResultColumnFinder[Concat2],0))="NOT GIVEN",
"PLEASE NOTE: A PROCESSING LEVEL CODE MUST BE SPECIFIED FOR EACH RESULT",
IF(LEFT(INDEX(ResultColumnFinder[First Value Address],MATCH(CONCATENATE("ProcessingLevelCode",$AR5),ResultColumnFinder[Concat2],0)),14)="'Data Columns'",
IF(ISERROR(MATCH(INDIRECT(INDEX(ResultColumnFinder[First Value Address],MATCH(CONCATENATE("ProcessingLevelCode",$AR5),ResultColumnFinder[Concat2],0)),FALSE),ProcessingLevels[Processing Level Code],0)),
CONCATENATE("PLEASE FILL IN A VALID PROCESSING LEVEL CODE FOR ",$AS5),
CONCATENATE("*ProcessingLevelID",TEXT(MATCH(INDIRECT(INDEX(ResultColumnFinder[First Value Address],MATCH(CONCATENATE("ProcessingLevelCode",$AR5),ResultColumnFinder[Concat2],0)),FALSE),ProcessingLevels[Processing Level Code],0),"00000"))),
IF(ISERROR(MATCH(OFFSET(INDIRECT(INDEX(ResultColumnFinder[First Value Address],MATCH(CONCATENATE("ProcessingLevelCode",$AR5),ResultColumnFinder[Concat2],0)),FALSE),ROW()-4-($AR5-1)*NumSpecimens,0),ProcessingLevels[Processing Level Code],0)),
CONCATENATE("PLEASE SPECIFY A VALID PROCESSING LEVEL CODE FOR ",$AS5," IN ROW ",ROW()-4-($AR5-1)*NumSpecimens),
CONCATENATE("*ProcessingLevelID",TEXT(MATCH(OFFSET(INDIRECT(INDEX(ResultColumnFinder[First Value Address],MATCH(CONCATENATE("ProcessingLevelCode",$AR5),ResultColumnFinder[Concat2],0)),FALSE),ROW()-4-($AR5-1)*NumSpecimens,0),ProcessingLevels[Processing Level Code],0),"00000")))))</f>
        <v>#N/A</v>
      </c>
      <c r="BK5" s="27"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Address],MATCH("CollectionDateTime",SpecimenColumnFinder[DataType],0)),FALSE),ROW()-4-($AR5-1)*NumSpecimens,0)="",
CONCATENATE("PLEASE SPECIFY A SPECIMEN COLLECTION DATE/TIME IN ROW ",ROW()-4-($AR5-1)*NumSpecimens),
TEXT(OFFSET(INDIRECT(INDEX(SpecimenColumnFinder[First Value Address],MATCH("CollectionDateTime",SpecimenColumnFinder[DataType],0)),FALSE),ROW()-4-($AR5-1)*NumSpecimens,0),"yyyy-mm-dd hh:mm:ss")))</f>
        <v>PLEASE NOTE: THE SPECIMEN COLLECTION DATE/TIME MUST BE SPECIFIED</v>
      </c>
      <c r="BL5" s="27"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Address],MATCH("CollectionDateTimeUTCOffset",SpecimenColumnFinder[DataType],0)),FALSE),ROW()-4-($AR5-1)*NumSpecimens,0)="",
CONCATENATE("PLEASE SPECIFY A COLLECTION TIME UTC OFFSET IN ROW ",ROW()-4-($AR5-1)*NumSpecimens),
OFFSET(INDIRECT(INDEX(SpecimenColumnFinder[First Value Address],MATCH("CollectionDateTimeUTCOffset",SpecimenColumnFinder[DataType],0)),FALSE),ROW()-4-($AR5-1)*NumSpecimens,0)))</f>
        <v>#N/A</v>
      </c>
      <c r="BM5" s="27" t="e">
        <f>IF(INDEX(ResultColumnFinder[First Value Address],MATCH(CONCATENATE("SampledMediumCV",$AR5),ResultColumnFinder[Concat2],0))="NOT GIVEN",
"PLEASE NOTE: A SAMPLED MEDIUM MUST BE SPECIFIED FOR EACH RESULT",
IF(LEFT(INDEX(ResultColumnFinder[First Value Address],MATCH(CONCATENATE("SampledMediumCV",$AR5),ResultColumnFinder[Concat2],0)),14)="'Data Columns'",
IF(COUNTIF(SampledMediumCV,INDIRECT(INDEX(ResultColumnFinder[First Value Address],MATCH(CONCATENATE("SampledMediumCV",$AR5),ResultColumnFinder[Concat2],0)),FALSE))=0,
CONCATENATE("PLEASE FILL IN A VALID SAMPLED MEDIUM FOR ",$AS5),
INDIRECT(INDEX(ResultColumnFinder[First Value Address],MATCH(CONCATENATE("SampledMediumCV",$AR5),ResultColumnFinder[Concat2],0)),FALSE)),
IF(COUNTIF(SampledMediumCV,OFFSET(INDIRECT(INDEX(ResultColumnFinder[First Value Address],MATCH(CONCATENATE("SampledMediumCV",$AR5),ResultColumnFinder[Concat2],0)),FALSE),ROW()-4-($AR5-1)*NumSpecimens,0))=0,
CONCATENATE("PLEASE SPECIFY A VALID SAMPLED MEDIUM FOR ",$AS5," IN ROW ",ROW()-4-($AR5-1)*NumSpecimens),
OFFSET(INDIRECT(INDEX(ResultColumnFinder[First Value Address],MATCH(CONCATENATE("SampledMediumCV",$AR5),ResultColumnFinder[Concat2],0)),FALSE),ROW()-4-($AR5-1)*NumSpecimens,0))
))</f>
        <v>#N/A</v>
      </c>
      <c r="BN5" s="27" t="e">
        <f>IF(BF5&lt;&gt;"Measurement","",
IF(INDEX(ResultColumnFinder[First Value Address],MATCH(CONCATENATE("CensorCodeCV",$AR5),ResultColumnFinder[Concat2],0))="NOT GIVEN",
"PLEASE NOTE: A CENSOR CODE MUST BE SPECIFIED FOR EACH RESULT",
IF(LEFT(INDEX(ResultColumnFinder[First Value Address],MATCH(CONCATENATE("CensorCodeCV",$AR5),ResultColumnFinder[Concat2],0)),14)="'Data Columns'",
IF(COUNTIF(CensorCodeCV,INDIRECT(INDEX(ResultColumnFinder[First Value Address],MATCH(CONCATENATE("CensorCodeCV",$AR5),ResultColumnFinder[Concat2],0)),FALSE))=0,
CONCATENATE("PLEASE FILL IN A VALID CENSOR CODE FOR ",$AS5),
INDIRECT(INDEX(ResultColumnFinder[First Value Address],MATCH(CONCATENATE("CensorCodeCV",$AR5),ResultColumnFinder[Concat2],0)),FALSE)),
IF(COUNTIF(CensorCodeCV,OFFSET(INDIRECT(INDEX(ResultColumnFinder[First Value Address],MATCH(CONCATENATE("CensorCodeCV",$AR5),ResultColumnFinder[Concat2],0)),FALSE),ROW()-4-($AR5-1)*NumSpecimens,0))=0,
CONCATENATE("PLEASE SPECIFY A VALID CENSOR CODE FOR ",$AS5," IN ROW ",ROW()-4-($AR5-1)*NumSpecimens),
OFFSET(INDIRECT(INDEX(ResultColumnFinder[First Value Address],MATCH(CONCATENATE("CensorCodeCV",$AR5),ResultColumnFinder[Concat2],0)),FALSE),ROW()-4-($AR5-1)*NumSpecimens,0))
)))</f>
        <v>#N/A</v>
      </c>
      <c r="BO5" s="27" t="e">
        <f>IF(INDEX(ResultColumnFinder[First Value Address],MATCH(CONCATENATE("QualityCodeCV",$AR5),ResultColumnFinder[Concat2],0))="NOT GIVEN",
"PLEASE NOTE: A QUALITY CODE MUST BE SPECIFIED FOR EACH RESULT",
IF(LEFT(INDEX(ResultColumnFinder[First Value Address],MATCH(CONCATENATE("QualityCodeCV",$AR5),ResultColumnFinder[Concat2],0)),14)="'Data Columns'",
IF(COUNTIF(QualityCodeCV,INDIRECT(INDEX(ResultColumnFinder[First Value Address],MATCH(CONCATENATE("QualityCodeCV",$AR5),ResultColumnFinder[Concat2],0)),FALSE))=0,
CONCATENATE("PLEASE FILL IN A VALID QUALITY CODE FOR ",$AS5),
INDIRECT(INDEX(ResultColumnFinder[First Value Address],MATCH(CONCATENATE("QualityCodeCV",$AR5),ResultColumnFinder[Concat2],0)),FALSE)),
IF(COUNTIF(QualityCodeCV,OFFSET(INDIRECT(INDEX(ResultColumnFinder[First Value Address],MATCH(CONCATENATE("QualityCodeCV",$AR5),ResultColumnFinder[Concat2],0)),FALSE),ROW()-4-($AR5-1)*NumSpecimens,0))=0,
CONCATENATE("PLEASE SPECIFY A VALID QUALITY CODE FOR ",$AS5," IN ROW ",ROW()-4-($AR5-1)*NumSpecimens),
OFFSET(INDIRECT(INDEX(ResultColumnFinder[First Value Address],MATCH(CONCATENATE("QualityCodeCV",$AR5),ResultColumnFinder[Concat2],0)),FALSE),ROW()-4-($AR5-1)*NumSpecimens,0))
))</f>
        <v>#N/A</v>
      </c>
      <c r="BP5" s="27" t="e">
        <f>IF(BF5&lt;&gt;"Measurement","",
IF(INDEX(ResultColumnFinder[First Value Address],MATCH(CONCATENATE("AggregationStatisticCV",$AR5),ResultColumnFinder[Concat2],0))="NOT GIVEN",
"PLEASE NOTE: AN AGGREGATION STATISTIC MUST BE SPECIFIED FOR EACH MEASUREMENT RESULT",
IF(LEFT(INDEX(ResultColumnFinder[First Value Address],MATCH(CONCATENATE("AggregationStatisticCV",$AR5),ResultColumnFinder[Concat2],0)),14)="'Data Columns'",
IF(COUNTIF(AggregationStatisticCV,INDIRECT(INDEX(ResultColumnFinder[First Value Address],MATCH(CONCATENATE("AggregationStatisticCV",$AR5),ResultColumnFinder[Concat2],0)),FALSE))=0,
CONCATENATE("PLEASE FILL IN A VALID AGGREGATION STATISTIC FOR ",$AS5),
INDIRECT(INDEX(ResultColumnFinder[First Value Address],MATCH(CONCATENATE("AggregationStatisticCV",$AR5),ResultColumnFinder[Concat2],0)),FALSE)),
IF(COUNTIF(AggregationStatisticCV,OFFSET(INDIRECT(INDEX(ResultColumnFinder[First Value Address],MATCH(CONCATENATE("AggregationStatisticCV",$AR5),ResultColumnFinder[Concat2],0)),FALSE),ROW()-4-($AR5-1)*NumSpecimens,0))=0,
CONCATENATE("PLEASE SPECIFY A VALID AGGREGATION STATISTIC FOR ",$AS5," IN ROW ",ROW()-4-($AR5-1)*NumSpecimens),
OFFSET(INDIRECT(INDEX(ResultColumnFinder[First Value Address],MATCH(CONCATENATE("AggregationStatisticCV",$AR5),ResultColumnFinder[Concat2],0)),FALSE),ROW()-4-($AR5-1)*NumSpecimens,0))
)))</f>
        <v>#N/A</v>
      </c>
      <c r="BQ5" s="27" t="e">
        <f>IF(BF5&lt;&gt;"Measurement","",
IF(INDEX(ResultColumnFinder[First Value Address],MATCH(CONCATENATE("TimeAggregationInterval",$AR5),ResultColumnFinder[Concat2],0))="NOT GIVEN",
"PLEASE NOTE: A TIME AGGREGATION INTERVAL MUST BE SPECIFIED FOR EACH RESULT",
IF(LEFT(INDEX(ResultColumnFinder[First Value Address],MATCH(CONCATENATE("TimeAggregationInterval",$AR5),ResultColumnFinder[Concat2],0)),14)="'Data Columns'",
IF(INDIRECT(INDEX(ResultColumnFinder[First Value Address],MATCH(CONCATENATE("TimeAggregationInterval",$AR5),ResultColumnFinder[Concat2],0)),FALSE)="",
CONCATENATE("PLEASE FILL IN A TIME AGGREGATION INTERVAL FOR ",$AS5),
INDIRECT(INDEX(ResultColumnFinder[First Value Address],MATCH(CONCATENATE("TimeAggregationInterval",$AR5),ResultColumnFinder[Concat2],0)),FALSE)),
IF(OFFSET(INDIRECT(INDEX(ResultColumnFinder[First Value Address],MATCH(CONCATENATE("TimeAggregationInterval",$AR5),ResultColumnFinder[Concat2],0)),FALSE),ROW()-4-($AR5-1)*NumSpecimens,0)="",
CONCATENATE("PLEASE SPECIFY A TIME AGGREGATION INTERVAL FOR ",$AS5," IN ROW ",ROW()-4-($AR5-1)*NumSpecimens),
OFFSET(INDIRECT(INDEX(ResultColumnFinder[First Value Address],MATCH(CONCATENATE("TimeAggregationInterval",$AR5),ResultColumnFinder[Concat2],0)),FALSE),ROW()-4-($AR5-1)*NumSpecimens,0))
)))</f>
        <v>#N/A</v>
      </c>
      <c r="BR5" s="27" t="e">
        <f>IF(BF5&lt;&gt;"Measurement","",
IF(INDEX(ResultColumnFinder[First Value Address],MATCH(CONCATENATE("TimeAggregationIntervalUnitCode",$AR5),ResultColumnFinder[Concat2],0))="NOT GIVEN",
"PLEASE NOTE: A TIME AGGREGATION UNIT MUST BE SPECIFIED FOR EACH RESULT",
IF(LEFT(INDEX(ResultColumnFinder[First Value Address],MATCH(CONCATENATE("TimeAggregationIntervalUnitCode",$AR5),ResultColumnFinder[Concat2],0)),14)="'Data Columns'",
IF(INDIRECT(INDEX(ResultColumnFinder[First Value Address],MATCH(CONCATENATE("TimeAggregationIntervalUnitCode",$AR5),ResultColumnFinder[Concat2],0)),FALSE)="",
CONCATENATE("PLEASE FILL IN A TIME AGGREGATION UNIT FOR ",$AS5),
INDIRECT(INDEX(ResultColumnFinder[First Value Address],MATCH(CONCATENATE("TimeAggregationIntervalUnitCode",$AR5),ResultColumnFinder[Concat2],0)),FALSE)),
IF(OFFSET(INDIRECT(INDEX(ResultColumnFinder[First Value Address],MATCH(CONCATENATE("TimeAggregationIntervalUnitCode",$AR5),ResultColumnFinder[Concat2],0)),FALSE),ROW()-4-($AR5-1)*NumSpecimens,0)="",
CONCATENATE("PLEASE SPECIFY A TIME AGGREGATION UNIT FOR ",$AS5," IN ROW ",ROW()-4-($AR5-1)*NumSpecimens),
OFFSET(INDIRECT(INDEX(ResultColumnFinder[First Value Address],MATCH(CONCATENATE("TimeAggregationIntervalUnitCode",$AR5),ResultColumnFinder[Concat2],0)),FALSE),ROW()-4-($AR5-1)*NumSpecimens,0))
)))</f>
        <v>#N/A</v>
      </c>
      <c r="BS5" s="27" t="str">
        <f>IF(NumDataColumns=0,"PLEASE SELECT AT LEAST 1 COLUMN OF RESULT VALUES",
IF(AT5="","",
CONCATENATE("  - &amp;ResultID",TEXT(ROW()-3,"00000"),
" {","ResultUUID:  ",CHAR(34),BE5,CHAR(34),
", FeatureActionObj: *FeatureActionID",TEXT(ROW()-3,"00000"),
", ResultTypeCV:  ",CHAR(34),BF5,CHAR(34),
", VariableObj:  ",BG5,
", UnitsObj:  ",BH5,
", TaxonomicClassifierObj:  ",BI5,
", ProcessingLevelObj:  ",BJ5,
", ResultDateTime:  ",BK5,
", ResultDateTimeUTCOffset:  ",BL5,
", ValidDateTime:  ","",
", ValidDateTimeUTCOffset:  ","",
", StatusCV:  ","",
", SampledMediumCV:  ",CHAR(34),BM5,CHAR(34),
", ValueCount:  ",1,"}")))</f>
        <v>PLEASE SELECT AT LEAST 1 COLUMN OF RESULT VALUES</v>
      </c>
      <c r="BT5" s="27" t="str">
        <f>IF(ROW()-3&gt;NumDataColumns*NumSpecimens,"",
IF(AT5="","",
CONCATENATE("  - {DatasetObj: *DatasetID00001, ",
"ResultObj: *ResultID",TEXT(ROW()-3,"00000"),
"}")))</f>
        <v/>
      </c>
      <c r="BU5" s="27" t="e">
        <f>IF(BF5&lt;&gt;"Measurement","",
IF(AT5="","",
CONCATENATE("  - &amp;MeasurementResultID",TEXT(ROW()-3,"00000"),
" {","ResultObj: *ResultID",TEXT(ROW()-3,"00000"),
", XLocation:  NULL",
", XLocationUnitsObj:  ","",
", YLocation:  NULL",
", YLocationUnitsObj:  ","",
", ZLocation:  NULL",
", ZLocationUnitsObj:  ","",
", SpatialReferenceObj:  ","",
", CensorCodeCV: ",CHAR(34),BN5,CHAR(34),
", QualityCodeCV:  ",CHAR(34),BO5,CHAR(34),
", AggregationStatisticCV:  ",CHAR(34),BP5,CHAR(34),
", TimeAggregationInterval:  ",CHAR(34),BQ5,CHAR(34),
", TimeAggregationUnitsObj:  ",CHAR(34),BR5,CHAR(34),
"}")))</f>
        <v>#N/A</v>
      </c>
      <c r="BV5" s="27" t="e">
        <f>IF(BF5&lt;&gt;"Measurement","",
IF(AT5="","",
CONCATENATE("  - &amp;MeasurementResultValueID",TEXT(ROW()-3,"00000"),
" {","MeasurementResultObj: *MeasurementResultID",TEXT(ROW()-3,"00000"),
", DataValue: ",AT5,
", ValueDateTime:  ",CHAR(34),BK5,CHAR(34),
", ValueDateTimeUTCOffset:  ",BL5,
"}")))</f>
        <v>#N/A</v>
      </c>
      <c r="BW5" s="27" t="e">
        <f>IF(BF5="Measurement","",
IF(AT5="","",
CONCATENATE("  - &amp;CategoricalResultID",TEXT(ROW()-3,"00000"),
" {","ResultObj: *ResultID",TEXT(ROW()-3,"00000"),
", XLocation:  NULL",
", XLocationUnitsObj:  ","",
", YLocation:  NULL",
", YLocationUnitsObj:  ","",
", ZLocation:  NULL",
", ZLocationUnitsObj:  ","",
", SpatialReferenceObj:  ","",
", QualityCodeCV:  ",CHAR(34),BO5,CHAR(34),
"}")))</f>
        <v>#N/A</v>
      </c>
      <c r="BX5" s="27" t="e">
        <f>IF(BF5="Measurement","",
IF(AT5="","",
CONCATENATE("  - &amp;CategoricalResultValueID",TEXT(ROW()-3,"00000"),
" {","MeasurementResultObj: *CategoricalResultID",TEXT(ROW()-3,"00000"),
", DataValue: ",AT5,
", ValueDateTime:  ",CHAR(34),BK5,CHAR(34),
", ValueDateTimeUTCOffset:  ",BL5,
"}")))</f>
        <v>#N/A</v>
      </c>
      <c r="CC5" s="27" t="s">
        <v>1206</v>
      </c>
      <c r="CD5" s="27">
        <f>COUNT(INDIRECT(CONCATENATE("'Data Values'!C2:C96148")))</f>
        <v>0</v>
      </c>
    </row>
    <row r="6" spans="1:82" x14ac:dyDescent="0.25">
      <c r="A6" s="27">
        <f t="shared" si="0"/>
        <v>3</v>
      </c>
      <c r="D6" s="27"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7"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&amp;ExternalIdentifierSystemID00003 {ExternalIdentifierSystemName:  "International Geo Sample Number (IGSN)", IdentifierSystemOrganizationObj:  *OrganizationID00003,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7"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6"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6" s="27"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6" s="27"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6" s="27"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6" s="27"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6" s="27"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6" s="27"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6" s="27"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6" s="27"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6" s="27"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6" s="27" t="str">
        <f>IF(ROW()-3&gt;NumParentSamplingFeatures+NumSpecimens,"",
IF(ROW()-3&gt;NumParentSamplingFeatures,
CONCATENATE("  - &amp;SamplingFeatureID",TEXT(ROW()-3,"00000"),
" {","SamplingFeatureUUID:  ",CHAR(34),O6,CHAR(34),
", SamplingFeatureTypeCV:  ",CHAR(34),"Specimen",CHAR(34),
", SamplingFeatureCode:  ",CHAR(34),P6,CHAR(34),
", SamplingFeatureName:  ",CHAR(34),Q6,CHAR(34),
", SamplingFeatureDescription:  ",CHAR(34),R6,CHAR(34),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6" s="27" t="str">
        <f>IF(AND(NumIGSNs=0,COUNTIF(DataColumns[ColumnType],"SpecimenIGSN")=0),"",
IF(ROW()-3&gt;NumIGSNs+NumSpecimens,"",
IF(ROW()-3&gt;NumIGSNs,
IF(ISERROR(MATCH("SpecimenIGSN",DataColumns[ColumnType],0)),"",
IF(S6="","",
CONCATENATE("  - {",
"SamplingFeatureObj:  *SamplingFeatureID",TEXT(ROW()-2-NumIGSNs+NumParentSamplingFeatures-1,"00000"),
", ExternalIdentifierSystemObj:  *ExternalIdentifierSystemID00003",
", SamplingFeatureExternalIdentifier:  ",CHAR(34),S6,CHAR(34),
", SamplingFeatureExternalIdentifierURI:  ",CHAR(34),"http://app.geosamples.org/sample/igsn/",S6,CHAR(34),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6"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c>
      <c r="Z6" s="27" t="str">
        <f>IF(ROW()-4&gt;NumParentSpecimens+NumSpecimens,"",
IF(ROW()-3&gt;NumParentSpecimens,
CONCATENATE("  - {",
"SamplingFeatureObj:  *SamplingFeatureID",TEXT(ROW()-3+NumParentSamplingFeatures,"00000"),
", SpecimenTypeCV:  ",CHAR(34),T6,CHAR(34),
", SpecimenMediumCV:  ",CHAR(34),U6,CHAR(34),
", IsFieldSpecimen:  ",CHAR(34),V6,CHAR(34),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AA6"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6" s="27" t="str">
        <f t="shared" si="3"/>
        <v>*SamplingFeatureID00003</v>
      </c>
      <c r="AC6" s="27"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6" s="178"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6" s="178"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6" s="27" t="str">
        <f>IF(AND(NumRelatedFeatures=0,MATCH("ParentSamplingFeatureCode",SpecimenColumnFinder[DataType],0)="NOT GIVEN"),"",
IF(ROW()-3&gt;NumRelatedFeatures+NumSpecimens,"",
IF(ROW()-3&gt;NumRelatedFeatures,
IF(AD6="NO RELATED FEATURE","",
CONCATENATE("  - {",
"SamplingFeatureObj:  ",AB6,
", RelationshipTypeCV:  ",CHAR(34),AC6,CHAR(34),
", RelatedFeatureObj: ",AD6,
", SpatialOffsetObj:  ",AE6,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c>
      <c r="AG6" s="27"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c>
      <c r="AH6" s="27"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6"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6" s="27"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6" s="27"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6" s="27"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6" s="27"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6" s="27"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6" s="27" t="str">
        <f t="shared" si="1"/>
        <v>*SamplingFeatureID00003</v>
      </c>
      <c r="AQ6" s="27" t="str">
        <f>IF(ROW()-3&gt;NumSpecimens,"",
CONCATENATE("  - &amp;ActionID",TEXT(ROW()-3,"00000"),
" {","ActionTypeCV:  ",CHAR(34),"Specimen collection",CHAR(34),
", MethodObj: ",AL6,
", BeginDateTime:  ",CHAR(34),AM6,CHAR(34),
", BeginDateTimeUTCOffset:  ",CHAR(34),AN6,CHAR(34),
", EndDateTime:  NULL",
", EndDateTimeUTCOffset:  NULL",
", ActionDescription:  ",CHAR(34),"Action generated by Excel Template for ",TemplateProfile," v.",TemplateVersion,CHAR(34),
", ActionFileLink:  NULL",
,"}"))</f>
        <v/>
      </c>
      <c r="AR6" s="27">
        <f t="shared" si="4"/>
        <v>3</v>
      </c>
      <c r="AS6" s="27" t="e">
        <f>INDEX(ResultColumnFinder[Data Value Label],MATCH($AR6,ResultColumnFinder[DV Num],1))</f>
        <v>#N/A</v>
      </c>
      <c r="AT6" s="27" t="e">
        <f>IF(INDEX(ResultColumnFinder[First Value Address],MATCH(CONCATENATE("ResultValue",$AR6),ResultColumnFinder[Concat2],0))="NOT GIVEN",
"",
IF(OFFSET(INDIRECT(INDEX(ResultColumnFinder[First Value Address],MATCH(CONCATENATE("ResultValue",$AR6),ResultColumnFinder[Concat2],0)),FALSE),ROW()-4-($AR6-1)*NumSpecimens,0)="",
"",
OFFSET(INDIRECT(INDEX(ResultColumnFinder[First Value Address],MATCH(CONCATENATE("ResultValue",$AR6),ResultColumnFinder[Concat2],0)),FALSE),ROW()-4-($AR6-1)*NumSpecimens,0))
)</f>
        <v>#N/A</v>
      </c>
      <c r="AU6" s="27" t="e">
        <f>IF(INDEX(ResultColumnFinder[First Value Address],MATCH(CONCATENATE("AnalysisMethodCode",$AR6),ResultColumnFinder[Concat2],0))="NOT GIVEN",
CONCATENATE("PLEASE FILL IN A VALID ANALYSIS METHOD CODE FOR ",$AS6),
IF(LEFT(INDEX(ResultColumnFinder[First Value Address],MATCH(CONCATENATE("AnalysisMethodCode",$AR6),ResultColumnFinder[Concat2],0)),14)="'Data Columns'",
IF(ISERROR(MATCH(INDIRECT(INDEX(ResultColumnFinder[First Value Address],MATCH(CONCATENATE("AnalysisMethodCode",$AR6),ResultColumnFinder[Concat2],0)),FALSE),Methods[Method Code],0)),
CONCATENATE("PLEASE FILL IN A VALID ANALYSIS METHOD CODE FOR ",$AS6),
CONCATENATE("*MethodID",TEXT(MATCH(INDIRECT(INDEX(ResultColumnFinder[First Value Address],MATCH(CONCATENATE("AnalysisMethodCode",$AR6),ResultColumnFinder[Concat2],0)),FALSE),Methods[Method Code],0),"00000"))),
IF(ISERROR(MATCH(OFFSET(INDIRECT(INDEX(ResultColumnFinder[First Value Address],MATCH(CONCATENATE("AnalysisMethodCode",$AR6),ResultColumnFinder[Concat2],0)),FALSE),ROW()-4-($AR6-1)*NumSpecimens,0),Methods[Method Code],0)),
CONCATENATE("PLEASE SPECIFY A VALID ANALYSIS METHOD CODE FOR ",$AS6," IN ROW ",ROW()-4-($AR6-1)*NumSpecimens),
CONCATENATE("*MethodID",TEXT(MATCH(OFFSET(INDIRECT(INDEX(ResultColumnFinder[First Value Address],MATCH(CONCATENATE("AnalysisMethodCode",$AR6),ResultColumnFinder[Concat2],0)),FALSE),ROW()-4-($AR6-1)*NumSpecimens,0),Methods[Method Code],0),"00000")))))</f>
        <v>#N/A</v>
      </c>
      <c r="AV6" s="27" t="e">
        <f>IF(INDEX(ResultColumnFinder[First Value Address],MATCH(CONCATENATE("AnalysisDateTime",$AR6),ResultColumnFinder[Concat2],0))="NOT GIVEN",
"",
IF(OFFSET(INDIRECT(INDEX(ResultColumnFinder[First Value Address],MATCH(CONCATENATE("AnalysisDateTime",$AR6),ResultColumnFinder[Concat2],0)),FALSE),ROW()-4-($AR6-1)*NumSpecimens,0)="",
CONCATENATE("PLEASE SPECIFY AN ANALYSIS TIME FOR ",$AS6," IN ROW ",ROW()-4-($AR6-1)*NumSpecimens),
TEXT(OFFSET(INDIRECT(INDEX(ResultColumnFinder[First Value Address],MATCH(CONCATENATE("AnalysisDateTime",$AR6),ResultColumnFinder[Concat2],0)),FALSE),ROW()-4-($AR6-1)*NumSpecimens,0),"yyyy-mm-dd hh:mm:ss")))</f>
        <v>#N/A</v>
      </c>
      <c r="AW6" s="27" t="e">
        <f>IF(INDEX(ResultColumnFinder[First Value Address],MATCH(CONCATENATE("AnalysisDateTimeUTCOffset",$AR6),ResultColumnFinder[Concat2],0))="NOT GIVEN",
"",
IF(LEFT(INDEX(ResultColumnFinder[First Value Address],MATCH(CONCATENATE("AnalysisDateTimeUTCOffset",$AR6),ResultColumnFinder[Concat2],0)),14)="'Data Columns'",
IF(INDIRECT(INDEX(ResultColumnFinder[First Value Address],MATCH(CONCATENATE("AnalysisDateTimeUTCOffset",$AR6),ResultColumnFinder[Concat2],0)),FALSE)="",
CONCATENATE("PLEASE FILL IN AN ANALYSIS TIME UTC OFFSET FOR ",$AS6),
INDIRECT(INDEX(ResultColumnFinder[First Value Address],MATCH(CONCATENATE("AnalysisDateTimeUTCOffset",$AR6),ResultColumnFinder[Concat2],0)),FALSE)),
IF(OFFSET(INDIRECT(INDEX(ResultColumnFinder[First Value Address],MATCH(CONCATENATE("AnalysisDateTimeUTCOffset",$AR6),ResultColumnFinder[Concat2],0)),FALSE),ROW()-4-($AR6-1)*NumSpecimens,0)="",
CONCATENATE("PLEASE SPECIFY AN ANALYSIS TIME UTC OFFSET FOR ",$AS6," IN ROW ",ROW()-4-($AR6-1)*NumSpecimens),
OFFSET(INDIRECT(INDEX(ResultColumnFinder[First Value Address],MATCH(CONCATENATE("AnalysisDateTimeUTCOffset",$AR6),ResultColumnFinder[Concat2],0)),FALSE),ROW()-4-($AR6-1)*NumSpecimens,0))))</f>
        <v>#N/A</v>
      </c>
      <c r="AX6" s="27" t="e">
        <f>IF(INDEX(ResultColumnFinder[First Value Address],MATCH(CONCATENATE("ResultAnalyst",$AR6),ResultColumnFinder[Concat2],0))="NOT GIVEN",
"",
IF(LEFT(INDEX(ResultColumnFinder[First Value Address],MATCH(CONCATENATE("ResultAnalyst",$AR6),ResultColumnFinder[Concat2],0)),14)="'Data Columns'",
IF(ISERROR(MATCH(INDIRECT(INDEX(ResultColumnFinder[First Value Address],MATCH(CONCATENATE("ResultAnalyst",$AR6),ResultColumnFinder[Concat2],0)),FALSE),People[Full Name],0)),
CONCATENATE("PLEASE FILL IN A VALID ANALYST FOR ",$AS6),
CONCATENATE("*AffiliationID",TEXT(MATCH(INDIRECT(INDEX(ResultColumnFinder[First Value Address],MATCH(CONCATENATE("ResultAnalyst",$AR6),ResultColumnFinder[Concat2],0)),FALSE),People[Full Name],0),"00000"))),
IF(OFFSET(INDIRECT(INDEX(ResultColumnFinder[First Value Address],MATCH(CONCATENATE("ResultAnalyst",$AR6),ResultColumnFinder[Concat2],0)),FALSE),ROW()-4-($AR6-1)*NumSpecimens,0)="",
"",
IF(ISERROR(MATCH(OFFSET(INDIRECT(INDEX(ResultColumnFinder[First Value Address],MATCH(CONCATENATE("ResultAnalyst",$AR6),ResultColumnFinder[Concat2],0)),FALSE),ROW()-4-($AR6-1)*NumSpecimens,0),People[Full Name],0)),
CONCATENATE("PLEASE SPECIFY A VALID ANALYST FOR ",$AS6," IN ROW ",ROW()-4-($AR6-1)*NumSpecimens),
CONCATENATE("*AffiliationID",TEXT(MATCH(OFFSET(INDIRECT(INDEX(ResultColumnFinder[First Value Address],MATCH(CONCATENATE("ResultAnalyst",$AR6),ResultColumnFinder[Concat2],0)),FALSE),ROW()-4-($AR6-1)*NumSpecimens,0),People[Full Name],0),"00000"))))))</f>
        <v>#N/A</v>
      </c>
      <c r="AY6" s="27" t="str">
        <f t="shared" si="2"/>
        <v>*SamplingFeatureID00001</v>
      </c>
      <c r="AZ6" s="27" t="str">
        <f>IF(ROW()-3&gt;NumDataColumns*NumSpecimens,"",
IF(AT6="","",
CONCATENATE("  - &amp;ActionID",TEXT(ROW()-3+NumSpecimens,"00000"),
" {","ActionTypeCV:  ",CHAR(34),"Specimen analysis",CHAR(34),
", MethodObj: ",AU6,
", BeginDateTime:  ",CHAR(34),AV6,CHAR(34),
", BeginDateTimeUTCOffset:  ",CHAR(34),AW6,CHAR(34),
", EndDateTime:  NULL",
", EndDateTimeUTCOffset:  NULL",
", ActionDescription:  ",CHAR(34),"Action generated by Excel Template for ",TemplateProfile," v.",TemplateVersion,CHAR(34),
", ActionFileLink:  NULL",
,"}")))</f>
        <v/>
      </c>
      <c r="BA6" s="27" t="str">
        <f>IF(ROW()-3&gt;NumSpecimens,"",
CONCATENATE("  - &amp;FeatureActionID",TEXT(ROW()-3,"00000"),
" {","SamplingFeatureObj:  ",AP6,
", ActionObj:  *ActionID",TEXT(ROW()-3,"00000"),"}"))</f>
        <v/>
      </c>
      <c r="BB6" s="27" t="str">
        <f>IF(ROW()-3&gt;NumDataColumns*NumSpecimens,"",
IF(AT6="","",
CONCATENATE("  - &amp;FeatureActionID",TEXT(ROW()-3+NumSpecimens,"00000"),
" {","SamplingFeatureObj:  ",AY6,
", ActionObj:  *ActionID",TEXT(ROW()-3+NumSpecimens,"00000"),"}")))</f>
        <v/>
      </c>
      <c r="BC6" s="27" t="str">
        <f>IF(ROW()-3&gt;NumSpecimens,"",
IF(AO6="","",
CONCATENATE("  - {",
"ActionObj:  *ActionID",TEXT(ROW()-3,"00000"),
", AffiliationObj:  ",AO6,
", IsActionLead: TRUE",
", RoleDescription: NULL",
"}")))</f>
        <v/>
      </c>
      <c r="BD6" s="27" t="str">
        <f>IF(ROW()-3&gt;NumDataColumns*NumSpecimens,"",
IF(AT6="","",
IF(AX6="","",
CONCATENATE("  - {",
"ActionObj:  *ActionID",TEXT(ROW()-3+NumSpecimens,"00000"),
", AffiliationObj:  ",AX6,
", IsActionLead: TRUE",
", RoleDescription: NULL",
"}"))))</f>
        <v/>
      </c>
      <c r="BE6" s="27" t="e">
        <f>IF(INDEX(ResultColumnFinder[First Value Address],MATCH(CONCATENATE("ResultUUID",$AR6),ResultColumnFinder[Concat2],0))="NOT GIVEN",
"",
IF(OFFSET(INDIRECT(INDEX(ResultColumnFinder[First Value Address],MATCH(CONCATENATE("ResultUUID",$AR6),ResultColumnFinder[Concat2],0)),FALSE),ROW()-4-($AR6-1)*NumSpecimens,0)="",
"",
OFFSET(INDIRECT(INDEX(ResultColumnFinder[First Value Address],MATCH(CONCATENATE("ResultUUID",$AR6),ResultColumnFinder[Concat2],0)),FALSE),ROW()-4-($AR6-1)*NumSpecimens,0))
)</f>
        <v>#N/A</v>
      </c>
      <c r="BF6" s="27" t="e">
        <f>IF(INDEX(ResultColumnFinder[First Value Address],MATCH(CONCATENATE("ResultTypeCV",$AR6),ResultColumnFinder[Concat2],0))="NOT GIVEN",
"PLEASE NOTE: A  RESULT TYPE MUST BE SPECIFIED FOR EACH RESULT",
IF(LEFT(INDEX(ResultColumnFinder[First Value Address],MATCH(CONCATENATE("ResultTypeCV",$AR6),ResultColumnFinder[Concat2],0)),14)="'Data Columns'",
IF(COUNTIF(ResultTypeCV,INDIRECT(INDEX(ResultColumnFinder[First Value Address],MATCH(CONCATENATE("ResultTypeCV",$AR6),ResultColumnFinder[Concat2],0)),FALSE))=0,
CONCATENATE("PLEASE FILL IN A VALID  RESULT TYPE FOR ",$AS6),
INDIRECT(INDEX(ResultColumnFinder[First Value Address],MATCH(CONCATENATE("ResultTypeCV",$AR6),ResultColumnFinder[Concat2],0)),FALSE)),
IF(COUNTIF(ResultTypeCV,OFFSET(INDIRECT(INDEX(ResultColumnFinder[First Value Address],MATCH(CONCATENATE("ResultTypeCV",$AR6),ResultColumnFinder[Concat2],0)),FALSE),ROW()-4-($AR6-1)*NumSpecimens,0))=0,
CONCATENATE("PLEASE SPECIFY A VALID  RESULT TYPE FOR ",$AS6," IN ROW ",ROW()-4-($AR6-1)*NumSpecimens),
OFFSET(INDIRECT(INDEX(ResultColumnFinder[First Value Address],MATCH(CONCATENATE("ResultTypeCV",$AR6),ResultColumnFinder[Concat2],0)),FALSE),ROW()-4-($AR6-1)*NumSpecimens,0))
))</f>
        <v>#N/A</v>
      </c>
      <c r="BG6" s="27" t="e">
        <f>IF(INDEX(ResultColumnFinder[First Value Address],MATCH(CONCATENATE("VariableCode",$AR6),ResultColumnFinder[Concat2],0))="NOT GIVEN",
"PLEASE NOTE: A VARIABLE CODE MUST BE SPECIFIED FOR EACH RESULT",
IF(LEFT(INDEX(ResultColumnFinder[First Value Address],MATCH(CONCATENATE("VariableCode",$AR6),ResultColumnFinder[Concat2],0)),14)="'Data Columns'",
IF(ISERROR(MATCH(INDIRECT(INDEX(ResultColumnFinder[First Value Address],MATCH(CONCATENATE("VariableCode",$AR6),ResultColumnFinder[Concat2],0)),FALSE),Variables[Variable Code],0)),
CONCATENATE("PLEASE FILL IN A VALID VARIABLE CODE FOR ",$AS6),
CONCATENATE("*VariableID",TEXT(MATCH(INDIRECT(INDEX(ResultColumnFinder[First Value Address],MATCH(CONCATENATE("VariableCode",$AR6),ResultColumnFinder[Concat2],0)),FALSE),Variables[Variable Code],0),"00000"))),
IF(ISERROR(MATCH(OFFSET(INDIRECT(INDEX(ResultColumnFinder[First Value Address],MATCH(CONCATENATE("VariableCode",$AR6),ResultColumnFinder[Concat2],0)),FALSE),ROW()-4-($AR6-1)*NumSpecimens,0),Variables[Variable Code],0)),
CONCATENATE("PLEASE SPECIFY A VALID VARIABLE CODE FOR ",$AS6," IN ROW ",ROW()-4-($AR6-1)*NumSpecimens),
CONCATENATE("*VariableID",TEXT(MATCH(OFFSET(INDIRECT(INDEX(ResultColumnFinder[First Value Address],MATCH(CONCATENATE("VariableCode",$AR6),ResultColumnFinder[Concat2],0)),FALSE),ROW()-4-($AR6-1)*NumSpecimens,0),Variables[Variable Code],0),"00000")))))</f>
        <v>#N/A</v>
      </c>
      <c r="BH6" s="27" t="e">
        <f>IF(INDEX(ResultColumnFinder[First Value Address],MATCH(CONCATENATE("UnitName",$AR6),ResultColumnFinder[Concat2],0))="NOT GIVEN",
"PLEASE NOTE: A UNIT MUST BE SPECIFIED FOR EACH RESULT",
IF(LEFT(INDEX(ResultColumnFinder[First Value Address],MATCH(CONCATENATE("UnitName",$AR6),ResultColumnFinder[Concat2],0)),14)="'Data Columns'",
IF(INDIRECT(INDEX(ResultColumnFinder[First Value Address],MATCH(CONCATENATE("UnitName",$AR6),ResultColumnFinder[Concat2],0)),FALSE)="",
CONCATENATE("PLEASE FILL IN A UNIT FOR ",$AS6),
INDIRECT(INDEX(ResultColumnFinder[First Value Address],MATCH(CONCATENATE("UnitName",$AR6),ResultColumnFinder[Concat2],0)),FALSE)),
IF(OFFSET(INDIRECT(INDEX(ResultColumnFinder[First Value Address],MATCH(CONCATENATE("UnitName",$AR6),ResultColumnFinder[Concat2],0)),FALSE),ROW()-4-($AR6-1)*NumSpecimens,0)="",
CONCATENATE("PLEASE SPECIFY A UNIT FOR ",$AS6," IN ROW ",ROW()-4-($AR6-1)*NumSpecimens),
OFFSET(INDIRECT(INDEX(ResultColumnFinder[First Value Address],MATCH(CONCATENATE("UnitName",$AR6),ResultColumnFinder[Concat2],0)),FALSE),ROW()-4-($AR6-1)*NumSpecimens,0))
))</f>
        <v>#N/A</v>
      </c>
      <c r="BI6" s="27" t="e">
        <f>IF(INDEX(ResultColumnFinder[First Value Address],MATCH(CONCATENATE("TaxonomicClassifierName",$AR6),ResultColumnFinder[Concat2],0))="NOT GIVEN",
"",
IF(LEFT(INDEX(ResultColumnFinder[First Value Address],MATCH(CONCATENATE("TaxonomicClassifierName",$AR6),ResultColumnFinder[Concat2],0)),14)="'Data Columns'",
IF(ISERROR(MATCH(INDIRECT(INDEX(ResultColumnFinder[First Value Address],MATCH(CONCATENATE("TaxonomicClassifierName",$AR6),ResultColumnFinder[Concat2],0)),FALSE),TaxonomicClassifiers[Taxonomic Classifier Name],0)),
"",
CONCATENATE("*VariableID",TEXT(MATCH(INDIRECT(INDEX(ResultColumnFinder[First Value Address],MATCH(CONCATENATE("TaxonomicClassifierName",$AR6),ResultColumnFinder[Concat2],0)),FALSE),TaxonomicClassifiers[Taxonomic Classifier Name],0),"00000"))),
IF(ISERROR(MATCH(OFFSET(INDIRECT(INDEX(ResultColumnFinder[First Value Address],MATCH(CONCATENATE("TaxonomicClassifierName",$AR6),ResultColumnFinder[Concat2],0)),FALSE),ROW()-4-($AR6-1)*NumSpecimens,0),TaxonomicClassifiers[Taxonomic Classifier Name],0)),
"",
CONCATENATE("*VariableID",TEXT(MATCH(OFFSET(INDIRECT(INDEX(ResultColumnFinder[First Value Address],MATCH(CONCATENATE("TaxonomicClassifierName",$AR6),ResultColumnFinder[Concat2],0)),FALSE),ROW()-4-($AR6-1)*NumSpecimens,0),TaxonomicClassifiers[Taxonomic Classifier Name],0),"00000")))))</f>
        <v>#N/A</v>
      </c>
      <c r="BJ6" s="27" t="e">
        <f>IF(INDEX(ResultColumnFinder[First Value Address],MATCH(CONCATENATE("ProcessingLevelCode",$AR6),ResultColumnFinder[Concat2],0))="NOT GIVEN",
"PLEASE NOTE: A PROCESSING LEVEL CODE MUST BE SPECIFIED FOR EACH RESULT",
IF(LEFT(INDEX(ResultColumnFinder[First Value Address],MATCH(CONCATENATE("ProcessingLevelCode",$AR6),ResultColumnFinder[Concat2],0)),14)="'Data Columns'",
IF(ISERROR(MATCH(INDIRECT(INDEX(ResultColumnFinder[First Value Address],MATCH(CONCATENATE("ProcessingLevelCode",$AR6),ResultColumnFinder[Concat2],0)),FALSE),ProcessingLevels[Processing Level Code],0)),
CONCATENATE("PLEASE FILL IN A VALID PROCESSING LEVEL CODE FOR ",$AS6),
CONCATENATE("*ProcessingLevelID",TEXT(MATCH(INDIRECT(INDEX(ResultColumnFinder[First Value Address],MATCH(CONCATENATE("ProcessingLevelCode",$AR6),ResultColumnFinder[Concat2],0)),FALSE),ProcessingLevels[Processing Level Code],0),"00000"))),
IF(ISERROR(MATCH(OFFSET(INDIRECT(INDEX(ResultColumnFinder[First Value Address],MATCH(CONCATENATE("ProcessingLevelCode",$AR6),ResultColumnFinder[Concat2],0)),FALSE),ROW()-4-($AR6-1)*NumSpecimens,0),ProcessingLevels[Processing Level Code],0)),
CONCATENATE("PLEASE SPECIFY A VALID PROCESSING LEVEL CODE FOR ",$AS6," IN ROW ",ROW()-4-($AR6-1)*NumSpecimens),
CONCATENATE("*ProcessingLevelID",TEXT(MATCH(OFFSET(INDIRECT(INDEX(ResultColumnFinder[First Value Address],MATCH(CONCATENATE("ProcessingLevelCode",$AR6),ResultColumnFinder[Concat2],0)),FALSE),ROW()-4-($AR6-1)*NumSpecimens,0),ProcessingLevels[Processing Level Code],0),"00000")))))</f>
        <v>#N/A</v>
      </c>
      <c r="BK6" s="27"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Address],MATCH("CollectionDateTime",SpecimenColumnFinder[DataType],0)),FALSE),ROW()-4-($AR6-1)*NumSpecimens,0)="",
CONCATENATE("PLEASE SPECIFY A SPECIMEN COLLECTION DATE/TIME IN ROW ",ROW()-4-($AR6-1)*NumSpecimens),
TEXT(OFFSET(INDIRECT(INDEX(SpecimenColumnFinder[First Value Address],MATCH("CollectionDateTime",SpecimenColumnFinder[DataType],0)),FALSE),ROW()-4-($AR6-1)*NumSpecimens,0),"yyyy-mm-dd hh:mm:ss")))</f>
        <v>PLEASE NOTE: THE SPECIMEN COLLECTION DATE/TIME MUST BE SPECIFIED</v>
      </c>
      <c r="BL6" s="27"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Address],MATCH("CollectionDateTimeUTCOffset",SpecimenColumnFinder[DataType],0)),FALSE),ROW()-4-($AR6-1)*NumSpecimens,0)="",
CONCATENATE("PLEASE SPECIFY A COLLECTION TIME UTC OFFSET IN ROW ",ROW()-4-($AR6-1)*NumSpecimens),
OFFSET(INDIRECT(INDEX(SpecimenColumnFinder[First Value Address],MATCH("CollectionDateTimeUTCOffset",SpecimenColumnFinder[DataType],0)),FALSE),ROW()-4-($AR6-1)*NumSpecimens,0)))</f>
        <v>#N/A</v>
      </c>
      <c r="BM6" s="27" t="e">
        <f>IF(INDEX(ResultColumnFinder[First Value Address],MATCH(CONCATENATE("SampledMediumCV",$AR6),ResultColumnFinder[Concat2],0))="NOT GIVEN",
"PLEASE NOTE: A SAMPLED MEDIUM MUST BE SPECIFIED FOR EACH RESULT",
IF(LEFT(INDEX(ResultColumnFinder[First Value Address],MATCH(CONCATENATE("SampledMediumCV",$AR6),ResultColumnFinder[Concat2],0)),14)="'Data Columns'",
IF(COUNTIF(SampledMediumCV,INDIRECT(INDEX(ResultColumnFinder[First Value Address],MATCH(CONCATENATE("SampledMediumCV",$AR6),ResultColumnFinder[Concat2],0)),FALSE))=0,
CONCATENATE("PLEASE FILL IN A VALID SAMPLED MEDIUM FOR ",$AS6),
INDIRECT(INDEX(ResultColumnFinder[First Value Address],MATCH(CONCATENATE("SampledMediumCV",$AR6),ResultColumnFinder[Concat2],0)),FALSE)),
IF(COUNTIF(SampledMediumCV,OFFSET(INDIRECT(INDEX(ResultColumnFinder[First Value Address],MATCH(CONCATENATE("SampledMediumCV",$AR6),ResultColumnFinder[Concat2],0)),FALSE),ROW()-4-($AR6-1)*NumSpecimens,0))=0,
CONCATENATE("PLEASE SPECIFY A VALID SAMPLED MEDIUM FOR ",$AS6," IN ROW ",ROW()-4-($AR6-1)*NumSpecimens),
OFFSET(INDIRECT(INDEX(ResultColumnFinder[First Value Address],MATCH(CONCATENATE("SampledMediumCV",$AR6),ResultColumnFinder[Concat2],0)),FALSE),ROW()-4-($AR6-1)*NumSpecimens,0))
))</f>
        <v>#N/A</v>
      </c>
      <c r="BN6" s="27" t="e">
        <f>IF(BF6&lt;&gt;"Measurement","",
IF(INDEX(ResultColumnFinder[First Value Address],MATCH(CONCATENATE("CensorCodeCV",$AR6),ResultColumnFinder[Concat2],0))="NOT GIVEN",
"PLEASE NOTE: A CENSOR CODE MUST BE SPECIFIED FOR EACH RESULT",
IF(LEFT(INDEX(ResultColumnFinder[First Value Address],MATCH(CONCATENATE("CensorCodeCV",$AR6),ResultColumnFinder[Concat2],0)),14)="'Data Columns'",
IF(COUNTIF(CensorCodeCV,INDIRECT(INDEX(ResultColumnFinder[First Value Address],MATCH(CONCATENATE("CensorCodeCV",$AR6),ResultColumnFinder[Concat2],0)),FALSE))=0,
CONCATENATE("PLEASE FILL IN A VALID CENSOR CODE FOR ",$AS6),
INDIRECT(INDEX(ResultColumnFinder[First Value Address],MATCH(CONCATENATE("CensorCodeCV",$AR6),ResultColumnFinder[Concat2],0)),FALSE)),
IF(COUNTIF(CensorCodeCV,OFFSET(INDIRECT(INDEX(ResultColumnFinder[First Value Address],MATCH(CONCATENATE("CensorCodeCV",$AR6),ResultColumnFinder[Concat2],0)),FALSE),ROW()-4-($AR6-1)*NumSpecimens,0))=0,
CONCATENATE("PLEASE SPECIFY A VALID CENSOR CODE FOR ",$AS6," IN ROW ",ROW()-4-($AR6-1)*NumSpecimens),
OFFSET(INDIRECT(INDEX(ResultColumnFinder[First Value Address],MATCH(CONCATENATE("CensorCodeCV",$AR6),ResultColumnFinder[Concat2],0)),FALSE),ROW()-4-($AR6-1)*NumSpecimens,0))
)))</f>
        <v>#N/A</v>
      </c>
      <c r="BO6" s="27" t="e">
        <f>IF(INDEX(ResultColumnFinder[First Value Address],MATCH(CONCATENATE("QualityCodeCV",$AR6),ResultColumnFinder[Concat2],0))="NOT GIVEN",
"PLEASE NOTE: A QUALITY CODE MUST BE SPECIFIED FOR EACH RESULT",
IF(LEFT(INDEX(ResultColumnFinder[First Value Address],MATCH(CONCATENATE("QualityCodeCV",$AR6),ResultColumnFinder[Concat2],0)),14)="'Data Columns'",
IF(COUNTIF(QualityCodeCV,INDIRECT(INDEX(ResultColumnFinder[First Value Address],MATCH(CONCATENATE("QualityCodeCV",$AR6),ResultColumnFinder[Concat2],0)),FALSE))=0,
CONCATENATE("PLEASE FILL IN A VALID QUALITY CODE FOR ",$AS6),
INDIRECT(INDEX(ResultColumnFinder[First Value Address],MATCH(CONCATENATE("QualityCodeCV",$AR6),ResultColumnFinder[Concat2],0)),FALSE)),
IF(COUNTIF(QualityCodeCV,OFFSET(INDIRECT(INDEX(ResultColumnFinder[First Value Address],MATCH(CONCATENATE("QualityCodeCV",$AR6),ResultColumnFinder[Concat2],0)),FALSE),ROW()-4-($AR6-1)*NumSpecimens,0))=0,
CONCATENATE("PLEASE SPECIFY A VALID QUALITY CODE FOR ",$AS6," IN ROW ",ROW()-4-($AR6-1)*NumSpecimens),
OFFSET(INDIRECT(INDEX(ResultColumnFinder[First Value Address],MATCH(CONCATENATE("QualityCodeCV",$AR6),ResultColumnFinder[Concat2],0)),FALSE),ROW()-4-($AR6-1)*NumSpecimens,0))
))</f>
        <v>#N/A</v>
      </c>
      <c r="BP6" s="27" t="e">
        <f>IF(BF6&lt;&gt;"Measurement","",
IF(INDEX(ResultColumnFinder[First Value Address],MATCH(CONCATENATE("AggregationStatisticCV",$AR6),ResultColumnFinder[Concat2],0))="NOT GIVEN",
"PLEASE NOTE: AN AGGREGATION STATISTIC MUST BE SPECIFIED FOR EACH MEASUREMENT RESULT",
IF(LEFT(INDEX(ResultColumnFinder[First Value Address],MATCH(CONCATENATE("AggregationStatisticCV",$AR6),ResultColumnFinder[Concat2],0)),14)="'Data Columns'",
IF(COUNTIF(AggregationStatisticCV,INDIRECT(INDEX(ResultColumnFinder[First Value Address],MATCH(CONCATENATE("AggregationStatisticCV",$AR6),ResultColumnFinder[Concat2],0)),FALSE))=0,
CONCATENATE("PLEASE FILL IN A VALID AGGREGATION STATISTIC FOR ",$AS6),
INDIRECT(INDEX(ResultColumnFinder[First Value Address],MATCH(CONCATENATE("AggregationStatisticCV",$AR6),ResultColumnFinder[Concat2],0)),FALSE)),
IF(COUNTIF(AggregationStatisticCV,OFFSET(INDIRECT(INDEX(ResultColumnFinder[First Value Address],MATCH(CONCATENATE("AggregationStatisticCV",$AR6),ResultColumnFinder[Concat2],0)),FALSE),ROW()-4-($AR6-1)*NumSpecimens,0))=0,
CONCATENATE("PLEASE SPECIFY A VALID AGGREGATION STATISTIC FOR ",$AS6," IN ROW ",ROW()-4-($AR6-1)*NumSpecimens),
OFFSET(INDIRECT(INDEX(ResultColumnFinder[First Value Address],MATCH(CONCATENATE("AggregationStatisticCV",$AR6),ResultColumnFinder[Concat2],0)),FALSE),ROW()-4-($AR6-1)*NumSpecimens,0))
)))</f>
        <v>#N/A</v>
      </c>
      <c r="BQ6" s="27" t="e">
        <f>IF(BF6&lt;&gt;"Measurement","",
IF(INDEX(ResultColumnFinder[First Value Address],MATCH(CONCATENATE("TimeAggregationInterval",$AR6),ResultColumnFinder[Concat2],0))="NOT GIVEN",
"PLEASE NOTE: A TIME AGGREGATION INTERVAL MUST BE SPECIFIED FOR EACH RESULT",
IF(LEFT(INDEX(ResultColumnFinder[First Value Address],MATCH(CONCATENATE("TimeAggregationInterval",$AR6),ResultColumnFinder[Concat2],0)),14)="'Data Columns'",
IF(INDIRECT(INDEX(ResultColumnFinder[First Value Address],MATCH(CONCATENATE("TimeAggregationInterval",$AR6),ResultColumnFinder[Concat2],0)),FALSE)="",
CONCATENATE("PLEASE FILL IN A TIME AGGREGATION INTERVAL FOR ",$AS6),
INDIRECT(INDEX(ResultColumnFinder[First Value Address],MATCH(CONCATENATE("TimeAggregationInterval",$AR6),ResultColumnFinder[Concat2],0)),FALSE)),
IF(OFFSET(INDIRECT(INDEX(ResultColumnFinder[First Value Address],MATCH(CONCATENATE("TimeAggregationInterval",$AR6),ResultColumnFinder[Concat2],0)),FALSE),ROW()-4-($AR6-1)*NumSpecimens,0)="",
CONCATENATE("PLEASE SPECIFY A TIME AGGREGATION INTERVAL FOR ",$AS6," IN ROW ",ROW()-4-($AR6-1)*NumSpecimens),
OFFSET(INDIRECT(INDEX(ResultColumnFinder[First Value Address],MATCH(CONCATENATE("TimeAggregationInterval",$AR6),ResultColumnFinder[Concat2],0)),FALSE),ROW()-4-($AR6-1)*NumSpecimens,0))
)))</f>
        <v>#N/A</v>
      </c>
      <c r="BR6" s="27" t="e">
        <f>IF(BF6&lt;&gt;"Measurement","",
IF(INDEX(ResultColumnFinder[First Value Address],MATCH(CONCATENATE("TimeAggregationIntervalUnitCode",$AR6),ResultColumnFinder[Concat2],0))="NOT GIVEN",
"PLEASE NOTE: A TIME AGGREGATION UNIT MUST BE SPECIFIED FOR EACH RESULT",
IF(LEFT(INDEX(ResultColumnFinder[First Value Address],MATCH(CONCATENATE("TimeAggregationIntervalUnitCode",$AR6),ResultColumnFinder[Concat2],0)),14)="'Data Columns'",
IF(INDIRECT(INDEX(ResultColumnFinder[First Value Address],MATCH(CONCATENATE("TimeAggregationIntervalUnitCode",$AR6),ResultColumnFinder[Concat2],0)),FALSE)="",
CONCATENATE("PLEASE FILL IN A TIME AGGREGATION UNIT FOR ",$AS6),
INDIRECT(INDEX(ResultColumnFinder[First Value Address],MATCH(CONCATENATE("TimeAggregationIntervalUnitCode",$AR6),ResultColumnFinder[Concat2],0)),FALSE)),
IF(OFFSET(INDIRECT(INDEX(ResultColumnFinder[First Value Address],MATCH(CONCATENATE("TimeAggregationIntervalUnitCode",$AR6),ResultColumnFinder[Concat2],0)),FALSE),ROW()-4-($AR6-1)*NumSpecimens,0)="",
CONCATENATE("PLEASE SPECIFY A TIME AGGREGATION UNIT FOR ",$AS6," IN ROW ",ROW()-4-($AR6-1)*NumSpecimens),
OFFSET(INDIRECT(INDEX(ResultColumnFinder[First Value Address],MATCH(CONCATENATE("TimeAggregationIntervalUnitCode",$AR6),ResultColumnFinder[Concat2],0)),FALSE),ROW()-4-($AR6-1)*NumSpecimens,0))
)))</f>
        <v>#N/A</v>
      </c>
      <c r="BS6" s="27" t="str">
        <f>IF(NumDataColumns=0,"PLEASE SELECT AT LEAST 1 COLUMN OF RESULT VALUES",
IF(AT6="","",
CONCATENATE("  - &amp;ResultID",TEXT(ROW()-3,"00000"),
" {","ResultUUID:  ",CHAR(34),BE6,CHAR(34),
", FeatureActionObj: *FeatureActionID",TEXT(ROW()-3,"00000"),
", ResultTypeCV:  ",CHAR(34),BF6,CHAR(34),
", VariableObj:  ",BG6,
", UnitsObj:  ",BH6,
", TaxonomicClassifierObj:  ",BI6,
", ProcessingLevelObj:  ",BJ6,
", ResultDateTime:  ",BK6,
", ResultDateTimeUTCOffset:  ",BL6,
", ValidDateTime:  ","",
", ValidDateTimeUTCOffset:  ","",
", StatusCV:  ","",
", SampledMediumCV:  ",CHAR(34),BM6,CHAR(34),
", ValueCount:  ",1,"}")))</f>
        <v>PLEASE SELECT AT LEAST 1 COLUMN OF RESULT VALUES</v>
      </c>
      <c r="BT6" s="27" t="str">
        <f>IF(ROW()-3&gt;NumDataColumns*NumSpecimens,"",
IF(AT6="","",
CONCATENATE("  - {DatasetObj: *DatasetID00001, ",
"ResultObj: *ResultID",TEXT(ROW()-3,"00000"),
"}")))</f>
        <v/>
      </c>
      <c r="BU6" s="27" t="e">
        <f>IF(BF6&lt;&gt;"Measurement","",
IF(AT6="","",
CONCATENATE("  - &amp;MeasurementResultID",TEXT(ROW()-3,"00000"),
" {","ResultObj: *ResultID",TEXT(ROW()-3,"00000"),
", XLocation:  NULL",
", XLocationUnitsObj:  ","",
", YLocation:  NULL",
", YLocationUnitsObj:  ","",
", ZLocation:  NULL",
", ZLocationUnitsObj:  ","",
", SpatialReferenceObj:  ","",
", CensorCodeCV: ",CHAR(34),BN6,CHAR(34),
", QualityCodeCV:  ",CHAR(34),BO6,CHAR(34),
", AggregationStatisticCV:  ",CHAR(34),BP6,CHAR(34),
", TimeAggregationInterval:  ",CHAR(34),BQ6,CHAR(34),
", TimeAggregationUnitsObj:  ",CHAR(34),BR6,CHAR(34),
"}")))</f>
        <v>#N/A</v>
      </c>
      <c r="BV6" s="27" t="e">
        <f>IF(BF6&lt;&gt;"Measurement","",
IF(AT6="","",
CONCATENATE("  - &amp;MeasurementResultValueID",TEXT(ROW()-3,"00000"),
" {","MeasurementResultObj: *MeasurementResultID",TEXT(ROW()-3,"00000"),
", DataValue: ",AT6,
", ValueDateTime:  ",CHAR(34),BK6,CHAR(34),
", ValueDateTimeUTCOffset:  ",BL6,
"}")))</f>
        <v>#N/A</v>
      </c>
      <c r="BW6" s="27" t="e">
        <f>IF(BF6="Measurement","",
IF(AT6="","",
CONCATENATE("  - &amp;CategoricalResultID",TEXT(ROW()-3,"00000"),
" {","ResultObj: *ResultID",TEXT(ROW()-3,"00000"),
", XLocation:  NULL",
", XLocationUnitsObj:  ","",
", YLocation:  NULL",
", YLocationUnitsObj:  ","",
", ZLocation:  NULL",
", ZLocationUnitsObj:  ","",
", SpatialReferenceObj:  ","",
", QualityCodeCV:  ",CHAR(34),BO6,CHAR(34),
"}")))</f>
        <v>#N/A</v>
      </c>
      <c r="BX6" s="27" t="e">
        <f>IF(BF6="Measurement","",
IF(AT6="","",
CONCATENATE("  - &amp;CategoricalResultValueID",TEXT(ROW()-3,"00000"),
" {","MeasurementResultObj: *CategoricalResultID",TEXT(ROW()-3,"00000"),
", DataValue: ",AT6,
", ValueDateTime:  ",CHAR(34),BK6,CHAR(34),
", ValueDateTimeUTCOffset:  ",BL6,
"}")))</f>
        <v>#N/A</v>
      </c>
    </row>
    <row r="7" spans="1:82" x14ac:dyDescent="0.25">
      <c r="A7" s="27">
        <f t="shared" si="0"/>
        <v>4</v>
      </c>
      <c r="D7" s="27"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7"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7"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 s="27"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7" s="27"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7" s="27"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7" s="27"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7" s="27"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7" s="27"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7" s="27"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7" s="27"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7" s="27"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7" s="27" t="str">
        <f>IF(ROW()-3&gt;NumParentSamplingFeatures+NumSpecimens,"",
IF(ROW()-3&gt;NumParentSamplingFeatures,
CONCATENATE("  - &amp;SamplingFeatureID",TEXT(ROW()-3,"00000"),
" {","SamplingFeatureUUID:  ",CHAR(34),O7,CHAR(34),
", SamplingFeatureTypeCV:  ",CHAR(34),"Specimen",CHAR(34),
", SamplingFeatureCode:  ",CHAR(34),P7,CHAR(34),
", SamplingFeatureName:  ",CHAR(34),Q7,CHAR(34),
", SamplingFeatureDescription:  ",CHAR(34),R7,CHAR(34),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7" s="27" t="str">
        <f>IF(AND(NumIGSNs=0,COUNTIF(DataColumns[ColumnType],"SpecimenIGSN")=0),"",
IF(ROW()-3&gt;NumIGSNs+NumSpecimens,"",
IF(ROW()-3&gt;NumIGSNs,
IF(ISERROR(MATCH("SpecimenIGSN",DataColumns[ColumnType],0)),"",
IF(S7="","",
CONCATENATE("  - {",
"SamplingFeatureObj:  *SamplingFeatureID",TEXT(ROW()-2-NumIGSNs+NumParentSamplingFeatures-1,"00000"),
", ExternalIdentifierSystemObj:  *ExternalIdentifierSystemID00003",
", SamplingFeatureExternalIdentifier:  ",CHAR(34),S7,CHAR(34),
", SamplingFeatureExternalIdentifierURI:  ",CHAR(34),"http://app.geosamples.org/sample/igsn/",S7,CHAR(34),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7"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c>
      <c r="Z7" s="27" t="str">
        <f>IF(ROW()-4&gt;NumParentSpecimens+NumSpecimens,"",
IF(ROW()-3&gt;NumParentSpecimens,
CONCATENATE("  - {",
"SamplingFeatureObj:  *SamplingFeatureID",TEXT(ROW()-3+NumParentSamplingFeatures,"00000"),
", SpecimenTypeCV:  ",CHAR(34),T7,CHAR(34),
", SpecimenMediumCV:  ",CHAR(34),U7,CHAR(34),
", IsFieldSpecimen:  ",CHAR(34),V7,CHAR(34),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AA7"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7" s="27" t="str">
        <f t="shared" si="3"/>
        <v>*SamplingFeatureID00004</v>
      </c>
      <c r="AC7" s="27"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7" s="178"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7" s="178"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7" s="27" t="str">
        <f>IF(AND(NumRelatedFeatures=0,MATCH("ParentSamplingFeatureCode",SpecimenColumnFinder[DataType],0)="NOT GIVEN"),"",
IF(ROW()-3&gt;NumRelatedFeatures+NumSpecimens,"",
IF(ROW()-3&gt;NumRelatedFeatures,
IF(AD7="NO RELATED FEATURE","",
CONCATENATE("  - {",
"SamplingFeatureObj:  ",AB7,
", RelationshipTypeCV:  ",CHAR(34),AC7,CHAR(34),
", RelatedFeatureObj: ",AD7,
", SpatialOffsetObj:  ",AE7,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c>
      <c r="AG7" s="27"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c>
      <c r="AH7" s="27"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7"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7" s="27"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7" s="27"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7" s="27"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7" s="27"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7" s="27"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7" s="27" t="str">
        <f t="shared" si="1"/>
        <v>*SamplingFeatureID00004</v>
      </c>
      <c r="AQ7" s="27" t="str">
        <f>IF(ROW()-3&gt;NumSpecimens,"",
CONCATENATE("  - &amp;ActionID",TEXT(ROW()-3,"00000"),
" {","ActionTypeCV:  ",CHAR(34),"Specimen collection",CHAR(34),
", MethodObj: ",AL7,
", BeginDateTime:  ",CHAR(34),AM7,CHAR(34),
", BeginDateTimeUTCOffset:  ",CHAR(34),AN7,CHAR(34),
", EndDateTime:  NULL",
", EndDateTimeUTCOffset:  NULL",
", ActionDescription:  ",CHAR(34),"Action generated by Excel Template for ",TemplateProfile," v.",TemplateVersion,CHAR(34),
", ActionFileLink:  NULL",
,"}"))</f>
        <v/>
      </c>
      <c r="AR7" s="27">
        <f t="shared" si="4"/>
        <v>4</v>
      </c>
      <c r="AS7" s="27" t="e">
        <f>INDEX(ResultColumnFinder[Data Value Label],MATCH($AR7,ResultColumnFinder[DV Num],1))</f>
        <v>#N/A</v>
      </c>
      <c r="AT7" s="27" t="e">
        <f>IF(INDEX(ResultColumnFinder[First Value Address],MATCH(CONCATENATE("ResultValue",$AR7),ResultColumnFinder[Concat2],0))="NOT GIVEN",
"",
IF(OFFSET(INDIRECT(INDEX(ResultColumnFinder[First Value Address],MATCH(CONCATENATE("ResultValue",$AR7),ResultColumnFinder[Concat2],0)),FALSE),ROW()-4-($AR7-1)*NumSpecimens,0)="",
"",
OFFSET(INDIRECT(INDEX(ResultColumnFinder[First Value Address],MATCH(CONCATENATE("ResultValue",$AR7),ResultColumnFinder[Concat2],0)),FALSE),ROW()-4-($AR7-1)*NumSpecimens,0))
)</f>
        <v>#N/A</v>
      </c>
      <c r="AU7" s="27" t="e">
        <f>IF(INDEX(ResultColumnFinder[First Value Address],MATCH(CONCATENATE("AnalysisMethodCode",$AR7),ResultColumnFinder[Concat2],0))="NOT GIVEN",
CONCATENATE("PLEASE FILL IN A VALID ANALYSIS METHOD CODE FOR ",$AS7),
IF(LEFT(INDEX(ResultColumnFinder[First Value Address],MATCH(CONCATENATE("AnalysisMethodCode",$AR7),ResultColumnFinder[Concat2],0)),14)="'Data Columns'",
IF(ISERROR(MATCH(INDIRECT(INDEX(ResultColumnFinder[First Value Address],MATCH(CONCATENATE("AnalysisMethodCode",$AR7),ResultColumnFinder[Concat2],0)),FALSE),Methods[Method Code],0)),
CONCATENATE("PLEASE FILL IN A VALID ANALYSIS METHOD CODE FOR ",$AS7),
CONCATENATE("*MethodID",TEXT(MATCH(INDIRECT(INDEX(ResultColumnFinder[First Value Address],MATCH(CONCATENATE("AnalysisMethodCode",$AR7),ResultColumnFinder[Concat2],0)),FALSE),Methods[Method Code],0),"00000"))),
IF(ISERROR(MATCH(OFFSET(INDIRECT(INDEX(ResultColumnFinder[First Value Address],MATCH(CONCATENATE("AnalysisMethodCode",$AR7),ResultColumnFinder[Concat2],0)),FALSE),ROW()-4-($AR7-1)*NumSpecimens,0),Methods[Method Code],0)),
CONCATENATE("PLEASE SPECIFY A VALID ANALYSIS METHOD CODE FOR ",$AS7," IN ROW ",ROW()-4-($AR7-1)*NumSpecimens),
CONCATENATE("*MethodID",TEXT(MATCH(OFFSET(INDIRECT(INDEX(ResultColumnFinder[First Value Address],MATCH(CONCATENATE("AnalysisMethodCode",$AR7),ResultColumnFinder[Concat2],0)),FALSE),ROW()-4-($AR7-1)*NumSpecimens,0),Methods[Method Code],0),"00000")))))</f>
        <v>#N/A</v>
      </c>
      <c r="AV7" s="27" t="e">
        <f>IF(INDEX(ResultColumnFinder[First Value Address],MATCH(CONCATENATE("AnalysisDateTime",$AR7),ResultColumnFinder[Concat2],0))="NOT GIVEN",
"",
IF(OFFSET(INDIRECT(INDEX(ResultColumnFinder[First Value Address],MATCH(CONCATENATE("AnalysisDateTime",$AR7),ResultColumnFinder[Concat2],0)),FALSE),ROW()-4-($AR7-1)*NumSpecimens,0)="",
CONCATENATE("PLEASE SPECIFY AN ANALYSIS TIME FOR ",$AS7," IN ROW ",ROW()-4-($AR7-1)*NumSpecimens),
TEXT(OFFSET(INDIRECT(INDEX(ResultColumnFinder[First Value Address],MATCH(CONCATENATE("AnalysisDateTime",$AR7),ResultColumnFinder[Concat2],0)),FALSE),ROW()-4-($AR7-1)*NumSpecimens,0),"yyyy-mm-dd hh:mm:ss")))</f>
        <v>#N/A</v>
      </c>
      <c r="AW7" s="27" t="e">
        <f>IF(INDEX(ResultColumnFinder[First Value Address],MATCH(CONCATENATE("AnalysisDateTimeUTCOffset",$AR7),ResultColumnFinder[Concat2],0))="NOT GIVEN",
"",
IF(LEFT(INDEX(ResultColumnFinder[First Value Address],MATCH(CONCATENATE("AnalysisDateTimeUTCOffset",$AR7),ResultColumnFinder[Concat2],0)),14)="'Data Columns'",
IF(INDIRECT(INDEX(ResultColumnFinder[First Value Address],MATCH(CONCATENATE("AnalysisDateTimeUTCOffset",$AR7),ResultColumnFinder[Concat2],0)),FALSE)="",
CONCATENATE("PLEASE FILL IN AN ANALYSIS TIME UTC OFFSET FOR ",$AS7),
INDIRECT(INDEX(ResultColumnFinder[First Value Address],MATCH(CONCATENATE("AnalysisDateTimeUTCOffset",$AR7),ResultColumnFinder[Concat2],0)),FALSE)),
IF(OFFSET(INDIRECT(INDEX(ResultColumnFinder[First Value Address],MATCH(CONCATENATE("AnalysisDateTimeUTCOffset",$AR7),ResultColumnFinder[Concat2],0)),FALSE),ROW()-4-($AR7-1)*NumSpecimens,0)="",
CONCATENATE("PLEASE SPECIFY AN ANALYSIS TIME UTC OFFSET FOR ",$AS7," IN ROW ",ROW()-4-($AR7-1)*NumSpecimens),
OFFSET(INDIRECT(INDEX(ResultColumnFinder[First Value Address],MATCH(CONCATENATE("AnalysisDateTimeUTCOffset",$AR7),ResultColumnFinder[Concat2],0)),FALSE),ROW()-4-($AR7-1)*NumSpecimens,0))))</f>
        <v>#N/A</v>
      </c>
      <c r="AX7" s="27" t="e">
        <f>IF(INDEX(ResultColumnFinder[First Value Address],MATCH(CONCATENATE("ResultAnalyst",$AR7),ResultColumnFinder[Concat2],0))="NOT GIVEN",
"",
IF(LEFT(INDEX(ResultColumnFinder[First Value Address],MATCH(CONCATENATE("ResultAnalyst",$AR7),ResultColumnFinder[Concat2],0)),14)="'Data Columns'",
IF(ISERROR(MATCH(INDIRECT(INDEX(ResultColumnFinder[First Value Address],MATCH(CONCATENATE("ResultAnalyst",$AR7),ResultColumnFinder[Concat2],0)),FALSE),People[Full Name],0)),
CONCATENATE("PLEASE FILL IN A VALID ANALYST FOR ",$AS7),
CONCATENATE("*AffiliationID",TEXT(MATCH(INDIRECT(INDEX(ResultColumnFinder[First Value Address],MATCH(CONCATENATE("ResultAnalyst",$AR7),ResultColumnFinder[Concat2],0)),FALSE),People[Full Name],0),"00000"))),
IF(OFFSET(INDIRECT(INDEX(ResultColumnFinder[First Value Address],MATCH(CONCATENATE("ResultAnalyst",$AR7),ResultColumnFinder[Concat2],0)),FALSE),ROW()-4-($AR7-1)*NumSpecimens,0)="",
"",
IF(ISERROR(MATCH(OFFSET(INDIRECT(INDEX(ResultColumnFinder[First Value Address],MATCH(CONCATENATE("ResultAnalyst",$AR7),ResultColumnFinder[Concat2],0)),FALSE),ROW()-4-($AR7-1)*NumSpecimens,0),People[Full Name],0)),
CONCATENATE("PLEASE SPECIFY A VALID ANALYST FOR ",$AS7," IN ROW ",ROW()-4-($AR7-1)*NumSpecimens),
CONCATENATE("*AffiliationID",TEXT(MATCH(OFFSET(INDIRECT(INDEX(ResultColumnFinder[First Value Address],MATCH(CONCATENATE("ResultAnalyst",$AR7),ResultColumnFinder[Concat2],0)),FALSE),ROW()-4-($AR7-1)*NumSpecimens,0),People[Full Name],0),"00000"))))))</f>
        <v>#N/A</v>
      </c>
      <c r="AY7" s="27" t="str">
        <f t="shared" si="2"/>
        <v>*SamplingFeatureID00001</v>
      </c>
      <c r="AZ7" s="27" t="str">
        <f>IF(ROW()-3&gt;NumDataColumns*NumSpecimens,"",
IF(AT7="","",
CONCATENATE("  - &amp;ActionID",TEXT(ROW()-3+NumSpecimens,"00000"),
" {","ActionTypeCV:  ",CHAR(34),"Specimen analysis",CHAR(34),
", MethodObj: ",AU7,
", BeginDateTime:  ",CHAR(34),AV7,CHAR(34),
", BeginDateTimeUTCOffset:  ",CHAR(34),AW7,CHAR(34),
", EndDateTime:  NULL",
", EndDateTimeUTCOffset:  NULL",
", ActionDescription:  ",CHAR(34),"Action generated by Excel Template for ",TemplateProfile," v.",TemplateVersion,CHAR(34),
", ActionFileLink:  NULL",
,"}")))</f>
        <v/>
      </c>
      <c r="BA7" s="27" t="str">
        <f>IF(ROW()-3&gt;NumSpecimens,"",
CONCATENATE("  - &amp;FeatureActionID",TEXT(ROW()-3,"00000"),
" {","SamplingFeatureObj:  ",AP7,
", ActionObj:  *ActionID",TEXT(ROW()-3,"00000"),"}"))</f>
        <v/>
      </c>
      <c r="BB7" s="27" t="str">
        <f>IF(ROW()-3&gt;NumDataColumns*NumSpecimens,"",
IF(AT7="","",
CONCATENATE("  - &amp;FeatureActionID",TEXT(ROW()-3+NumSpecimens,"00000"),
" {","SamplingFeatureObj:  ",AY7,
", ActionObj:  *ActionID",TEXT(ROW()-3+NumSpecimens,"00000"),"}")))</f>
        <v/>
      </c>
      <c r="BC7" s="27" t="str">
        <f>IF(ROW()-3&gt;NumSpecimens,"",
IF(AO7="","",
CONCATENATE("  - {",
"ActionObj:  *ActionID",TEXT(ROW()-3,"00000"),
", AffiliationObj:  ",AO7,
", IsActionLead: TRUE",
", RoleDescription: NULL",
"}")))</f>
        <v/>
      </c>
      <c r="BD7" s="27" t="str">
        <f>IF(ROW()-3&gt;NumDataColumns*NumSpecimens,"",
IF(AT7="","",
IF(AX7="","",
CONCATENATE("  - {",
"ActionObj:  *ActionID",TEXT(ROW()-3+NumSpecimens,"00000"),
", AffiliationObj:  ",AX7,
", IsActionLead: TRUE",
", RoleDescription: NULL",
"}"))))</f>
        <v/>
      </c>
      <c r="BE7" s="27" t="e">
        <f>IF(INDEX(ResultColumnFinder[First Value Address],MATCH(CONCATENATE("ResultUUID",$AR7),ResultColumnFinder[Concat2],0))="NOT GIVEN",
"",
IF(OFFSET(INDIRECT(INDEX(ResultColumnFinder[First Value Address],MATCH(CONCATENATE("ResultUUID",$AR7),ResultColumnFinder[Concat2],0)),FALSE),ROW()-4-($AR7-1)*NumSpecimens,0)="",
"",
OFFSET(INDIRECT(INDEX(ResultColumnFinder[First Value Address],MATCH(CONCATENATE("ResultUUID",$AR7),ResultColumnFinder[Concat2],0)),FALSE),ROW()-4-($AR7-1)*NumSpecimens,0))
)</f>
        <v>#N/A</v>
      </c>
      <c r="BF7" s="27" t="e">
        <f>IF(INDEX(ResultColumnFinder[First Value Address],MATCH(CONCATENATE("ResultTypeCV",$AR7),ResultColumnFinder[Concat2],0))="NOT GIVEN",
"PLEASE NOTE: A  RESULT TYPE MUST BE SPECIFIED FOR EACH RESULT",
IF(LEFT(INDEX(ResultColumnFinder[First Value Address],MATCH(CONCATENATE("ResultTypeCV",$AR7),ResultColumnFinder[Concat2],0)),14)="'Data Columns'",
IF(COUNTIF(ResultTypeCV,INDIRECT(INDEX(ResultColumnFinder[First Value Address],MATCH(CONCATENATE("ResultTypeCV",$AR7),ResultColumnFinder[Concat2],0)),FALSE))=0,
CONCATENATE("PLEASE FILL IN A VALID  RESULT TYPE FOR ",$AS7),
INDIRECT(INDEX(ResultColumnFinder[First Value Address],MATCH(CONCATENATE("ResultTypeCV",$AR7),ResultColumnFinder[Concat2],0)),FALSE)),
IF(COUNTIF(ResultTypeCV,OFFSET(INDIRECT(INDEX(ResultColumnFinder[First Value Address],MATCH(CONCATENATE("ResultTypeCV",$AR7),ResultColumnFinder[Concat2],0)),FALSE),ROW()-4-($AR7-1)*NumSpecimens,0))=0,
CONCATENATE("PLEASE SPECIFY A VALID  RESULT TYPE FOR ",$AS7," IN ROW ",ROW()-4-($AR7-1)*NumSpecimens),
OFFSET(INDIRECT(INDEX(ResultColumnFinder[First Value Address],MATCH(CONCATENATE("ResultTypeCV",$AR7),ResultColumnFinder[Concat2],0)),FALSE),ROW()-4-($AR7-1)*NumSpecimens,0))
))</f>
        <v>#N/A</v>
      </c>
      <c r="BG7" s="27" t="e">
        <f>IF(INDEX(ResultColumnFinder[First Value Address],MATCH(CONCATENATE("VariableCode",$AR7),ResultColumnFinder[Concat2],0))="NOT GIVEN",
"PLEASE NOTE: A VARIABLE CODE MUST BE SPECIFIED FOR EACH RESULT",
IF(LEFT(INDEX(ResultColumnFinder[First Value Address],MATCH(CONCATENATE("VariableCode",$AR7),ResultColumnFinder[Concat2],0)),14)="'Data Columns'",
IF(ISERROR(MATCH(INDIRECT(INDEX(ResultColumnFinder[First Value Address],MATCH(CONCATENATE("VariableCode",$AR7),ResultColumnFinder[Concat2],0)),FALSE),Variables[Variable Code],0)),
CONCATENATE("PLEASE FILL IN A VALID VARIABLE CODE FOR ",$AS7),
CONCATENATE("*VariableID",TEXT(MATCH(INDIRECT(INDEX(ResultColumnFinder[First Value Address],MATCH(CONCATENATE("VariableCode",$AR7),ResultColumnFinder[Concat2],0)),FALSE),Variables[Variable Code],0),"00000"))),
IF(ISERROR(MATCH(OFFSET(INDIRECT(INDEX(ResultColumnFinder[First Value Address],MATCH(CONCATENATE("VariableCode",$AR7),ResultColumnFinder[Concat2],0)),FALSE),ROW()-4-($AR7-1)*NumSpecimens,0),Variables[Variable Code],0)),
CONCATENATE("PLEASE SPECIFY A VALID VARIABLE CODE FOR ",$AS7," IN ROW ",ROW()-4-($AR7-1)*NumSpecimens),
CONCATENATE("*VariableID",TEXT(MATCH(OFFSET(INDIRECT(INDEX(ResultColumnFinder[First Value Address],MATCH(CONCATENATE("VariableCode",$AR7),ResultColumnFinder[Concat2],0)),FALSE),ROW()-4-($AR7-1)*NumSpecimens,0),Variables[Variable Code],0),"00000")))))</f>
        <v>#N/A</v>
      </c>
      <c r="BH7" s="27" t="e">
        <f>IF(INDEX(ResultColumnFinder[First Value Address],MATCH(CONCATENATE("UnitName",$AR7),ResultColumnFinder[Concat2],0))="NOT GIVEN",
"PLEASE NOTE: A UNIT MUST BE SPECIFIED FOR EACH RESULT",
IF(LEFT(INDEX(ResultColumnFinder[First Value Address],MATCH(CONCATENATE("UnitName",$AR7),ResultColumnFinder[Concat2],0)),14)="'Data Columns'",
IF(INDIRECT(INDEX(ResultColumnFinder[First Value Address],MATCH(CONCATENATE("UnitName",$AR7),ResultColumnFinder[Concat2],0)),FALSE)="",
CONCATENATE("PLEASE FILL IN A UNIT FOR ",$AS7),
INDIRECT(INDEX(ResultColumnFinder[First Value Address],MATCH(CONCATENATE("UnitName",$AR7),ResultColumnFinder[Concat2],0)),FALSE)),
IF(OFFSET(INDIRECT(INDEX(ResultColumnFinder[First Value Address],MATCH(CONCATENATE("UnitName",$AR7),ResultColumnFinder[Concat2],0)),FALSE),ROW()-4-($AR7-1)*NumSpecimens,0)="",
CONCATENATE("PLEASE SPECIFY A UNIT FOR ",$AS7," IN ROW ",ROW()-4-($AR7-1)*NumSpecimens),
OFFSET(INDIRECT(INDEX(ResultColumnFinder[First Value Address],MATCH(CONCATENATE("UnitName",$AR7),ResultColumnFinder[Concat2],0)),FALSE),ROW()-4-($AR7-1)*NumSpecimens,0))
))</f>
        <v>#N/A</v>
      </c>
      <c r="BI7" s="27" t="e">
        <f>IF(INDEX(ResultColumnFinder[First Value Address],MATCH(CONCATENATE("TaxonomicClassifierName",$AR7),ResultColumnFinder[Concat2],0))="NOT GIVEN",
"",
IF(LEFT(INDEX(ResultColumnFinder[First Value Address],MATCH(CONCATENATE("TaxonomicClassifierName",$AR7),ResultColumnFinder[Concat2],0)),14)="'Data Columns'",
IF(ISERROR(MATCH(INDIRECT(INDEX(ResultColumnFinder[First Value Address],MATCH(CONCATENATE("TaxonomicClassifierName",$AR7),ResultColumnFinder[Concat2],0)),FALSE),TaxonomicClassifiers[Taxonomic Classifier Name],0)),
"",
CONCATENATE("*VariableID",TEXT(MATCH(INDIRECT(INDEX(ResultColumnFinder[First Value Address],MATCH(CONCATENATE("TaxonomicClassifierName",$AR7),ResultColumnFinder[Concat2],0)),FALSE),TaxonomicClassifiers[Taxonomic Classifier Name],0),"00000"))),
IF(ISERROR(MATCH(OFFSET(INDIRECT(INDEX(ResultColumnFinder[First Value Address],MATCH(CONCATENATE("TaxonomicClassifierName",$AR7),ResultColumnFinder[Concat2],0)),FALSE),ROW()-4-($AR7-1)*NumSpecimens,0),TaxonomicClassifiers[Taxonomic Classifier Name],0)),
"",
CONCATENATE("*VariableID",TEXT(MATCH(OFFSET(INDIRECT(INDEX(ResultColumnFinder[First Value Address],MATCH(CONCATENATE("TaxonomicClassifierName",$AR7),ResultColumnFinder[Concat2],0)),FALSE),ROW()-4-($AR7-1)*NumSpecimens,0),TaxonomicClassifiers[Taxonomic Classifier Name],0),"00000")))))</f>
        <v>#N/A</v>
      </c>
      <c r="BJ7" s="27" t="e">
        <f>IF(INDEX(ResultColumnFinder[First Value Address],MATCH(CONCATENATE("ProcessingLevelCode",$AR7),ResultColumnFinder[Concat2],0))="NOT GIVEN",
"PLEASE NOTE: A PROCESSING LEVEL CODE MUST BE SPECIFIED FOR EACH RESULT",
IF(LEFT(INDEX(ResultColumnFinder[First Value Address],MATCH(CONCATENATE("ProcessingLevelCode",$AR7),ResultColumnFinder[Concat2],0)),14)="'Data Columns'",
IF(ISERROR(MATCH(INDIRECT(INDEX(ResultColumnFinder[First Value Address],MATCH(CONCATENATE("ProcessingLevelCode",$AR7),ResultColumnFinder[Concat2],0)),FALSE),ProcessingLevels[Processing Level Code],0)),
CONCATENATE("PLEASE FILL IN A VALID PROCESSING LEVEL CODE FOR ",$AS7),
CONCATENATE("*ProcessingLevelID",TEXT(MATCH(INDIRECT(INDEX(ResultColumnFinder[First Value Address],MATCH(CONCATENATE("ProcessingLevelCode",$AR7),ResultColumnFinder[Concat2],0)),FALSE),ProcessingLevels[Processing Level Code],0),"00000"))),
IF(ISERROR(MATCH(OFFSET(INDIRECT(INDEX(ResultColumnFinder[First Value Address],MATCH(CONCATENATE("ProcessingLevelCode",$AR7),ResultColumnFinder[Concat2],0)),FALSE),ROW()-4-($AR7-1)*NumSpecimens,0),ProcessingLevels[Processing Level Code],0)),
CONCATENATE("PLEASE SPECIFY A VALID PROCESSING LEVEL CODE FOR ",$AS7," IN ROW ",ROW()-4-($AR7-1)*NumSpecimens),
CONCATENATE("*ProcessingLevelID",TEXT(MATCH(OFFSET(INDIRECT(INDEX(ResultColumnFinder[First Value Address],MATCH(CONCATENATE("ProcessingLevelCode",$AR7),ResultColumnFinder[Concat2],0)),FALSE),ROW()-4-($AR7-1)*NumSpecimens,0),ProcessingLevels[Processing Level Code],0),"00000")))))</f>
        <v>#N/A</v>
      </c>
      <c r="BK7" s="27"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Address],MATCH("CollectionDateTime",SpecimenColumnFinder[DataType],0)),FALSE),ROW()-4-($AR7-1)*NumSpecimens,0)="",
CONCATENATE("PLEASE SPECIFY A SPECIMEN COLLECTION DATE/TIME IN ROW ",ROW()-4-($AR7-1)*NumSpecimens),
TEXT(OFFSET(INDIRECT(INDEX(SpecimenColumnFinder[First Value Address],MATCH("CollectionDateTime",SpecimenColumnFinder[DataType],0)),FALSE),ROW()-4-($AR7-1)*NumSpecimens,0),"yyyy-mm-dd hh:mm:ss")))</f>
        <v>PLEASE NOTE: THE SPECIMEN COLLECTION DATE/TIME MUST BE SPECIFIED</v>
      </c>
      <c r="BL7" s="27"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Address],MATCH("CollectionDateTimeUTCOffset",SpecimenColumnFinder[DataType],0)),FALSE),ROW()-4-($AR7-1)*NumSpecimens,0)="",
CONCATENATE("PLEASE SPECIFY A COLLECTION TIME UTC OFFSET IN ROW ",ROW()-4-($AR7-1)*NumSpecimens),
OFFSET(INDIRECT(INDEX(SpecimenColumnFinder[First Value Address],MATCH("CollectionDateTimeUTCOffset",SpecimenColumnFinder[DataType],0)),FALSE),ROW()-4-($AR7-1)*NumSpecimens,0)))</f>
        <v>#N/A</v>
      </c>
      <c r="BM7" s="27" t="e">
        <f>IF(INDEX(ResultColumnFinder[First Value Address],MATCH(CONCATENATE("SampledMediumCV",$AR7),ResultColumnFinder[Concat2],0))="NOT GIVEN",
"PLEASE NOTE: A SAMPLED MEDIUM MUST BE SPECIFIED FOR EACH RESULT",
IF(LEFT(INDEX(ResultColumnFinder[First Value Address],MATCH(CONCATENATE("SampledMediumCV",$AR7),ResultColumnFinder[Concat2],0)),14)="'Data Columns'",
IF(COUNTIF(SampledMediumCV,INDIRECT(INDEX(ResultColumnFinder[First Value Address],MATCH(CONCATENATE("SampledMediumCV",$AR7),ResultColumnFinder[Concat2],0)),FALSE))=0,
CONCATENATE("PLEASE FILL IN A VALID SAMPLED MEDIUM FOR ",$AS7),
INDIRECT(INDEX(ResultColumnFinder[First Value Address],MATCH(CONCATENATE("SampledMediumCV",$AR7),ResultColumnFinder[Concat2],0)),FALSE)),
IF(COUNTIF(SampledMediumCV,OFFSET(INDIRECT(INDEX(ResultColumnFinder[First Value Address],MATCH(CONCATENATE("SampledMediumCV",$AR7),ResultColumnFinder[Concat2],0)),FALSE),ROW()-4-($AR7-1)*NumSpecimens,0))=0,
CONCATENATE("PLEASE SPECIFY A VALID SAMPLED MEDIUM FOR ",$AS7," IN ROW ",ROW()-4-($AR7-1)*NumSpecimens),
OFFSET(INDIRECT(INDEX(ResultColumnFinder[First Value Address],MATCH(CONCATENATE("SampledMediumCV",$AR7),ResultColumnFinder[Concat2],0)),FALSE),ROW()-4-($AR7-1)*NumSpecimens,0))
))</f>
        <v>#N/A</v>
      </c>
      <c r="BN7" s="27" t="e">
        <f>IF(BF7&lt;&gt;"Measurement","",
IF(INDEX(ResultColumnFinder[First Value Address],MATCH(CONCATENATE("CensorCodeCV",$AR7),ResultColumnFinder[Concat2],0))="NOT GIVEN",
"PLEASE NOTE: A CENSOR CODE MUST BE SPECIFIED FOR EACH RESULT",
IF(LEFT(INDEX(ResultColumnFinder[First Value Address],MATCH(CONCATENATE("CensorCodeCV",$AR7),ResultColumnFinder[Concat2],0)),14)="'Data Columns'",
IF(COUNTIF(CensorCodeCV,INDIRECT(INDEX(ResultColumnFinder[First Value Address],MATCH(CONCATENATE("CensorCodeCV",$AR7),ResultColumnFinder[Concat2],0)),FALSE))=0,
CONCATENATE("PLEASE FILL IN A VALID CENSOR CODE FOR ",$AS7),
INDIRECT(INDEX(ResultColumnFinder[First Value Address],MATCH(CONCATENATE("CensorCodeCV",$AR7),ResultColumnFinder[Concat2],0)),FALSE)),
IF(COUNTIF(CensorCodeCV,OFFSET(INDIRECT(INDEX(ResultColumnFinder[First Value Address],MATCH(CONCATENATE("CensorCodeCV",$AR7),ResultColumnFinder[Concat2],0)),FALSE),ROW()-4-($AR7-1)*NumSpecimens,0))=0,
CONCATENATE("PLEASE SPECIFY A VALID CENSOR CODE FOR ",$AS7," IN ROW ",ROW()-4-($AR7-1)*NumSpecimens),
OFFSET(INDIRECT(INDEX(ResultColumnFinder[First Value Address],MATCH(CONCATENATE("CensorCodeCV",$AR7),ResultColumnFinder[Concat2],0)),FALSE),ROW()-4-($AR7-1)*NumSpecimens,0))
)))</f>
        <v>#N/A</v>
      </c>
      <c r="BO7" s="27" t="e">
        <f>IF(INDEX(ResultColumnFinder[First Value Address],MATCH(CONCATENATE("QualityCodeCV",$AR7),ResultColumnFinder[Concat2],0))="NOT GIVEN",
"PLEASE NOTE: A QUALITY CODE MUST BE SPECIFIED FOR EACH RESULT",
IF(LEFT(INDEX(ResultColumnFinder[First Value Address],MATCH(CONCATENATE("QualityCodeCV",$AR7),ResultColumnFinder[Concat2],0)),14)="'Data Columns'",
IF(COUNTIF(QualityCodeCV,INDIRECT(INDEX(ResultColumnFinder[First Value Address],MATCH(CONCATENATE("QualityCodeCV",$AR7),ResultColumnFinder[Concat2],0)),FALSE))=0,
CONCATENATE("PLEASE FILL IN A VALID QUALITY CODE FOR ",$AS7),
INDIRECT(INDEX(ResultColumnFinder[First Value Address],MATCH(CONCATENATE("QualityCodeCV",$AR7),ResultColumnFinder[Concat2],0)),FALSE)),
IF(COUNTIF(QualityCodeCV,OFFSET(INDIRECT(INDEX(ResultColumnFinder[First Value Address],MATCH(CONCATENATE("QualityCodeCV",$AR7),ResultColumnFinder[Concat2],0)),FALSE),ROW()-4-($AR7-1)*NumSpecimens,0))=0,
CONCATENATE("PLEASE SPECIFY A VALID QUALITY CODE FOR ",$AS7," IN ROW ",ROW()-4-($AR7-1)*NumSpecimens),
OFFSET(INDIRECT(INDEX(ResultColumnFinder[First Value Address],MATCH(CONCATENATE("QualityCodeCV",$AR7),ResultColumnFinder[Concat2],0)),FALSE),ROW()-4-($AR7-1)*NumSpecimens,0))
))</f>
        <v>#N/A</v>
      </c>
      <c r="BP7" s="27" t="e">
        <f>IF(BF7&lt;&gt;"Measurement","",
IF(INDEX(ResultColumnFinder[First Value Address],MATCH(CONCATENATE("AggregationStatisticCV",$AR7),ResultColumnFinder[Concat2],0))="NOT GIVEN",
"PLEASE NOTE: AN AGGREGATION STATISTIC MUST BE SPECIFIED FOR EACH MEASUREMENT RESULT",
IF(LEFT(INDEX(ResultColumnFinder[First Value Address],MATCH(CONCATENATE("AggregationStatisticCV",$AR7),ResultColumnFinder[Concat2],0)),14)="'Data Columns'",
IF(COUNTIF(AggregationStatisticCV,INDIRECT(INDEX(ResultColumnFinder[First Value Address],MATCH(CONCATENATE("AggregationStatisticCV",$AR7),ResultColumnFinder[Concat2],0)),FALSE))=0,
CONCATENATE("PLEASE FILL IN A VALID AGGREGATION STATISTIC FOR ",$AS7),
INDIRECT(INDEX(ResultColumnFinder[First Value Address],MATCH(CONCATENATE("AggregationStatisticCV",$AR7),ResultColumnFinder[Concat2],0)),FALSE)),
IF(COUNTIF(AggregationStatisticCV,OFFSET(INDIRECT(INDEX(ResultColumnFinder[First Value Address],MATCH(CONCATENATE("AggregationStatisticCV",$AR7),ResultColumnFinder[Concat2],0)),FALSE),ROW()-4-($AR7-1)*NumSpecimens,0))=0,
CONCATENATE("PLEASE SPECIFY A VALID AGGREGATION STATISTIC FOR ",$AS7," IN ROW ",ROW()-4-($AR7-1)*NumSpecimens),
OFFSET(INDIRECT(INDEX(ResultColumnFinder[First Value Address],MATCH(CONCATENATE("AggregationStatisticCV",$AR7),ResultColumnFinder[Concat2],0)),FALSE),ROW()-4-($AR7-1)*NumSpecimens,0))
)))</f>
        <v>#N/A</v>
      </c>
      <c r="BQ7" s="27" t="e">
        <f>IF(BF7&lt;&gt;"Measurement","",
IF(INDEX(ResultColumnFinder[First Value Address],MATCH(CONCATENATE("TimeAggregationInterval",$AR7),ResultColumnFinder[Concat2],0))="NOT GIVEN",
"PLEASE NOTE: A TIME AGGREGATION INTERVAL MUST BE SPECIFIED FOR EACH RESULT",
IF(LEFT(INDEX(ResultColumnFinder[First Value Address],MATCH(CONCATENATE("TimeAggregationInterval",$AR7),ResultColumnFinder[Concat2],0)),14)="'Data Columns'",
IF(INDIRECT(INDEX(ResultColumnFinder[First Value Address],MATCH(CONCATENATE("TimeAggregationInterval",$AR7),ResultColumnFinder[Concat2],0)),FALSE)="",
CONCATENATE("PLEASE FILL IN A TIME AGGREGATION INTERVAL FOR ",$AS7),
INDIRECT(INDEX(ResultColumnFinder[First Value Address],MATCH(CONCATENATE("TimeAggregationInterval",$AR7),ResultColumnFinder[Concat2],0)),FALSE)),
IF(OFFSET(INDIRECT(INDEX(ResultColumnFinder[First Value Address],MATCH(CONCATENATE("TimeAggregationInterval",$AR7),ResultColumnFinder[Concat2],0)),FALSE),ROW()-4-($AR7-1)*NumSpecimens,0)="",
CONCATENATE("PLEASE SPECIFY A TIME AGGREGATION INTERVAL FOR ",$AS7," IN ROW ",ROW()-4-($AR7-1)*NumSpecimens),
OFFSET(INDIRECT(INDEX(ResultColumnFinder[First Value Address],MATCH(CONCATENATE("TimeAggregationInterval",$AR7),ResultColumnFinder[Concat2],0)),FALSE),ROW()-4-($AR7-1)*NumSpecimens,0))
)))</f>
        <v>#N/A</v>
      </c>
      <c r="BR7" s="27" t="e">
        <f>IF(BF7&lt;&gt;"Measurement","",
IF(INDEX(ResultColumnFinder[First Value Address],MATCH(CONCATENATE("TimeAggregationIntervalUnitCode",$AR7),ResultColumnFinder[Concat2],0))="NOT GIVEN",
"PLEASE NOTE: A TIME AGGREGATION UNIT MUST BE SPECIFIED FOR EACH RESULT",
IF(LEFT(INDEX(ResultColumnFinder[First Value Address],MATCH(CONCATENATE("TimeAggregationIntervalUnitCode",$AR7),ResultColumnFinder[Concat2],0)),14)="'Data Columns'",
IF(INDIRECT(INDEX(ResultColumnFinder[First Value Address],MATCH(CONCATENATE("TimeAggregationIntervalUnitCode",$AR7),ResultColumnFinder[Concat2],0)),FALSE)="",
CONCATENATE("PLEASE FILL IN A TIME AGGREGATION UNIT FOR ",$AS7),
INDIRECT(INDEX(ResultColumnFinder[First Value Address],MATCH(CONCATENATE("TimeAggregationIntervalUnitCode",$AR7),ResultColumnFinder[Concat2],0)),FALSE)),
IF(OFFSET(INDIRECT(INDEX(ResultColumnFinder[First Value Address],MATCH(CONCATENATE("TimeAggregationIntervalUnitCode",$AR7),ResultColumnFinder[Concat2],0)),FALSE),ROW()-4-($AR7-1)*NumSpecimens,0)="",
CONCATENATE("PLEASE SPECIFY A TIME AGGREGATION UNIT FOR ",$AS7," IN ROW ",ROW()-4-($AR7-1)*NumSpecimens),
OFFSET(INDIRECT(INDEX(ResultColumnFinder[First Value Address],MATCH(CONCATENATE("TimeAggregationIntervalUnitCode",$AR7),ResultColumnFinder[Concat2],0)),FALSE),ROW()-4-($AR7-1)*NumSpecimens,0))
)))</f>
        <v>#N/A</v>
      </c>
      <c r="BS7" s="27" t="str">
        <f>IF(NumDataColumns=0,"PLEASE SELECT AT LEAST 1 COLUMN OF RESULT VALUES",
IF(AT7="","",
CONCATENATE("  - &amp;ResultID",TEXT(ROW()-3,"00000"),
" {","ResultUUID:  ",CHAR(34),BE7,CHAR(34),
", FeatureActionObj: *FeatureActionID",TEXT(ROW()-3,"00000"),
", ResultTypeCV:  ",CHAR(34),BF7,CHAR(34),
", VariableObj:  ",BG7,
", UnitsObj:  ",BH7,
", TaxonomicClassifierObj:  ",BI7,
", ProcessingLevelObj:  ",BJ7,
", ResultDateTime:  ",BK7,
", ResultDateTimeUTCOffset:  ",BL7,
", ValidDateTime:  ","",
", ValidDateTimeUTCOffset:  ","",
", StatusCV:  ","",
", SampledMediumCV:  ",CHAR(34),BM7,CHAR(34),
", ValueCount:  ",1,"}")))</f>
        <v>PLEASE SELECT AT LEAST 1 COLUMN OF RESULT VALUES</v>
      </c>
      <c r="BT7" s="27" t="str">
        <f>IF(ROW()-3&gt;NumDataColumns*NumSpecimens,"",
IF(AT7="","",
CONCATENATE("  - {DatasetObj: *DatasetID00001, ",
"ResultObj: *ResultID",TEXT(ROW()-3,"00000"),
"}")))</f>
        <v/>
      </c>
      <c r="BU7" s="27" t="e">
        <f>IF(BF7&lt;&gt;"Measurement","",
IF(AT7="","",
CONCATENATE("  - &amp;MeasurementResultID",TEXT(ROW()-3,"00000"),
" {","ResultObj: *ResultID",TEXT(ROW()-3,"00000"),
", XLocation:  NULL",
", XLocationUnitsObj:  ","",
", YLocation:  NULL",
", YLocationUnitsObj:  ","",
", ZLocation:  NULL",
", ZLocationUnitsObj:  ","",
", SpatialReferenceObj:  ","",
", CensorCodeCV: ",CHAR(34),BN7,CHAR(34),
", QualityCodeCV:  ",CHAR(34),BO7,CHAR(34),
", AggregationStatisticCV:  ",CHAR(34),BP7,CHAR(34),
", TimeAggregationInterval:  ",CHAR(34),BQ7,CHAR(34),
", TimeAggregationUnitsObj:  ",CHAR(34),BR7,CHAR(34),
"}")))</f>
        <v>#N/A</v>
      </c>
      <c r="BV7" s="27" t="e">
        <f>IF(BF7&lt;&gt;"Measurement","",
IF(AT7="","",
CONCATENATE("  - &amp;MeasurementResultValueID",TEXT(ROW()-3,"00000"),
" {","MeasurementResultObj: *MeasurementResultID",TEXT(ROW()-3,"00000"),
", DataValue: ",AT7,
", ValueDateTime:  ",CHAR(34),BK7,CHAR(34),
", ValueDateTimeUTCOffset:  ",BL7,
"}")))</f>
        <v>#N/A</v>
      </c>
      <c r="BW7" s="27" t="e">
        <f>IF(BF7="Measurement","",
IF(AT7="","",
CONCATENATE("  - &amp;CategoricalResultID",TEXT(ROW()-3,"00000"),
" {","ResultObj: *ResultID",TEXT(ROW()-3,"00000"),
", XLocation:  NULL",
", XLocationUnitsObj:  ","",
", YLocation:  NULL",
", YLocationUnitsObj:  ","",
", ZLocation:  NULL",
", ZLocationUnitsObj:  ","",
", SpatialReferenceObj:  ","",
", QualityCodeCV:  ",CHAR(34),BO7,CHAR(34),
"}")))</f>
        <v>#N/A</v>
      </c>
      <c r="BX7" s="27" t="e">
        <f>IF(BF7="Measurement","",
IF(AT7="","",
CONCATENATE("  - &amp;CategoricalResultValueID",TEXT(ROW()-3,"00000"),
" {","MeasurementResultObj: *CategoricalResultID",TEXT(ROW()-3,"00000"),
", DataValue: ",AT7,
", ValueDateTime:  ",CHAR(34),BK7,CHAR(34),
", ValueDateTimeUTCOffset:  ",BL7,
"}")))</f>
        <v>#N/A</v>
      </c>
    </row>
    <row r="8" spans="1:82" x14ac:dyDescent="0.25">
      <c r="A8" s="27">
        <f>ROW()-3</f>
        <v>5</v>
      </c>
      <c r="D8" s="27"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7"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7"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8" s="27"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 s="27"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8" s="27"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8" s="27"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8" s="27"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8" s="27"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8" s="27"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8" s="27"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8" s="27"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8" s="27"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8" s="27" t="str">
        <f>IF(ROW()-3&gt;NumParentSamplingFeatures+NumSpecimens,"",
IF(ROW()-3&gt;NumParentSamplingFeatures,
CONCATENATE("  - &amp;SamplingFeatureID",TEXT(ROW()-3,"00000"),
" {","SamplingFeatureUUID:  ",CHAR(34),O8,CHAR(34),
", SamplingFeatureTypeCV:  ",CHAR(34),"Specimen",CHAR(34),
", SamplingFeatureCode:  ",CHAR(34),P8,CHAR(34),
", SamplingFeatureName:  ",CHAR(34),Q8,CHAR(34),
", SamplingFeatureDescription:  ",CHAR(34),R8,CHAR(34),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8" s="27" t="str">
        <f>IF(AND(NumIGSNs=0,COUNTIF(DataColumns[ColumnType],"SpecimenIGSN")=0),"",
IF(ROW()-3&gt;NumIGSNs+NumSpecimens,"",
IF(ROW()-3&gt;NumIGSNs,
IF(ISERROR(MATCH("SpecimenIGSN",DataColumns[ColumnType],0)),"",
IF(S8="","",
CONCATENATE("  - {",
"SamplingFeatureObj:  *SamplingFeatureID",TEXT(ROW()-2-NumIGSNs+NumParentSamplingFeatures-1,"00000"),
", ExternalIdentifierSystemObj:  *ExternalIdentifierSystemID00003",
", SamplingFeatureExternalIdentifier:  ",CHAR(34),S8,CHAR(34),
", SamplingFeatureExternalIdentifierURI:  ",CHAR(34),"http://app.geosamples.org/sample/igsn/",S8,CHAR(34),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8" s="27"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c>
      <c r="Z8" s="27" t="str">
        <f>IF(ROW()-4&gt;NumParentSpecimens+NumSpecimens,"",
IF(ROW()-3&gt;NumParentSpecimens,
CONCATENATE("  - {",
"SamplingFeatureObj:  *SamplingFeatureID",TEXT(ROW()-3+NumParentSamplingFeatures,"00000"),
", SpecimenTypeCV:  ",CHAR(34),T8,CHAR(34),
", SpecimenMediumCV:  ",CHAR(34),U8,CHAR(34),
", IsFieldSpecimen:  ",CHAR(34),V8,CHAR(34),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AA8" s="27"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8" s="27" t="str">
        <f t="shared" si="3"/>
        <v>*SamplingFeatureID00005</v>
      </c>
      <c r="AC8" s="27"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8" s="178"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8" s="178"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8" s="27" t="str">
        <f>IF(AND(NumRelatedFeatures=0,MATCH("ParentSamplingFeatureCode",SpecimenColumnFinder[DataType],0)="NOT GIVEN"),"",
IF(ROW()-3&gt;NumRelatedFeatures+NumSpecimens,"",
IF(ROW()-3&gt;NumRelatedFeatures,
IF(AD8="NO RELATED FEATURE","",
CONCATENATE("  - {",
"SamplingFeatureObj:  ",AB8,
", RelationshipTypeCV:  ",CHAR(34),AC8,CHAR(34),
", RelatedFeatureObj: ",AD8,
", SpatialOffsetObj:  ",AE8,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c>
      <c r="AG8" s="27"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c>
      <c r="AH8" s="27"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8" s="27"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8" s="27"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8" s="27"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8" s="27"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8" s="27"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8" s="27"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8" s="27" t="str">
        <f t="shared" si="1"/>
        <v>*SamplingFeatureID00005</v>
      </c>
      <c r="AQ8" s="27" t="str">
        <f>IF(ROW()-3&gt;NumSpecimens,"",
CONCATENATE("  - &amp;ActionID",TEXT(ROW()-3,"00000"),
" {","ActionTypeCV:  ",CHAR(34),"Specimen collection",CHAR(34),
", MethodObj: ",AL8,
", BeginDateTime:  ",CHAR(34),AM8,CHAR(34),
", BeginDateTimeUTCOffset:  ",CHAR(34),AN8,CHAR(34),
", EndDateTime:  NULL",
", EndDateTimeUTCOffset:  NULL",
", ActionDescription:  ",CHAR(34),"Action generated by Excel Template for ",TemplateProfile," v.",TemplateVersion,CHAR(34),
", ActionFileLink:  NULL",
,"}"))</f>
        <v/>
      </c>
      <c r="AR8" s="27">
        <f t="shared" si="4"/>
        <v>5</v>
      </c>
      <c r="AS8" s="27" t="e">
        <f>INDEX(ResultColumnFinder[Data Value Label],MATCH($AR8,ResultColumnFinder[DV Num],1))</f>
        <v>#N/A</v>
      </c>
      <c r="AT8" s="27" t="e">
        <f>IF(INDEX(ResultColumnFinder[First Value Address],MATCH(CONCATENATE("ResultValue",$AR8),ResultColumnFinder[Concat2],0))="NOT GIVEN",
"",
IF(OFFSET(INDIRECT(INDEX(ResultColumnFinder[First Value Address],MATCH(CONCATENATE("ResultValue",$AR8),ResultColumnFinder[Concat2],0)),FALSE),ROW()-4-($AR8-1)*NumSpecimens,0)="",
"",
OFFSET(INDIRECT(INDEX(ResultColumnFinder[First Value Address],MATCH(CONCATENATE("ResultValue",$AR8),ResultColumnFinder[Concat2],0)),FALSE),ROW()-4-($AR8-1)*NumSpecimens,0))
)</f>
        <v>#N/A</v>
      </c>
      <c r="AU8" s="27" t="e">
        <f>IF(INDEX(ResultColumnFinder[First Value Address],MATCH(CONCATENATE("AnalysisMethodCode",$AR8),ResultColumnFinder[Concat2],0))="NOT GIVEN",
CONCATENATE("PLEASE FILL IN A VALID ANALYSIS METHOD CODE FOR ",$AS8),
IF(LEFT(INDEX(ResultColumnFinder[First Value Address],MATCH(CONCATENATE("AnalysisMethodCode",$AR8),ResultColumnFinder[Concat2],0)),14)="'Data Columns'",
IF(ISERROR(MATCH(INDIRECT(INDEX(ResultColumnFinder[First Value Address],MATCH(CONCATENATE("AnalysisMethodCode",$AR8),ResultColumnFinder[Concat2],0)),FALSE),Methods[Method Code],0)),
CONCATENATE("PLEASE FILL IN A VALID ANALYSIS METHOD CODE FOR ",$AS8),
CONCATENATE("*MethodID",TEXT(MATCH(INDIRECT(INDEX(ResultColumnFinder[First Value Address],MATCH(CONCATENATE("AnalysisMethodCode",$AR8),ResultColumnFinder[Concat2],0)),FALSE),Methods[Method Code],0),"00000"))),
IF(ISERROR(MATCH(OFFSET(INDIRECT(INDEX(ResultColumnFinder[First Value Address],MATCH(CONCATENATE("AnalysisMethodCode",$AR8),ResultColumnFinder[Concat2],0)),FALSE),ROW()-4-($AR8-1)*NumSpecimens,0),Methods[Method Code],0)),
CONCATENATE("PLEASE SPECIFY A VALID ANALYSIS METHOD CODE FOR ",$AS8," IN ROW ",ROW()-4-($AR8-1)*NumSpecimens),
CONCATENATE("*MethodID",TEXT(MATCH(OFFSET(INDIRECT(INDEX(ResultColumnFinder[First Value Address],MATCH(CONCATENATE("AnalysisMethodCode",$AR8),ResultColumnFinder[Concat2],0)),FALSE),ROW()-4-($AR8-1)*NumSpecimens,0),Methods[Method Code],0),"00000")))))</f>
        <v>#N/A</v>
      </c>
      <c r="AV8" s="27" t="e">
        <f>IF(INDEX(ResultColumnFinder[First Value Address],MATCH(CONCATENATE("AnalysisDateTime",$AR8),ResultColumnFinder[Concat2],0))="NOT GIVEN",
"",
IF(OFFSET(INDIRECT(INDEX(ResultColumnFinder[First Value Address],MATCH(CONCATENATE("AnalysisDateTime",$AR8),ResultColumnFinder[Concat2],0)),FALSE),ROW()-4-($AR8-1)*NumSpecimens,0)="",
CONCATENATE("PLEASE SPECIFY AN ANALYSIS TIME FOR ",$AS8," IN ROW ",ROW()-4-($AR8-1)*NumSpecimens),
TEXT(OFFSET(INDIRECT(INDEX(ResultColumnFinder[First Value Address],MATCH(CONCATENATE("AnalysisDateTime",$AR8),ResultColumnFinder[Concat2],0)),FALSE),ROW()-4-($AR8-1)*NumSpecimens,0),"yyyy-mm-dd hh:mm:ss")))</f>
        <v>#N/A</v>
      </c>
      <c r="AW8" s="27" t="e">
        <f>IF(INDEX(ResultColumnFinder[First Value Address],MATCH(CONCATENATE("AnalysisDateTimeUTCOffset",$AR8),ResultColumnFinder[Concat2],0))="NOT GIVEN",
"",
IF(LEFT(INDEX(ResultColumnFinder[First Value Address],MATCH(CONCATENATE("AnalysisDateTimeUTCOffset",$AR8),ResultColumnFinder[Concat2],0)),14)="'Data Columns'",
IF(INDIRECT(INDEX(ResultColumnFinder[First Value Address],MATCH(CONCATENATE("AnalysisDateTimeUTCOffset",$AR8),ResultColumnFinder[Concat2],0)),FALSE)="",
CONCATENATE("PLEASE FILL IN AN ANALYSIS TIME UTC OFFSET FOR ",$AS8),
INDIRECT(INDEX(ResultColumnFinder[First Value Address],MATCH(CONCATENATE("AnalysisDateTimeUTCOffset",$AR8),ResultColumnFinder[Concat2],0)),FALSE)),
IF(OFFSET(INDIRECT(INDEX(ResultColumnFinder[First Value Address],MATCH(CONCATENATE("AnalysisDateTimeUTCOffset",$AR8),ResultColumnFinder[Concat2],0)),FALSE),ROW()-4-($AR8-1)*NumSpecimens,0)="",
CONCATENATE("PLEASE SPECIFY AN ANALYSIS TIME UTC OFFSET FOR ",$AS8," IN ROW ",ROW()-4-($AR8-1)*NumSpecimens),
OFFSET(INDIRECT(INDEX(ResultColumnFinder[First Value Address],MATCH(CONCATENATE("AnalysisDateTimeUTCOffset",$AR8),ResultColumnFinder[Concat2],0)),FALSE),ROW()-4-($AR8-1)*NumSpecimens,0))))</f>
        <v>#N/A</v>
      </c>
      <c r="AX8" s="27" t="e">
        <f>IF(INDEX(ResultColumnFinder[First Value Address],MATCH(CONCATENATE("ResultAnalyst",$AR8),ResultColumnFinder[Concat2],0))="NOT GIVEN",
"",
IF(LEFT(INDEX(ResultColumnFinder[First Value Address],MATCH(CONCATENATE("ResultAnalyst",$AR8),ResultColumnFinder[Concat2],0)),14)="'Data Columns'",
IF(ISERROR(MATCH(INDIRECT(INDEX(ResultColumnFinder[First Value Address],MATCH(CONCATENATE("ResultAnalyst",$AR8),ResultColumnFinder[Concat2],0)),FALSE),People[Full Name],0)),
CONCATENATE("PLEASE FILL IN A VALID ANALYST FOR ",$AS8),
CONCATENATE("*AffiliationID",TEXT(MATCH(INDIRECT(INDEX(ResultColumnFinder[First Value Address],MATCH(CONCATENATE("ResultAnalyst",$AR8),ResultColumnFinder[Concat2],0)),FALSE),People[Full Name],0),"00000"))),
IF(OFFSET(INDIRECT(INDEX(ResultColumnFinder[First Value Address],MATCH(CONCATENATE("ResultAnalyst",$AR8),ResultColumnFinder[Concat2],0)),FALSE),ROW()-4-($AR8-1)*NumSpecimens,0)="",
"",
IF(ISERROR(MATCH(OFFSET(INDIRECT(INDEX(ResultColumnFinder[First Value Address],MATCH(CONCATENATE("ResultAnalyst",$AR8),ResultColumnFinder[Concat2],0)),FALSE),ROW()-4-($AR8-1)*NumSpecimens,0),People[Full Name],0)),
CONCATENATE("PLEASE SPECIFY A VALID ANALYST FOR ",$AS8," IN ROW ",ROW()-4-($AR8-1)*NumSpecimens),
CONCATENATE("*AffiliationID",TEXT(MATCH(OFFSET(INDIRECT(INDEX(ResultColumnFinder[First Value Address],MATCH(CONCATENATE("ResultAnalyst",$AR8),ResultColumnFinder[Concat2],0)),FALSE),ROW()-4-($AR8-1)*NumSpecimens,0),People[Full Name],0),"00000"))))))</f>
        <v>#N/A</v>
      </c>
      <c r="AY8" s="27" t="str">
        <f t="shared" si="2"/>
        <v>*SamplingFeatureID00001</v>
      </c>
      <c r="AZ8" s="27" t="str">
        <f>IF(ROW()-3&gt;NumDataColumns*NumSpecimens,"",
IF(AT8="","",
CONCATENATE("  - &amp;ActionID",TEXT(ROW()-3+NumSpecimens,"00000"),
" {","ActionTypeCV:  ",CHAR(34),"Specimen analysis",CHAR(34),
", MethodObj: ",AU8,
", BeginDateTime:  ",CHAR(34),AV8,CHAR(34),
", BeginDateTimeUTCOffset:  ",CHAR(34),AW8,CHAR(34),
", EndDateTime:  NULL",
", EndDateTimeUTCOffset:  NULL",
", ActionDescription:  ",CHAR(34),"Action generated by Excel Template for ",TemplateProfile," v.",TemplateVersion,CHAR(34),
", ActionFileLink:  NULL",
,"}")))</f>
        <v/>
      </c>
      <c r="BA8" s="27" t="str">
        <f>IF(ROW()-3&gt;NumSpecimens,"",
CONCATENATE("  - &amp;FeatureActionID",TEXT(ROW()-3,"00000"),
" {","SamplingFeatureObj:  ",AP8,
", ActionObj:  *ActionID",TEXT(ROW()-3,"00000"),"}"))</f>
        <v/>
      </c>
      <c r="BB8" s="27" t="str">
        <f>IF(ROW()-3&gt;NumDataColumns*NumSpecimens,"",
IF(AT8="","",
CONCATENATE("  - &amp;FeatureActionID",TEXT(ROW()-3+NumSpecimens,"00000"),
" {","SamplingFeatureObj:  ",AY8,
", ActionObj:  *ActionID",TEXT(ROW()-3+NumSpecimens,"00000"),"}")))</f>
        <v/>
      </c>
      <c r="BC8" s="27" t="str">
        <f>IF(ROW()-3&gt;NumSpecimens,"",
IF(AO8="","",
CONCATENATE("  - {",
"ActionObj:  *ActionID",TEXT(ROW()-3,"00000"),
", AffiliationObj:  ",AO8,
", IsActionLead: TRUE",
", RoleDescription: NULL",
"}")))</f>
        <v/>
      </c>
      <c r="BD8" s="27" t="str">
        <f>IF(ROW()-3&gt;NumDataColumns*NumSpecimens,"",
IF(AT8="","",
IF(AX8="","",
CONCATENATE("  - {",
"ActionObj:  *ActionID",TEXT(ROW()-3+NumSpecimens,"00000"),
", AffiliationObj:  ",AX8,
", IsActionLead: TRUE",
", RoleDescription: NULL",
"}"))))</f>
        <v/>
      </c>
      <c r="BE8" s="27" t="e">
        <f>IF(INDEX(ResultColumnFinder[First Value Address],MATCH(CONCATENATE("ResultUUID",$AR8),ResultColumnFinder[Concat2],0))="NOT GIVEN",
"",
IF(OFFSET(INDIRECT(INDEX(ResultColumnFinder[First Value Address],MATCH(CONCATENATE("ResultUUID",$AR8),ResultColumnFinder[Concat2],0)),FALSE),ROW()-4-($AR8-1)*NumSpecimens,0)="",
"",
OFFSET(INDIRECT(INDEX(ResultColumnFinder[First Value Address],MATCH(CONCATENATE("ResultUUID",$AR8),ResultColumnFinder[Concat2],0)),FALSE),ROW()-4-($AR8-1)*NumSpecimens,0))
)</f>
        <v>#N/A</v>
      </c>
      <c r="BF8" s="27" t="e">
        <f>IF(INDEX(ResultColumnFinder[First Value Address],MATCH(CONCATENATE("ResultTypeCV",$AR8),ResultColumnFinder[Concat2],0))="NOT GIVEN",
"PLEASE NOTE: A  RESULT TYPE MUST BE SPECIFIED FOR EACH RESULT",
IF(LEFT(INDEX(ResultColumnFinder[First Value Address],MATCH(CONCATENATE("ResultTypeCV",$AR8),ResultColumnFinder[Concat2],0)),14)="'Data Columns'",
IF(COUNTIF(ResultTypeCV,INDIRECT(INDEX(ResultColumnFinder[First Value Address],MATCH(CONCATENATE("ResultTypeCV",$AR8),ResultColumnFinder[Concat2],0)),FALSE))=0,
CONCATENATE("PLEASE FILL IN A VALID  RESULT TYPE FOR ",$AS8),
INDIRECT(INDEX(ResultColumnFinder[First Value Address],MATCH(CONCATENATE("ResultTypeCV",$AR8),ResultColumnFinder[Concat2],0)),FALSE)),
IF(COUNTIF(ResultTypeCV,OFFSET(INDIRECT(INDEX(ResultColumnFinder[First Value Address],MATCH(CONCATENATE("ResultTypeCV",$AR8),ResultColumnFinder[Concat2],0)),FALSE),ROW()-4-($AR8-1)*NumSpecimens,0))=0,
CONCATENATE("PLEASE SPECIFY A VALID  RESULT TYPE FOR ",$AS8," IN ROW ",ROW()-4-($AR8-1)*NumSpecimens),
OFFSET(INDIRECT(INDEX(ResultColumnFinder[First Value Address],MATCH(CONCATENATE("ResultTypeCV",$AR8),ResultColumnFinder[Concat2],0)),FALSE),ROW()-4-($AR8-1)*NumSpecimens,0))
))</f>
        <v>#N/A</v>
      </c>
      <c r="BG8" s="27" t="e">
        <f>IF(INDEX(ResultColumnFinder[First Value Address],MATCH(CONCATENATE("VariableCode",$AR8),ResultColumnFinder[Concat2],0))="NOT GIVEN",
"PLEASE NOTE: A VARIABLE CODE MUST BE SPECIFIED FOR EACH RESULT",
IF(LEFT(INDEX(ResultColumnFinder[First Value Address],MATCH(CONCATENATE("VariableCode",$AR8),ResultColumnFinder[Concat2],0)),14)="'Data Columns'",
IF(ISERROR(MATCH(INDIRECT(INDEX(ResultColumnFinder[First Value Address],MATCH(CONCATENATE("VariableCode",$AR8),ResultColumnFinder[Concat2],0)),FALSE),Variables[Variable Code],0)),
CONCATENATE("PLEASE FILL IN A VALID VARIABLE CODE FOR ",$AS8),
CONCATENATE("*VariableID",TEXT(MATCH(INDIRECT(INDEX(ResultColumnFinder[First Value Address],MATCH(CONCATENATE("VariableCode",$AR8),ResultColumnFinder[Concat2],0)),FALSE),Variables[Variable Code],0),"00000"))),
IF(ISERROR(MATCH(OFFSET(INDIRECT(INDEX(ResultColumnFinder[First Value Address],MATCH(CONCATENATE("VariableCode",$AR8),ResultColumnFinder[Concat2],0)),FALSE),ROW()-4-($AR8-1)*NumSpecimens,0),Variables[Variable Code],0)),
CONCATENATE("PLEASE SPECIFY A VALID VARIABLE CODE FOR ",$AS8," IN ROW ",ROW()-4-($AR8-1)*NumSpecimens),
CONCATENATE("*VariableID",TEXT(MATCH(OFFSET(INDIRECT(INDEX(ResultColumnFinder[First Value Address],MATCH(CONCATENATE("VariableCode",$AR8),ResultColumnFinder[Concat2],0)),FALSE),ROW()-4-($AR8-1)*NumSpecimens,0),Variables[Variable Code],0),"00000")))))</f>
        <v>#N/A</v>
      </c>
      <c r="BH8" s="27" t="e">
        <f>IF(INDEX(ResultColumnFinder[First Value Address],MATCH(CONCATENATE("UnitName",$AR8),ResultColumnFinder[Concat2],0))="NOT GIVEN",
"PLEASE NOTE: A UNIT MUST BE SPECIFIED FOR EACH RESULT",
IF(LEFT(INDEX(ResultColumnFinder[First Value Address],MATCH(CONCATENATE("UnitName",$AR8),ResultColumnFinder[Concat2],0)),14)="'Data Columns'",
IF(INDIRECT(INDEX(ResultColumnFinder[First Value Address],MATCH(CONCATENATE("UnitName",$AR8),ResultColumnFinder[Concat2],0)),FALSE)="",
CONCATENATE("PLEASE FILL IN A UNIT FOR ",$AS8),
INDIRECT(INDEX(ResultColumnFinder[First Value Address],MATCH(CONCATENATE("UnitName",$AR8),ResultColumnFinder[Concat2],0)),FALSE)),
IF(OFFSET(INDIRECT(INDEX(ResultColumnFinder[First Value Address],MATCH(CONCATENATE("UnitName",$AR8),ResultColumnFinder[Concat2],0)),FALSE),ROW()-4-($AR8-1)*NumSpecimens,0)="",
CONCATENATE("PLEASE SPECIFY A UNIT FOR ",$AS8," IN ROW ",ROW()-4-($AR8-1)*NumSpecimens),
OFFSET(INDIRECT(INDEX(ResultColumnFinder[First Value Address],MATCH(CONCATENATE("UnitName",$AR8),ResultColumnFinder[Concat2],0)),FALSE),ROW()-4-($AR8-1)*NumSpecimens,0))
))</f>
        <v>#N/A</v>
      </c>
      <c r="BI8" s="27" t="e">
        <f>IF(INDEX(ResultColumnFinder[First Value Address],MATCH(CONCATENATE("TaxonomicClassifierName",$AR8),ResultColumnFinder[Concat2],0))="NOT GIVEN",
"",
IF(LEFT(INDEX(ResultColumnFinder[First Value Address],MATCH(CONCATENATE("TaxonomicClassifierName",$AR8),ResultColumnFinder[Concat2],0)),14)="'Data Columns'",
IF(ISERROR(MATCH(INDIRECT(INDEX(ResultColumnFinder[First Value Address],MATCH(CONCATENATE("TaxonomicClassifierName",$AR8),ResultColumnFinder[Concat2],0)),FALSE),TaxonomicClassifiers[Taxonomic Classifier Name],0)),
"",
CONCATENATE("*VariableID",TEXT(MATCH(INDIRECT(INDEX(ResultColumnFinder[First Value Address],MATCH(CONCATENATE("TaxonomicClassifierName",$AR8),ResultColumnFinder[Concat2],0)),FALSE),TaxonomicClassifiers[Taxonomic Classifier Name],0),"00000"))),
IF(ISERROR(MATCH(OFFSET(INDIRECT(INDEX(ResultColumnFinder[First Value Address],MATCH(CONCATENATE("TaxonomicClassifierName",$AR8),ResultColumnFinder[Concat2],0)),FALSE),ROW()-4-($AR8-1)*NumSpecimens,0),TaxonomicClassifiers[Taxonomic Classifier Name],0)),
"",
CONCATENATE("*VariableID",TEXT(MATCH(OFFSET(INDIRECT(INDEX(ResultColumnFinder[First Value Address],MATCH(CONCATENATE("TaxonomicClassifierName",$AR8),ResultColumnFinder[Concat2],0)),FALSE),ROW()-4-($AR8-1)*NumSpecimens,0),TaxonomicClassifiers[Taxonomic Classifier Name],0),"00000")))))</f>
        <v>#N/A</v>
      </c>
      <c r="BJ8" s="27" t="e">
        <f>IF(INDEX(ResultColumnFinder[First Value Address],MATCH(CONCATENATE("ProcessingLevelCode",$AR8),ResultColumnFinder[Concat2],0))="NOT GIVEN",
"PLEASE NOTE: A PROCESSING LEVEL CODE MUST BE SPECIFIED FOR EACH RESULT",
IF(LEFT(INDEX(ResultColumnFinder[First Value Address],MATCH(CONCATENATE("ProcessingLevelCode",$AR8),ResultColumnFinder[Concat2],0)),14)="'Data Columns'",
IF(ISERROR(MATCH(INDIRECT(INDEX(ResultColumnFinder[First Value Address],MATCH(CONCATENATE("ProcessingLevelCode",$AR8),ResultColumnFinder[Concat2],0)),FALSE),ProcessingLevels[Processing Level Code],0)),
CONCATENATE("PLEASE FILL IN A VALID PROCESSING LEVEL CODE FOR ",$AS8),
CONCATENATE("*ProcessingLevelID",TEXT(MATCH(INDIRECT(INDEX(ResultColumnFinder[First Value Address],MATCH(CONCATENATE("ProcessingLevelCode",$AR8),ResultColumnFinder[Concat2],0)),FALSE),ProcessingLevels[Processing Level Code],0),"00000"))),
IF(ISERROR(MATCH(OFFSET(INDIRECT(INDEX(ResultColumnFinder[First Value Address],MATCH(CONCATENATE("ProcessingLevelCode",$AR8),ResultColumnFinder[Concat2],0)),FALSE),ROW()-4-($AR8-1)*NumSpecimens,0),ProcessingLevels[Processing Level Code],0)),
CONCATENATE("PLEASE SPECIFY A VALID PROCESSING LEVEL CODE FOR ",$AS8," IN ROW ",ROW()-4-($AR8-1)*NumSpecimens),
CONCATENATE("*ProcessingLevelID",TEXT(MATCH(OFFSET(INDIRECT(INDEX(ResultColumnFinder[First Value Address],MATCH(CONCATENATE("ProcessingLevelCode",$AR8),ResultColumnFinder[Concat2],0)),FALSE),ROW()-4-($AR8-1)*NumSpecimens,0),ProcessingLevels[Processing Level Code],0),"00000")))))</f>
        <v>#N/A</v>
      </c>
      <c r="BK8" s="27"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Address],MATCH("CollectionDateTime",SpecimenColumnFinder[DataType],0)),FALSE),ROW()-4-($AR8-1)*NumSpecimens,0)="",
CONCATENATE("PLEASE SPECIFY A SPECIMEN COLLECTION DATE/TIME IN ROW ",ROW()-4-($AR8-1)*NumSpecimens),
TEXT(OFFSET(INDIRECT(INDEX(SpecimenColumnFinder[First Value Address],MATCH("CollectionDateTime",SpecimenColumnFinder[DataType],0)),FALSE),ROW()-4-($AR8-1)*NumSpecimens,0),"yyyy-mm-dd hh:mm:ss")))</f>
        <v>PLEASE NOTE: THE SPECIMEN COLLECTION DATE/TIME MUST BE SPECIFIED</v>
      </c>
      <c r="BL8" s="27"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Address],MATCH("CollectionDateTimeUTCOffset",SpecimenColumnFinder[DataType],0)),FALSE),ROW()-4-($AR8-1)*NumSpecimens,0)="",
CONCATENATE("PLEASE SPECIFY A COLLECTION TIME UTC OFFSET IN ROW ",ROW()-4-($AR8-1)*NumSpecimens),
OFFSET(INDIRECT(INDEX(SpecimenColumnFinder[First Value Address],MATCH("CollectionDateTimeUTCOffset",SpecimenColumnFinder[DataType],0)),FALSE),ROW()-4-($AR8-1)*NumSpecimens,0)))</f>
        <v>#N/A</v>
      </c>
      <c r="BM8" s="27" t="e">
        <f>IF(INDEX(ResultColumnFinder[First Value Address],MATCH(CONCATENATE("SampledMediumCV",$AR8),ResultColumnFinder[Concat2],0))="NOT GIVEN",
"PLEASE NOTE: A SAMPLED MEDIUM MUST BE SPECIFIED FOR EACH RESULT",
IF(LEFT(INDEX(ResultColumnFinder[First Value Address],MATCH(CONCATENATE("SampledMediumCV",$AR8),ResultColumnFinder[Concat2],0)),14)="'Data Columns'",
IF(COUNTIF(SampledMediumCV,INDIRECT(INDEX(ResultColumnFinder[First Value Address],MATCH(CONCATENATE("SampledMediumCV",$AR8),ResultColumnFinder[Concat2],0)),FALSE))=0,
CONCATENATE("PLEASE FILL IN A VALID SAMPLED MEDIUM FOR ",$AS8),
INDIRECT(INDEX(ResultColumnFinder[First Value Address],MATCH(CONCATENATE("SampledMediumCV",$AR8),ResultColumnFinder[Concat2],0)),FALSE)),
IF(COUNTIF(SampledMediumCV,OFFSET(INDIRECT(INDEX(ResultColumnFinder[First Value Address],MATCH(CONCATENATE("SampledMediumCV",$AR8),ResultColumnFinder[Concat2],0)),FALSE),ROW()-4-($AR8-1)*NumSpecimens,0))=0,
CONCATENATE("PLEASE SPECIFY A VALID SAMPLED MEDIUM FOR ",$AS8," IN ROW ",ROW()-4-($AR8-1)*NumSpecimens),
OFFSET(INDIRECT(INDEX(ResultColumnFinder[First Value Address],MATCH(CONCATENATE("SampledMediumCV",$AR8),ResultColumnFinder[Concat2],0)),FALSE),ROW()-4-($AR8-1)*NumSpecimens,0))
))</f>
        <v>#N/A</v>
      </c>
      <c r="BN8" s="27" t="e">
        <f>IF(BF8&lt;&gt;"Measurement","",
IF(INDEX(ResultColumnFinder[First Value Address],MATCH(CONCATENATE("CensorCodeCV",$AR8),ResultColumnFinder[Concat2],0))="NOT GIVEN",
"PLEASE NOTE: A CENSOR CODE MUST BE SPECIFIED FOR EACH RESULT",
IF(LEFT(INDEX(ResultColumnFinder[First Value Address],MATCH(CONCATENATE("CensorCodeCV",$AR8),ResultColumnFinder[Concat2],0)),14)="'Data Columns'",
IF(COUNTIF(CensorCodeCV,INDIRECT(INDEX(ResultColumnFinder[First Value Address],MATCH(CONCATENATE("CensorCodeCV",$AR8),ResultColumnFinder[Concat2],0)),FALSE))=0,
CONCATENATE("PLEASE FILL IN A VALID CENSOR CODE FOR ",$AS8),
INDIRECT(INDEX(ResultColumnFinder[First Value Address],MATCH(CONCATENATE("CensorCodeCV",$AR8),ResultColumnFinder[Concat2],0)),FALSE)),
IF(COUNTIF(CensorCodeCV,OFFSET(INDIRECT(INDEX(ResultColumnFinder[First Value Address],MATCH(CONCATENATE("CensorCodeCV",$AR8),ResultColumnFinder[Concat2],0)),FALSE),ROW()-4-($AR8-1)*NumSpecimens,0))=0,
CONCATENATE("PLEASE SPECIFY A VALID CENSOR CODE FOR ",$AS8," IN ROW ",ROW()-4-($AR8-1)*NumSpecimens),
OFFSET(INDIRECT(INDEX(ResultColumnFinder[First Value Address],MATCH(CONCATENATE("CensorCodeCV",$AR8),ResultColumnFinder[Concat2],0)),FALSE),ROW()-4-($AR8-1)*NumSpecimens,0))
)))</f>
        <v>#N/A</v>
      </c>
      <c r="BO8" s="27" t="e">
        <f>IF(INDEX(ResultColumnFinder[First Value Address],MATCH(CONCATENATE("QualityCodeCV",$AR8),ResultColumnFinder[Concat2],0))="NOT GIVEN",
"PLEASE NOTE: A QUALITY CODE MUST BE SPECIFIED FOR EACH RESULT",
IF(LEFT(INDEX(ResultColumnFinder[First Value Address],MATCH(CONCATENATE("QualityCodeCV",$AR8),ResultColumnFinder[Concat2],0)),14)="'Data Columns'",
IF(COUNTIF(QualityCodeCV,INDIRECT(INDEX(ResultColumnFinder[First Value Address],MATCH(CONCATENATE("QualityCodeCV",$AR8),ResultColumnFinder[Concat2],0)),FALSE))=0,
CONCATENATE("PLEASE FILL IN A VALID QUALITY CODE FOR ",$AS8),
INDIRECT(INDEX(ResultColumnFinder[First Value Address],MATCH(CONCATENATE("QualityCodeCV",$AR8),ResultColumnFinder[Concat2],0)),FALSE)),
IF(COUNTIF(QualityCodeCV,OFFSET(INDIRECT(INDEX(ResultColumnFinder[First Value Address],MATCH(CONCATENATE("QualityCodeCV",$AR8),ResultColumnFinder[Concat2],0)),FALSE),ROW()-4-($AR8-1)*NumSpecimens,0))=0,
CONCATENATE("PLEASE SPECIFY A VALID QUALITY CODE FOR ",$AS8," IN ROW ",ROW()-4-($AR8-1)*NumSpecimens),
OFFSET(INDIRECT(INDEX(ResultColumnFinder[First Value Address],MATCH(CONCATENATE("QualityCodeCV",$AR8),ResultColumnFinder[Concat2],0)),FALSE),ROW()-4-($AR8-1)*NumSpecimens,0))
))</f>
        <v>#N/A</v>
      </c>
      <c r="BP8" s="27" t="e">
        <f>IF(BF8&lt;&gt;"Measurement","",
IF(INDEX(ResultColumnFinder[First Value Address],MATCH(CONCATENATE("AggregationStatisticCV",$AR8),ResultColumnFinder[Concat2],0))="NOT GIVEN",
"PLEASE NOTE: AN AGGREGATION STATISTIC MUST BE SPECIFIED FOR EACH MEASUREMENT RESULT",
IF(LEFT(INDEX(ResultColumnFinder[First Value Address],MATCH(CONCATENATE("AggregationStatisticCV",$AR8),ResultColumnFinder[Concat2],0)),14)="'Data Columns'",
IF(COUNTIF(AggregationStatisticCV,INDIRECT(INDEX(ResultColumnFinder[First Value Address],MATCH(CONCATENATE("AggregationStatisticCV",$AR8),ResultColumnFinder[Concat2],0)),FALSE))=0,
CONCATENATE("PLEASE FILL IN A VALID AGGREGATION STATISTIC FOR ",$AS8),
INDIRECT(INDEX(ResultColumnFinder[First Value Address],MATCH(CONCATENATE("AggregationStatisticCV",$AR8),ResultColumnFinder[Concat2],0)),FALSE)),
IF(COUNTIF(AggregationStatisticCV,OFFSET(INDIRECT(INDEX(ResultColumnFinder[First Value Address],MATCH(CONCATENATE("AggregationStatisticCV",$AR8),ResultColumnFinder[Concat2],0)),FALSE),ROW()-4-($AR8-1)*NumSpecimens,0))=0,
CONCATENATE("PLEASE SPECIFY A VALID AGGREGATION STATISTIC FOR ",$AS8," IN ROW ",ROW()-4-($AR8-1)*NumSpecimens),
OFFSET(INDIRECT(INDEX(ResultColumnFinder[First Value Address],MATCH(CONCATENATE("AggregationStatisticCV",$AR8),ResultColumnFinder[Concat2],0)),FALSE),ROW()-4-($AR8-1)*NumSpecimens,0))
)))</f>
        <v>#N/A</v>
      </c>
      <c r="BQ8" s="27" t="e">
        <f>IF(BF8&lt;&gt;"Measurement","",
IF(INDEX(ResultColumnFinder[First Value Address],MATCH(CONCATENATE("TimeAggregationInterval",$AR8),ResultColumnFinder[Concat2],0))="NOT GIVEN",
"PLEASE NOTE: A TIME AGGREGATION INTERVAL MUST BE SPECIFIED FOR EACH RESULT",
IF(LEFT(INDEX(ResultColumnFinder[First Value Address],MATCH(CONCATENATE("TimeAggregationInterval",$AR8),ResultColumnFinder[Concat2],0)),14)="'Data Columns'",
IF(INDIRECT(INDEX(ResultColumnFinder[First Value Address],MATCH(CONCATENATE("TimeAggregationInterval",$AR8),ResultColumnFinder[Concat2],0)),FALSE)="",
CONCATENATE("PLEASE FILL IN A TIME AGGREGATION INTERVAL FOR ",$AS8),
INDIRECT(INDEX(ResultColumnFinder[First Value Address],MATCH(CONCATENATE("TimeAggregationInterval",$AR8),ResultColumnFinder[Concat2],0)),FALSE)),
IF(OFFSET(INDIRECT(INDEX(ResultColumnFinder[First Value Address],MATCH(CONCATENATE("TimeAggregationInterval",$AR8),ResultColumnFinder[Concat2],0)),FALSE),ROW()-4-($AR8-1)*NumSpecimens,0)="",
CONCATENATE("PLEASE SPECIFY A TIME AGGREGATION INTERVAL FOR ",$AS8," IN ROW ",ROW()-4-($AR8-1)*NumSpecimens),
OFFSET(INDIRECT(INDEX(ResultColumnFinder[First Value Address],MATCH(CONCATENATE("TimeAggregationInterval",$AR8),ResultColumnFinder[Concat2],0)),FALSE),ROW()-4-($AR8-1)*NumSpecimens,0))
)))</f>
        <v>#N/A</v>
      </c>
      <c r="BR8" s="27" t="e">
        <f>IF(BF8&lt;&gt;"Measurement","",
IF(INDEX(ResultColumnFinder[First Value Address],MATCH(CONCATENATE("TimeAggregationIntervalUnitCode",$AR8),ResultColumnFinder[Concat2],0))="NOT GIVEN",
"PLEASE NOTE: A TIME AGGREGATION UNIT MUST BE SPECIFIED FOR EACH RESULT",
IF(LEFT(INDEX(ResultColumnFinder[First Value Address],MATCH(CONCATENATE("TimeAggregationIntervalUnitCode",$AR8),ResultColumnFinder[Concat2],0)),14)="'Data Columns'",
IF(INDIRECT(INDEX(ResultColumnFinder[First Value Address],MATCH(CONCATENATE("TimeAggregationIntervalUnitCode",$AR8),ResultColumnFinder[Concat2],0)),FALSE)="",
CONCATENATE("PLEASE FILL IN A TIME AGGREGATION UNIT FOR ",$AS8),
INDIRECT(INDEX(ResultColumnFinder[First Value Address],MATCH(CONCATENATE("TimeAggregationIntervalUnitCode",$AR8),ResultColumnFinder[Concat2],0)),FALSE)),
IF(OFFSET(INDIRECT(INDEX(ResultColumnFinder[First Value Address],MATCH(CONCATENATE("TimeAggregationIntervalUnitCode",$AR8),ResultColumnFinder[Concat2],0)),FALSE),ROW()-4-($AR8-1)*NumSpecimens,0)="",
CONCATENATE("PLEASE SPECIFY A TIME AGGREGATION UNIT FOR ",$AS8," IN ROW ",ROW()-4-($AR8-1)*NumSpecimens),
OFFSET(INDIRECT(INDEX(ResultColumnFinder[First Value Address],MATCH(CONCATENATE("TimeAggregationIntervalUnitCode",$AR8),ResultColumnFinder[Concat2],0)),FALSE),ROW()-4-($AR8-1)*NumSpecimens,0))
)))</f>
        <v>#N/A</v>
      </c>
      <c r="BS8" s="27" t="str">
        <f>IF(NumDataColumns=0,"PLEASE SELECT AT LEAST 1 COLUMN OF RESULT VALUES",
IF(AT8="","",
CONCATENATE("  - &amp;ResultID",TEXT(ROW()-3,"00000"),
" {","ResultUUID:  ",CHAR(34),BE8,CHAR(34),
", FeatureActionObj: *FeatureActionID",TEXT(ROW()-3,"00000"),
", ResultTypeCV:  ",CHAR(34),BF8,CHAR(34),
", VariableObj:  ",BG8,
", UnitsObj:  ",BH8,
", TaxonomicClassifierObj:  ",BI8,
", ProcessingLevelObj:  ",BJ8,
", ResultDateTime:  ",BK8,
", ResultDateTimeUTCOffset:  ",BL8,
", ValidDateTime:  ","",
", ValidDateTimeUTCOffset:  ","",
", StatusCV:  ","",
", SampledMediumCV:  ",CHAR(34),BM8,CHAR(34),
", ValueCount:  ",1,"}")))</f>
        <v>PLEASE SELECT AT LEAST 1 COLUMN OF RESULT VALUES</v>
      </c>
      <c r="BT8" s="27" t="str">
        <f>IF(ROW()-3&gt;NumDataColumns*NumSpecimens,"",
IF(AT8="","",
CONCATENATE("  - {DatasetObj: *DatasetID00001, ",
"ResultObj: *ResultID",TEXT(ROW()-3,"00000"),
"}")))</f>
        <v/>
      </c>
      <c r="BU8" s="27" t="e">
        <f>IF(BF8&lt;&gt;"Measurement","",
IF(AT8="","",
CONCATENATE("  - &amp;MeasurementResultID",TEXT(ROW()-3,"00000"),
" {","ResultObj: *ResultID",TEXT(ROW()-3,"00000"),
", XLocation:  NULL",
", XLocationUnitsObj:  ","",
", YLocation:  NULL",
", YLocationUnitsObj:  ","",
", ZLocation:  NULL",
", ZLocationUnitsObj:  ","",
", SpatialReferenceObj:  ","",
", CensorCodeCV: ",CHAR(34),BN8,CHAR(34),
", QualityCodeCV:  ",CHAR(34),BO8,CHAR(34),
", AggregationStatisticCV:  ",CHAR(34),BP8,CHAR(34),
", TimeAggregationInterval:  ",CHAR(34),BQ8,CHAR(34),
", TimeAggregationUnitsObj:  ",CHAR(34),BR8,CHAR(34),
"}")))</f>
        <v>#N/A</v>
      </c>
      <c r="BV8" s="27" t="e">
        <f>IF(BF8&lt;&gt;"Measurement","",
IF(AT8="","",
CONCATENATE("  - &amp;MeasurementResultValueID",TEXT(ROW()-3,"00000"),
" {","MeasurementResultObj: *MeasurementResultID",TEXT(ROW()-3,"00000"),
", DataValue: ",AT8,
", ValueDateTime:  ",CHAR(34),BK8,CHAR(34),
", ValueDateTimeUTCOffset:  ",BL8,
"}")))</f>
        <v>#N/A</v>
      </c>
      <c r="BW8" s="27" t="e">
        <f>IF(BF8="Measurement","",
IF(AT8="","",
CONCATENATE("  - &amp;CategoricalResultID",TEXT(ROW()-3,"00000"),
" {","ResultObj: *ResultID",TEXT(ROW()-3,"00000"),
", XLocation:  NULL",
", XLocationUnitsObj:  ","",
", YLocation:  NULL",
", YLocationUnitsObj:  ","",
", ZLocation:  NULL",
", ZLocationUnitsObj:  ","",
", SpatialReferenceObj:  ","",
", QualityCodeCV:  ",CHAR(34),BO8,CHAR(34),
"}")))</f>
        <v>#N/A</v>
      </c>
      <c r="BX8" s="27" t="e">
        <f>IF(BF8="Measurement","",
IF(AT8="","",
CONCATENATE("  - &amp;CategoricalResultValueID",TEXT(ROW()-3,"00000"),
" {","MeasurementResultObj: *CategoricalResultID",TEXT(ROW()-3,"00000"),
", DataValue: ",AT8,
", ValueDateTime:  ",CHAR(34),BK8,CHAR(34),
", ValueDateTimeUTCOffset:  ",BL8,
"}")))</f>
        <v>#N/A</v>
      </c>
    </row>
  </sheetData>
  <pageMargins left="0.7" right="0.7" top="0.75" bottom="0.75" header="0.3" footer="0.3"/>
  <pageSetup orientation="portrait" verticalDpi="0"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topLeftCell="A28" workbookViewId="0">
      <selection activeCell="D2" sqref="D2:D97"/>
    </sheetView>
  </sheetViews>
  <sheetFormatPr defaultRowHeight="15" x14ac:dyDescent="0.25"/>
  <cols>
    <col min="1" max="1" width="13.5703125" style="27" bestFit="1" customWidth="1"/>
    <col min="2" max="2" width="34.7109375" style="27" bestFit="1" customWidth="1"/>
    <col min="3" max="3" width="12.140625" style="27" bestFit="1" customWidth="1"/>
    <col min="4" max="16384" width="9.140625" style="27"/>
  </cols>
  <sheetData>
    <row r="1" spans="1:4" x14ac:dyDescent="0.25">
      <c r="A1" s="27" t="s">
        <v>1082</v>
      </c>
      <c r="B1" s="27" t="s">
        <v>1191</v>
      </c>
      <c r="C1" s="27" t="s">
        <v>1083</v>
      </c>
      <c r="D1" s="27" t="s">
        <v>1081</v>
      </c>
    </row>
    <row r="2" spans="1:4" x14ac:dyDescent="0.25">
      <c r="A2" s="27">
        <v>1</v>
      </c>
      <c r="B2" s="27" t="str">
        <f>OFFSET('YODA Header Blocks'!$A$1,0,A2)</f>
        <v>YAML Header</v>
      </c>
      <c r="C2" s="27">
        <v>1</v>
      </c>
      <c r="D2" s="27" t="str">
        <f>OFFSET('YODA Header Blocks'!$A$2,C2,A2)</f>
        <v>---</v>
      </c>
    </row>
    <row r="3" spans="1:4" x14ac:dyDescent="0.25">
      <c r="A3" s="27">
        <f>IF(C2=INDIRECT(CONCATENATE("'YODA Header Blocks'!R2C",A2+1,":R2C",A2+1),FALSE),A2+1,A2)</f>
        <v>1</v>
      </c>
      <c r="B3" s="27" t="str">
        <f>OFFSET('YODA Header Blocks'!$A$1,0,A3)</f>
        <v>YAML Header</v>
      </c>
      <c r="C3" s="27">
        <f>IF(C2=SUM(INDIRECT(CONCATENATE("'YODA Header Blocks'!R2C",A2+1,":R2C",A2+1),FALSE)),1,C2+1)</f>
        <v>2</v>
      </c>
      <c r="D3" s="27" t="str">
        <f>OFFSET('YODA Header Blocks'!$A$2,C3,A3)</f>
        <v>YODA:</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
  <sheetViews>
    <sheetView workbookViewId="0"/>
  </sheetViews>
  <sheetFormatPr defaultRowHeight="15" x14ac:dyDescent="0.25"/>
  <sheetData>
    <row r="1" spans="1:1" x14ac:dyDescent="0.25">
      <c r="A1" t="s">
        <v>134</v>
      </c>
    </row>
    <row r="2" spans="1:1" x14ac:dyDescent="0.25">
      <c r="A2" t="s">
        <v>1302</v>
      </c>
    </row>
    <row r="3" spans="1:1" x14ac:dyDescent="0.25">
      <c r="A3" t="s">
        <v>1485</v>
      </c>
    </row>
    <row r="4" spans="1:1" x14ac:dyDescent="0.25">
      <c r="A4" t="s">
        <v>1209</v>
      </c>
    </row>
    <row r="5" spans="1:1" x14ac:dyDescent="0.25">
      <c r="A5" t="s">
        <v>1496</v>
      </c>
    </row>
    <row r="6" spans="1:1" x14ac:dyDescent="0.25">
      <c r="A6" t="s">
        <v>177</v>
      </c>
    </row>
    <row r="7" spans="1:1" x14ac:dyDescent="0.25">
      <c r="A7" t="s">
        <v>1487</v>
      </c>
    </row>
    <row r="8" spans="1:1" x14ac:dyDescent="0.25">
      <c r="A8" t="s">
        <v>175</v>
      </c>
    </row>
    <row r="9" spans="1:1" x14ac:dyDescent="0.25">
      <c r="A9" t="s">
        <v>1488</v>
      </c>
    </row>
    <row r="10" spans="1:1" x14ac:dyDescent="0.25">
      <c r="A10" t="s">
        <v>178</v>
      </c>
    </row>
    <row r="11" spans="1:1" x14ac:dyDescent="0.25">
      <c r="A11" t="s">
        <v>213</v>
      </c>
    </row>
    <row r="12" spans="1:1" x14ac:dyDescent="0.25">
      <c r="A12" t="s">
        <v>1489</v>
      </c>
    </row>
    <row r="13" spans="1:1" x14ac:dyDescent="0.25">
      <c r="A13" t="s">
        <v>214</v>
      </c>
    </row>
    <row r="14" spans="1:1" x14ac:dyDescent="0.25">
      <c r="A14" t="s">
        <v>1497</v>
      </c>
    </row>
    <row r="15" spans="1:1" x14ac:dyDescent="0.25">
      <c r="A15" t="s">
        <v>1407</v>
      </c>
    </row>
    <row r="16" spans="1:1" x14ac:dyDescent="0.25">
      <c r="A16" t="e">
        <v>#N/A</v>
      </c>
    </row>
    <row r="17" spans="1:1" x14ac:dyDescent="0.25">
      <c r="A17" t="e">
        <v>#N/A</v>
      </c>
    </row>
    <row r="18" spans="1:1" x14ac:dyDescent="0.25">
      <c r="A18" t="e">
        <v>#N/A</v>
      </c>
    </row>
    <row r="19" spans="1:1" x14ac:dyDescent="0.25">
      <c r="A19" t="s">
        <v>273</v>
      </c>
    </row>
    <row r="20" spans="1:1" x14ac:dyDescent="0.25">
      <c r="A20" t="s">
        <v>1490</v>
      </c>
    </row>
    <row r="21" spans="1:1" x14ac:dyDescent="0.25">
      <c r="A21" t="s">
        <v>1079</v>
      </c>
    </row>
    <row r="22" spans="1:1" x14ac:dyDescent="0.25">
      <c r="A22" t="s">
        <v>1491</v>
      </c>
    </row>
    <row r="23" spans="1:1" x14ac:dyDescent="0.25">
      <c r="A23" t="s">
        <v>1427</v>
      </c>
    </row>
    <row r="24" spans="1:1" x14ac:dyDescent="0.25">
      <c r="A24" t="s">
        <v>1492</v>
      </c>
    </row>
    <row r="25" spans="1:1" x14ac:dyDescent="0.25">
      <c r="A25" t="s">
        <v>1181</v>
      </c>
    </row>
    <row r="26" spans="1:1" x14ac:dyDescent="0.25">
      <c r="A26" t="e">
        <v>#N/A</v>
      </c>
    </row>
    <row r="27" spans="1:1" x14ac:dyDescent="0.25">
      <c r="A27" t="s">
        <v>1183</v>
      </c>
    </row>
    <row r="28" spans="1:1" x14ac:dyDescent="0.25">
      <c r="A28" t="s">
        <v>1493</v>
      </c>
    </row>
    <row r="29" spans="1:1" x14ac:dyDescent="0.25">
      <c r="A29" t="s">
        <v>1301</v>
      </c>
    </row>
    <row r="30" spans="1:1" x14ac:dyDescent="0.25">
      <c r="A30" t="e">
        <v>#N/A</v>
      </c>
    </row>
    <row r="31" spans="1:1" x14ac:dyDescent="0.25">
      <c r="A31" t="s">
        <v>1185</v>
      </c>
    </row>
    <row r="32" spans="1:1" x14ac:dyDescent="0.25">
      <c r="A32" t="s">
        <v>1494</v>
      </c>
    </row>
    <row r="33" spans="1:1" x14ac:dyDescent="0.25">
      <c r="A33" t="s">
        <v>1481</v>
      </c>
    </row>
    <row r="34" spans="1:1" x14ac:dyDescent="0.25">
      <c r="A34" t="s">
        <v>1495</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W793"/>
  <sheetViews>
    <sheetView workbookViewId="0">
      <selection activeCell="D30" sqref="D30"/>
    </sheetView>
  </sheetViews>
  <sheetFormatPr defaultColWidth="8.85546875" defaultRowHeight="15" x14ac:dyDescent="0.25"/>
  <cols>
    <col min="1" max="1" width="10.5703125" bestFit="1" customWidth="1"/>
    <col min="2" max="2" width="16.140625" bestFit="1" customWidth="1"/>
    <col min="3" max="3" width="33"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2" width="23.42578125" bestFit="1" customWidth="1"/>
    <col min="23" max="23" width="28.28515625" bestFit="1" customWidth="1"/>
  </cols>
  <sheetData>
    <row r="1" spans="1:23" x14ac:dyDescent="0.25">
      <c r="A1" s="1" t="s">
        <v>188</v>
      </c>
      <c r="B1" s="1" t="s">
        <v>200</v>
      </c>
      <c r="C1" s="1" t="s">
        <v>1303</v>
      </c>
      <c r="D1" s="1" t="s">
        <v>193</v>
      </c>
      <c r="E1" s="1" t="s">
        <v>1484</v>
      </c>
      <c r="F1" s="1" t="s">
        <v>199</v>
      </c>
      <c r="G1" s="1" t="s">
        <v>194</v>
      </c>
      <c r="H1" s="1" t="s">
        <v>195</v>
      </c>
      <c r="I1" s="1" t="s">
        <v>196</v>
      </c>
      <c r="J1" s="1" t="s">
        <v>197</v>
      </c>
      <c r="K1" s="1" t="s">
        <v>198</v>
      </c>
      <c r="L1" s="1" t="s">
        <v>201</v>
      </c>
      <c r="M1" s="1" t="s">
        <v>234</v>
      </c>
      <c r="N1" s="1" t="s">
        <v>245</v>
      </c>
      <c r="O1" s="1" t="s">
        <v>286</v>
      </c>
      <c r="P1" s="1" t="s">
        <v>288</v>
      </c>
      <c r="Q1" s="3" t="s">
        <v>1138</v>
      </c>
      <c r="R1" s="1" t="s">
        <v>1143</v>
      </c>
      <c r="S1" s="1" t="s">
        <v>1144</v>
      </c>
      <c r="T1" s="1" t="s">
        <v>1154</v>
      </c>
      <c r="U1" s="1" t="s">
        <v>1169</v>
      </c>
      <c r="V1" s="1" t="s">
        <v>1182</v>
      </c>
      <c r="W1" s="1" t="s">
        <v>1316</v>
      </c>
    </row>
    <row r="2" spans="1:23" x14ac:dyDescent="0.25">
      <c r="A2" t="b">
        <v>0</v>
      </c>
      <c r="B2" s="2" t="s">
        <v>174</v>
      </c>
      <c r="C2" s="2" t="s">
        <v>1154</v>
      </c>
      <c r="D2" t="s">
        <v>14</v>
      </c>
      <c r="E2" t="s">
        <v>1085</v>
      </c>
      <c r="F2" t="s">
        <v>29</v>
      </c>
      <c r="G2" t="s">
        <v>47</v>
      </c>
      <c r="H2" t="s">
        <v>55</v>
      </c>
      <c r="I2" t="s">
        <v>104</v>
      </c>
      <c r="J2" t="s">
        <v>131</v>
      </c>
      <c r="K2" t="s">
        <v>181</v>
      </c>
      <c r="L2" t="s">
        <v>202</v>
      </c>
      <c r="M2" t="s">
        <v>1115</v>
      </c>
      <c r="N2" t="s">
        <v>267</v>
      </c>
      <c r="O2" t="s">
        <v>1122</v>
      </c>
      <c r="P2" t="s">
        <v>289</v>
      </c>
      <c r="Q2" t="s">
        <v>1139</v>
      </c>
      <c r="R2" t="s">
        <v>1145</v>
      </c>
      <c r="S2" t="s">
        <v>1150</v>
      </c>
      <c r="T2" t="s">
        <v>1155</v>
      </c>
      <c r="U2" t="s">
        <v>1170</v>
      </c>
      <c r="V2" t="s">
        <v>250</v>
      </c>
      <c r="W2" t="s">
        <v>1317</v>
      </c>
    </row>
    <row r="3" spans="1:23" x14ac:dyDescent="0.25">
      <c r="A3" t="b">
        <v>1</v>
      </c>
      <c r="C3" s="5" t="s">
        <v>1362</v>
      </c>
      <c r="D3" t="s">
        <v>152</v>
      </c>
      <c r="E3" t="s">
        <v>1087</v>
      </c>
      <c r="F3" t="s">
        <v>39</v>
      </c>
      <c r="G3" t="s">
        <v>48</v>
      </c>
      <c r="H3" t="s">
        <v>56</v>
      </c>
      <c r="I3" t="s">
        <v>1089</v>
      </c>
      <c r="J3" t="s">
        <v>132</v>
      </c>
      <c r="K3" t="s">
        <v>182</v>
      </c>
      <c r="L3" t="s">
        <v>203</v>
      </c>
      <c r="M3" t="s">
        <v>1116</v>
      </c>
      <c r="N3" t="s">
        <v>268</v>
      </c>
      <c r="O3" t="s">
        <v>1123</v>
      </c>
      <c r="P3" t="s">
        <v>290</v>
      </c>
      <c r="Q3" s="5" t="s">
        <v>1140</v>
      </c>
      <c r="R3" t="s">
        <v>1146</v>
      </c>
      <c r="S3" t="s">
        <v>1151</v>
      </c>
      <c r="T3" t="s">
        <v>1156</v>
      </c>
      <c r="U3" t="s">
        <v>1171</v>
      </c>
      <c r="V3" t="s">
        <v>251</v>
      </c>
      <c r="W3" t="s">
        <v>1318</v>
      </c>
    </row>
    <row r="4" spans="1:23" x14ac:dyDescent="0.25">
      <c r="C4" s="5" t="s">
        <v>1363</v>
      </c>
      <c r="D4" t="s">
        <v>154</v>
      </c>
      <c r="E4" t="s">
        <v>113</v>
      </c>
      <c r="F4" t="s">
        <v>1088</v>
      </c>
      <c r="G4" t="s">
        <v>49</v>
      </c>
      <c r="H4" t="s">
        <v>57</v>
      </c>
      <c r="I4" t="s">
        <v>1090</v>
      </c>
      <c r="J4" t="s">
        <v>133</v>
      </c>
      <c r="K4" t="s">
        <v>1094</v>
      </c>
      <c r="L4" t="s">
        <v>204</v>
      </c>
      <c r="M4" t="s">
        <v>34</v>
      </c>
      <c r="O4" t="s">
        <v>1124</v>
      </c>
      <c r="P4" t="s">
        <v>291</v>
      </c>
      <c r="Q4" s="5" t="s">
        <v>1141</v>
      </c>
      <c r="R4" t="s">
        <v>1147</v>
      </c>
      <c r="S4" t="s">
        <v>1152</v>
      </c>
      <c r="T4" t="s">
        <v>1157</v>
      </c>
      <c r="U4" t="s">
        <v>1172</v>
      </c>
      <c r="V4" t="s">
        <v>252</v>
      </c>
      <c r="W4" t="s">
        <v>207</v>
      </c>
    </row>
    <row r="5" spans="1:23" x14ac:dyDescent="0.25">
      <c r="C5" s="5" t="s">
        <v>1143</v>
      </c>
      <c r="D5" t="s">
        <v>155</v>
      </c>
      <c r="E5" t="s">
        <v>1084</v>
      </c>
      <c r="F5" t="s">
        <v>34</v>
      </c>
      <c r="G5" t="s">
        <v>50</v>
      </c>
      <c r="H5" t="s">
        <v>58</v>
      </c>
      <c r="I5" t="s">
        <v>1091</v>
      </c>
      <c r="J5" t="s">
        <v>14</v>
      </c>
      <c r="K5" t="s">
        <v>186</v>
      </c>
      <c r="L5" t="s">
        <v>205</v>
      </c>
      <c r="M5" t="s">
        <v>1117</v>
      </c>
      <c r="O5" t="s">
        <v>1125</v>
      </c>
      <c r="P5" t="s">
        <v>292</v>
      </c>
      <c r="Q5" s="5" t="s">
        <v>1142</v>
      </c>
      <c r="R5" t="s">
        <v>1148</v>
      </c>
      <c r="S5" t="s">
        <v>1153</v>
      </c>
      <c r="T5" t="s">
        <v>1158</v>
      </c>
      <c r="V5" t="s">
        <v>253</v>
      </c>
      <c r="W5" t="s">
        <v>1319</v>
      </c>
    </row>
    <row r="6" spans="1:23" x14ac:dyDescent="0.25">
      <c r="C6" s="5" t="s">
        <v>1360</v>
      </c>
      <c r="D6" t="s">
        <v>156</v>
      </c>
      <c r="E6" t="s">
        <v>1086</v>
      </c>
      <c r="F6" t="s">
        <v>43</v>
      </c>
      <c r="G6" t="s">
        <v>51</v>
      </c>
      <c r="H6" t="s">
        <v>59</v>
      </c>
      <c r="I6" t="s">
        <v>1092</v>
      </c>
      <c r="K6" t="s">
        <v>1095</v>
      </c>
      <c r="L6" t="s">
        <v>47</v>
      </c>
      <c r="M6" t="s">
        <v>1118</v>
      </c>
      <c r="O6" t="s">
        <v>1126</v>
      </c>
      <c r="P6" t="s">
        <v>293</v>
      </c>
      <c r="R6" t="s">
        <v>1149</v>
      </c>
      <c r="S6" t="s">
        <v>14</v>
      </c>
      <c r="T6" t="s">
        <v>1159</v>
      </c>
      <c r="V6" t="s">
        <v>254</v>
      </c>
      <c r="W6" t="s">
        <v>1320</v>
      </c>
    </row>
    <row r="7" spans="1:23" x14ac:dyDescent="0.25">
      <c r="C7" s="5" t="s">
        <v>1361</v>
      </c>
      <c r="D7" t="s">
        <v>157</v>
      </c>
      <c r="F7" t="s">
        <v>42</v>
      </c>
      <c r="G7" t="s">
        <v>52</v>
      </c>
      <c r="H7" t="s">
        <v>60</v>
      </c>
      <c r="I7" t="s">
        <v>105</v>
      </c>
      <c r="K7" t="s">
        <v>1096</v>
      </c>
      <c r="L7" t="s">
        <v>113</v>
      </c>
      <c r="M7" t="s">
        <v>235</v>
      </c>
      <c r="O7" t="s">
        <v>1127</v>
      </c>
      <c r="P7" t="s">
        <v>294</v>
      </c>
      <c r="T7" t="s">
        <v>1160</v>
      </c>
      <c r="V7" t="s">
        <v>255</v>
      </c>
      <c r="W7" t="s">
        <v>1321</v>
      </c>
    </row>
    <row r="8" spans="1:23" x14ac:dyDescent="0.25">
      <c r="C8" s="5" t="s">
        <v>1453</v>
      </c>
      <c r="D8" t="s">
        <v>158</v>
      </c>
      <c r="F8" t="s">
        <v>30</v>
      </c>
      <c r="G8" t="s">
        <v>53</v>
      </c>
      <c r="H8" t="s">
        <v>61</v>
      </c>
      <c r="I8" t="s">
        <v>106</v>
      </c>
      <c r="K8" t="s">
        <v>1097</v>
      </c>
      <c r="L8" t="s">
        <v>206</v>
      </c>
      <c r="M8" t="s">
        <v>236</v>
      </c>
      <c r="O8" t="s">
        <v>1128</v>
      </c>
      <c r="P8" t="s">
        <v>295</v>
      </c>
      <c r="T8" t="s">
        <v>1161</v>
      </c>
      <c r="V8" t="s">
        <v>256</v>
      </c>
      <c r="W8" t="s">
        <v>1322</v>
      </c>
    </row>
    <row r="9" spans="1:23" x14ac:dyDescent="0.25">
      <c r="C9" s="5" t="s">
        <v>1357</v>
      </c>
      <c r="D9" t="s">
        <v>153</v>
      </c>
      <c r="F9" t="s">
        <v>31</v>
      </c>
      <c r="G9" t="s">
        <v>54</v>
      </c>
      <c r="H9" t="s">
        <v>62</v>
      </c>
      <c r="I9" t="s">
        <v>107</v>
      </c>
      <c r="K9" t="s">
        <v>1098</v>
      </c>
      <c r="L9" t="s">
        <v>207</v>
      </c>
      <c r="M9" t="s">
        <v>1119</v>
      </c>
      <c r="O9" t="s">
        <v>1129</v>
      </c>
      <c r="P9" t="s">
        <v>296</v>
      </c>
      <c r="T9" t="s">
        <v>1162</v>
      </c>
      <c r="V9" t="s">
        <v>257</v>
      </c>
      <c r="W9" t="s">
        <v>8</v>
      </c>
    </row>
    <row r="10" spans="1:23" x14ac:dyDescent="0.25">
      <c r="C10" s="5" t="s">
        <v>1445</v>
      </c>
      <c r="D10" t="s">
        <v>159</v>
      </c>
      <c r="F10" t="s">
        <v>32</v>
      </c>
      <c r="H10" t="s">
        <v>63</v>
      </c>
      <c r="I10" t="s">
        <v>108</v>
      </c>
      <c r="K10" t="s">
        <v>1099</v>
      </c>
      <c r="L10" t="s">
        <v>208</v>
      </c>
      <c r="M10" t="s">
        <v>1120</v>
      </c>
      <c r="O10" t="s">
        <v>1130</v>
      </c>
      <c r="P10" t="s">
        <v>297</v>
      </c>
      <c r="T10" t="s">
        <v>1163</v>
      </c>
      <c r="V10" t="s">
        <v>258</v>
      </c>
      <c r="W10" t="s">
        <v>9</v>
      </c>
    </row>
    <row r="11" spans="1:23" x14ac:dyDescent="0.25">
      <c r="C11" s="5" t="s">
        <v>1387</v>
      </c>
      <c r="D11" t="s">
        <v>160</v>
      </c>
      <c r="F11" t="s">
        <v>33</v>
      </c>
      <c r="H11" t="s">
        <v>64</v>
      </c>
      <c r="I11" t="s">
        <v>109</v>
      </c>
      <c r="K11" t="s">
        <v>1100</v>
      </c>
      <c r="L11" t="s">
        <v>13</v>
      </c>
      <c r="M11" t="s">
        <v>237</v>
      </c>
      <c r="O11" t="s">
        <v>1131</v>
      </c>
      <c r="P11" t="s">
        <v>298</v>
      </c>
      <c r="T11" t="s">
        <v>1164</v>
      </c>
      <c r="V11" t="s">
        <v>259</v>
      </c>
      <c r="W11" t="s">
        <v>10</v>
      </c>
    </row>
    <row r="12" spans="1:23" x14ac:dyDescent="0.25">
      <c r="C12" s="5" t="s">
        <v>1454</v>
      </c>
      <c r="D12" t="s">
        <v>161</v>
      </c>
      <c r="F12" t="s">
        <v>38</v>
      </c>
      <c r="H12" t="s">
        <v>65</v>
      </c>
      <c r="I12" t="s">
        <v>110</v>
      </c>
      <c r="K12" t="s">
        <v>1101</v>
      </c>
      <c r="L12" t="s">
        <v>209</v>
      </c>
      <c r="M12" t="s">
        <v>1121</v>
      </c>
      <c r="O12" t="s">
        <v>1132</v>
      </c>
      <c r="P12" t="s">
        <v>299</v>
      </c>
      <c r="T12" t="s">
        <v>1165</v>
      </c>
      <c r="V12" t="s">
        <v>260</v>
      </c>
      <c r="W12" t="s">
        <v>11</v>
      </c>
    </row>
    <row r="13" spans="1:23" x14ac:dyDescent="0.25">
      <c r="C13" s="5" t="s">
        <v>1408</v>
      </c>
      <c r="D13" t="s">
        <v>162</v>
      </c>
      <c r="F13" t="s">
        <v>41</v>
      </c>
      <c r="H13" t="s">
        <v>66</v>
      </c>
      <c r="I13" t="s">
        <v>111</v>
      </c>
      <c r="K13" t="s">
        <v>1102</v>
      </c>
      <c r="L13" t="s">
        <v>210</v>
      </c>
      <c r="O13" t="s">
        <v>1133</v>
      </c>
      <c r="P13" t="s">
        <v>300</v>
      </c>
      <c r="T13" t="s">
        <v>1166</v>
      </c>
      <c r="V13" t="s">
        <v>261</v>
      </c>
      <c r="W13" t="s">
        <v>12</v>
      </c>
    </row>
    <row r="14" spans="1:23" x14ac:dyDescent="0.25">
      <c r="C14" s="5" t="s">
        <v>1306</v>
      </c>
      <c r="D14" t="s">
        <v>163</v>
      </c>
      <c r="F14" t="s">
        <v>35</v>
      </c>
      <c r="H14" t="s">
        <v>67</v>
      </c>
      <c r="I14" t="s">
        <v>112</v>
      </c>
      <c r="K14" t="s">
        <v>1103</v>
      </c>
      <c r="L14" t="s">
        <v>211</v>
      </c>
      <c r="O14" t="s">
        <v>1134</v>
      </c>
      <c r="P14" t="s">
        <v>301</v>
      </c>
      <c r="T14" t="s">
        <v>1167</v>
      </c>
      <c r="V14" t="s">
        <v>262</v>
      </c>
      <c r="W14" t="s">
        <v>13</v>
      </c>
    </row>
    <row r="15" spans="1:23" x14ac:dyDescent="0.25">
      <c r="C15" s="5" t="s">
        <v>1144</v>
      </c>
      <c r="D15" t="s">
        <v>164</v>
      </c>
      <c r="F15" t="s">
        <v>27</v>
      </c>
      <c r="H15" t="s">
        <v>68</v>
      </c>
      <c r="I15" t="s">
        <v>113</v>
      </c>
      <c r="K15" t="s">
        <v>1104</v>
      </c>
      <c r="L15" t="s">
        <v>212</v>
      </c>
      <c r="O15" t="s">
        <v>1135</v>
      </c>
      <c r="P15" t="s">
        <v>302</v>
      </c>
      <c r="T15" t="s">
        <v>14</v>
      </c>
      <c r="V15" t="s">
        <v>263</v>
      </c>
      <c r="W15" t="s">
        <v>287</v>
      </c>
    </row>
    <row r="16" spans="1:23" x14ac:dyDescent="0.25">
      <c r="C16" s="5" t="s">
        <v>1393</v>
      </c>
      <c r="D16" t="s">
        <v>165</v>
      </c>
      <c r="F16" t="s">
        <v>40</v>
      </c>
      <c r="H16" t="s">
        <v>69</v>
      </c>
      <c r="I16" t="s">
        <v>114</v>
      </c>
      <c r="K16" t="s">
        <v>1105</v>
      </c>
      <c r="L16" t="s">
        <v>14</v>
      </c>
      <c r="O16" t="s">
        <v>7</v>
      </c>
      <c r="P16" t="s">
        <v>303</v>
      </c>
      <c r="T16" t="s">
        <v>1168</v>
      </c>
      <c r="V16" t="s">
        <v>264</v>
      </c>
    </row>
    <row r="17" spans="3:22" x14ac:dyDescent="0.25">
      <c r="C17" s="5" t="s">
        <v>1138</v>
      </c>
      <c r="D17" t="s">
        <v>150</v>
      </c>
      <c r="F17" t="s">
        <v>26</v>
      </c>
      <c r="H17" t="s">
        <v>70</v>
      </c>
      <c r="I17" t="s">
        <v>115</v>
      </c>
      <c r="K17" t="s">
        <v>1106</v>
      </c>
      <c r="O17" t="s">
        <v>8</v>
      </c>
      <c r="P17" t="s">
        <v>304</v>
      </c>
      <c r="V17" t="s">
        <v>265</v>
      </c>
    </row>
    <row r="18" spans="3:22" x14ac:dyDescent="0.25">
      <c r="C18" s="5" t="s">
        <v>1137</v>
      </c>
      <c r="D18" t="s">
        <v>166</v>
      </c>
      <c r="F18" t="s">
        <v>44</v>
      </c>
      <c r="H18" t="s">
        <v>71</v>
      </c>
      <c r="I18" t="s">
        <v>116</v>
      </c>
      <c r="K18" t="s">
        <v>1107</v>
      </c>
      <c r="O18" t="s">
        <v>9</v>
      </c>
      <c r="P18" t="s">
        <v>305</v>
      </c>
      <c r="V18" t="s">
        <v>266</v>
      </c>
    </row>
    <row r="19" spans="3:22" x14ac:dyDescent="0.25">
      <c r="C19" s="5" t="s">
        <v>201</v>
      </c>
      <c r="D19" t="s">
        <v>167</v>
      </c>
      <c r="F19" t="s">
        <v>36</v>
      </c>
      <c r="H19" t="s">
        <v>72</v>
      </c>
      <c r="I19" t="s">
        <v>117</v>
      </c>
      <c r="K19" t="s">
        <v>1108</v>
      </c>
      <c r="O19" t="s">
        <v>10</v>
      </c>
      <c r="P19" t="s">
        <v>306</v>
      </c>
      <c r="V19" t="s">
        <v>267</v>
      </c>
    </row>
    <row r="20" spans="3:22" x14ac:dyDescent="0.25">
      <c r="C20" s="5" t="s">
        <v>1409</v>
      </c>
      <c r="D20" t="s">
        <v>168</v>
      </c>
      <c r="F20" t="s">
        <v>28</v>
      </c>
      <c r="H20" t="s">
        <v>73</v>
      </c>
      <c r="I20" t="s">
        <v>118</v>
      </c>
      <c r="K20" t="s">
        <v>1109</v>
      </c>
      <c r="O20" t="s">
        <v>11</v>
      </c>
      <c r="P20" t="s">
        <v>307</v>
      </c>
      <c r="V20" t="s">
        <v>268</v>
      </c>
    </row>
    <row r="21" spans="3:22" x14ac:dyDescent="0.25">
      <c r="C21" s="5" t="s">
        <v>1463</v>
      </c>
      <c r="D21" t="s">
        <v>149</v>
      </c>
      <c r="F21" t="s">
        <v>37</v>
      </c>
      <c r="H21" t="s">
        <v>74</v>
      </c>
      <c r="I21" t="s">
        <v>119</v>
      </c>
      <c r="K21" t="s">
        <v>1110</v>
      </c>
      <c r="O21" t="s">
        <v>12</v>
      </c>
      <c r="P21" t="s">
        <v>308</v>
      </c>
      <c r="V21" t="s">
        <v>269</v>
      </c>
    </row>
    <row r="22" spans="3:22" x14ac:dyDescent="0.25">
      <c r="C22" s="5" t="s">
        <v>1392</v>
      </c>
      <c r="D22" t="s">
        <v>148</v>
      </c>
      <c r="F22" t="s">
        <v>46</v>
      </c>
      <c r="H22" t="s">
        <v>75</v>
      </c>
      <c r="I22" t="s">
        <v>120</v>
      </c>
      <c r="K22" t="s">
        <v>183</v>
      </c>
      <c r="O22" t="s">
        <v>13</v>
      </c>
      <c r="P22" t="s">
        <v>309</v>
      </c>
      <c r="V22" t="s">
        <v>270</v>
      </c>
    </row>
    <row r="23" spans="3:22" x14ac:dyDescent="0.25">
      <c r="C23" s="5" t="s">
        <v>1359</v>
      </c>
      <c r="D23" t="s">
        <v>169</v>
      </c>
      <c r="F23" t="s">
        <v>45</v>
      </c>
      <c r="H23" t="s">
        <v>76</v>
      </c>
      <c r="I23" t="s">
        <v>121</v>
      </c>
      <c r="K23" t="s">
        <v>184</v>
      </c>
      <c r="O23" t="s">
        <v>14</v>
      </c>
      <c r="P23" t="s">
        <v>310</v>
      </c>
      <c r="V23" t="s">
        <v>271</v>
      </c>
    </row>
    <row r="24" spans="3:22" x14ac:dyDescent="0.25">
      <c r="C24" s="5" t="s">
        <v>1331</v>
      </c>
      <c r="D24" t="s">
        <v>170</v>
      </c>
      <c r="H24" t="s">
        <v>77</v>
      </c>
      <c r="I24" t="s">
        <v>122</v>
      </c>
      <c r="K24" t="s">
        <v>1111</v>
      </c>
      <c r="O24" t="s">
        <v>287</v>
      </c>
      <c r="P24" t="s">
        <v>311</v>
      </c>
      <c r="V24" t="s">
        <v>272</v>
      </c>
    </row>
    <row r="25" spans="3:22" x14ac:dyDescent="0.25">
      <c r="C25" s="5" t="s">
        <v>1326</v>
      </c>
      <c r="D25" t="s">
        <v>171</v>
      </c>
      <c r="H25" t="s">
        <v>78</v>
      </c>
      <c r="I25" t="s">
        <v>1093</v>
      </c>
      <c r="K25" t="s">
        <v>1112</v>
      </c>
      <c r="P25" t="s">
        <v>312</v>
      </c>
    </row>
    <row r="26" spans="3:22" x14ac:dyDescent="0.25">
      <c r="C26" s="5" t="s">
        <v>1358</v>
      </c>
      <c r="D26" t="s">
        <v>147</v>
      </c>
      <c r="H26" t="s">
        <v>79</v>
      </c>
      <c r="I26" t="s">
        <v>123</v>
      </c>
      <c r="K26" t="s">
        <v>1113</v>
      </c>
      <c r="P26" t="s">
        <v>313</v>
      </c>
    </row>
    <row r="27" spans="3:22" x14ac:dyDescent="0.25">
      <c r="C27" s="5" t="s">
        <v>196</v>
      </c>
      <c r="D27" t="s">
        <v>151</v>
      </c>
      <c r="H27" t="s">
        <v>80</v>
      </c>
      <c r="I27" t="s">
        <v>124</v>
      </c>
      <c r="K27" t="s">
        <v>185</v>
      </c>
      <c r="P27" t="s">
        <v>314</v>
      </c>
    </row>
    <row r="28" spans="3:22" x14ac:dyDescent="0.25">
      <c r="C28" s="5" t="s">
        <v>1332</v>
      </c>
      <c r="H28" t="s">
        <v>81</v>
      </c>
      <c r="K28" t="s">
        <v>1114</v>
      </c>
      <c r="P28" t="s">
        <v>315</v>
      </c>
    </row>
    <row r="29" spans="3:22" x14ac:dyDescent="0.25">
      <c r="C29" s="5" t="s">
        <v>1323</v>
      </c>
      <c r="H29" t="s">
        <v>82</v>
      </c>
      <c r="P29" t="s">
        <v>316</v>
      </c>
    </row>
    <row r="30" spans="3:22" x14ac:dyDescent="0.25">
      <c r="C30" s="5" t="s">
        <v>1304</v>
      </c>
      <c r="H30" t="s">
        <v>83</v>
      </c>
      <c r="P30" t="s">
        <v>317</v>
      </c>
    </row>
    <row r="31" spans="3:22" x14ac:dyDescent="0.25">
      <c r="C31" s="5" t="s">
        <v>1305</v>
      </c>
      <c r="H31" t="s">
        <v>84</v>
      </c>
      <c r="P31" t="s">
        <v>318</v>
      </c>
    </row>
    <row r="32" spans="3:22" x14ac:dyDescent="0.25">
      <c r="C32" s="5" t="s">
        <v>1380</v>
      </c>
      <c r="H32" t="s">
        <v>85</v>
      </c>
      <c r="P32" t="s">
        <v>319</v>
      </c>
    </row>
    <row r="33" spans="3:16" x14ac:dyDescent="0.25">
      <c r="C33" s="5" t="s">
        <v>1364</v>
      </c>
      <c r="H33" t="s">
        <v>86</v>
      </c>
      <c r="P33" t="s">
        <v>320</v>
      </c>
    </row>
    <row r="34" spans="3:16" x14ac:dyDescent="0.25">
      <c r="C34" s="5" t="s">
        <v>1381</v>
      </c>
      <c r="H34" t="s">
        <v>87</v>
      </c>
      <c r="P34" t="s">
        <v>321</v>
      </c>
    </row>
    <row r="35" spans="3:16" x14ac:dyDescent="0.25">
      <c r="C35" s="5"/>
      <c r="H35" t="s">
        <v>88</v>
      </c>
      <c r="P35" t="s">
        <v>322</v>
      </c>
    </row>
    <row r="36" spans="3:16" x14ac:dyDescent="0.25">
      <c r="C36" s="5"/>
      <c r="H36" t="s">
        <v>89</v>
      </c>
      <c r="P36" t="s">
        <v>323</v>
      </c>
    </row>
    <row r="37" spans="3:16" x14ac:dyDescent="0.25">
      <c r="C37" s="5"/>
      <c r="H37" t="s">
        <v>90</v>
      </c>
      <c r="P37" t="s">
        <v>324</v>
      </c>
    </row>
    <row r="38" spans="3:16" x14ac:dyDescent="0.25">
      <c r="C38" s="5"/>
      <c r="H38" t="s">
        <v>91</v>
      </c>
      <c r="P38" t="s">
        <v>325</v>
      </c>
    </row>
    <row r="39" spans="3:16" x14ac:dyDescent="0.25">
      <c r="C39" s="5"/>
      <c r="H39" t="s">
        <v>92</v>
      </c>
      <c r="P39" t="s">
        <v>326</v>
      </c>
    </row>
    <row r="40" spans="3:16" x14ac:dyDescent="0.25">
      <c r="C40" s="5"/>
      <c r="H40" t="s">
        <v>93</v>
      </c>
      <c r="P40" t="s">
        <v>327</v>
      </c>
    </row>
    <row r="41" spans="3:16" x14ac:dyDescent="0.25">
      <c r="C41" s="5"/>
      <c r="H41" t="s">
        <v>94</v>
      </c>
      <c r="P41" t="s">
        <v>328</v>
      </c>
    </row>
    <row r="42" spans="3:16" x14ac:dyDescent="0.25">
      <c r="C42" s="5"/>
      <c r="H42" t="s">
        <v>14</v>
      </c>
      <c r="P42" t="s">
        <v>329</v>
      </c>
    </row>
    <row r="43" spans="3:16" x14ac:dyDescent="0.25">
      <c r="C43" s="5"/>
      <c r="H43" t="s">
        <v>95</v>
      </c>
      <c r="P43" t="s">
        <v>330</v>
      </c>
    </row>
    <row r="44" spans="3:16" x14ac:dyDescent="0.25">
      <c r="C44" s="5"/>
      <c r="H44" t="s">
        <v>96</v>
      </c>
      <c r="P44" t="s">
        <v>331</v>
      </c>
    </row>
    <row r="45" spans="3:16" x14ac:dyDescent="0.25">
      <c r="C45" s="5"/>
      <c r="H45" t="s">
        <v>97</v>
      </c>
      <c r="P45" t="s">
        <v>332</v>
      </c>
    </row>
    <row r="46" spans="3:16" x14ac:dyDescent="0.25">
      <c r="C46" s="5"/>
      <c r="H46" t="s">
        <v>98</v>
      </c>
      <c r="P46" t="s">
        <v>333</v>
      </c>
    </row>
    <row r="47" spans="3:16" x14ac:dyDescent="0.25">
      <c r="C47" s="5"/>
      <c r="H47" t="s">
        <v>99</v>
      </c>
      <c r="P47" t="s">
        <v>334</v>
      </c>
    </row>
    <row r="48" spans="3:16" x14ac:dyDescent="0.25">
      <c r="C48" s="5"/>
      <c r="H48" t="s">
        <v>100</v>
      </c>
      <c r="P48" t="s">
        <v>335</v>
      </c>
    </row>
    <row r="49" spans="3:16" x14ac:dyDescent="0.25">
      <c r="C49" s="5"/>
      <c r="H49" t="s">
        <v>101</v>
      </c>
      <c r="P49" t="s">
        <v>336</v>
      </c>
    </row>
    <row r="50" spans="3:16" x14ac:dyDescent="0.25">
      <c r="C50" s="5"/>
      <c r="H50" t="s">
        <v>102</v>
      </c>
      <c r="P50" t="s">
        <v>337</v>
      </c>
    </row>
    <row r="51" spans="3:16" x14ac:dyDescent="0.25">
      <c r="C51" s="5"/>
      <c r="H51" t="s">
        <v>103</v>
      </c>
      <c r="P51" t="s">
        <v>338</v>
      </c>
    </row>
    <row r="52" spans="3:16" x14ac:dyDescent="0.25">
      <c r="C52" s="5"/>
      <c r="P52" t="s">
        <v>339</v>
      </c>
    </row>
    <row r="53" spans="3:16" x14ac:dyDescent="0.25">
      <c r="C53" s="5"/>
      <c r="P53" t="s">
        <v>340</v>
      </c>
    </row>
    <row r="54" spans="3:16" x14ac:dyDescent="0.25">
      <c r="C54" s="5"/>
      <c r="P54" t="s">
        <v>341</v>
      </c>
    </row>
    <row r="55" spans="3:16" x14ac:dyDescent="0.25">
      <c r="C55" s="5"/>
      <c r="P55" t="s">
        <v>342</v>
      </c>
    </row>
    <row r="56" spans="3:16" x14ac:dyDescent="0.25">
      <c r="C56" s="5"/>
      <c r="P56" t="s">
        <v>343</v>
      </c>
    </row>
    <row r="57" spans="3:16" x14ac:dyDescent="0.25">
      <c r="C57" s="5"/>
      <c r="P57" t="s">
        <v>344</v>
      </c>
    </row>
    <row r="58" spans="3:16" x14ac:dyDescent="0.25">
      <c r="C58" s="5"/>
      <c r="P58" t="s">
        <v>345</v>
      </c>
    </row>
    <row r="59" spans="3:16" x14ac:dyDescent="0.25">
      <c r="C59" s="5"/>
      <c r="P59" t="s">
        <v>346</v>
      </c>
    </row>
    <row r="60" spans="3:16" x14ac:dyDescent="0.25">
      <c r="C60" s="5"/>
      <c r="P60" t="s">
        <v>347</v>
      </c>
    </row>
    <row r="61" spans="3:16" x14ac:dyDescent="0.25">
      <c r="C61" s="5"/>
      <c r="P61" t="s">
        <v>348</v>
      </c>
    </row>
    <row r="62" spans="3:16" x14ac:dyDescent="0.25">
      <c r="C62" s="5"/>
      <c r="P62" t="s">
        <v>349</v>
      </c>
    </row>
    <row r="63" spans="3:16" x14ac:dyDescent="0.25">
      <c r="C63" s="5"/>
      <c r="P63" t="s">
        <v>350</v>
      </c>
    </row>
    <row r="64" spans="3:16" x14ac:dyDescent="0.25">
      <c r="C64" s="5"/>
      <c r="P64" t="s">
        <v>351</v>
      </c>
    </row>
    <row r="65" spans="3:16" x14ac:dyDescent="0.25">
      <c r="C65" s="5"/>
      <c r="P65" t="s">
        <v>352</v>
      </c>
    </row>
    <row r="66" spans="3:16" x14ac:dyDescent="0.25">
      <c r="C66" s="5"/>
      <c r="P66" t="s">
        <v>353</v>
      </c>
    </row>
    <row r="67" spans="3:16" x14ac:dyDescent="0.25">
      <c r="C67" s="5"/>
      <c r="P67" t="s">
        <v>354</v>
      </c>
    </row>
    <row r="68" spans="3:16" x14ac:dyDescent="0.25">
      <c r="C68" s="5"/>
      <c r="P68" t="s">
        <v>355</v>
      </c>
    </row>
    <row r="69" spans="3:16" x14ac:dyDescent="0.25">
      <c r="C69" s="5"/>
      <c r="P69" t="s">
        <v>356</v>
      </c>
    </row>
    <row r="70" spans="3:16" x14ac:dyDescent="0.25">
      <c r="C70" s="5"/>
      <c r="P70" t="s">
        <v>357</v>
      </c>
    </row>
    <row r="71" spans="3:16" x14ac:dyDescent="0.25">
      <c r="C71" s="5"/>
      <c r="P71" t="s">
        <v>358</v>
      </c>
    </row>
    <row r="72" spans="3:16" x14ac:dyDescent="0.25">
      <c r="C72" s="5"/>
      <c r="P72" t="s">
        <v>359</v>
      </c>
    </row>
    <row r="73" spans="3:16" x14ac:dyDescent="0.25">
      <c r="C73" s="5"/>
      <c r="P73" t="s">
        <v>360</v>
      </c>
    </row>
    <row r="74" spans="3:16" x14ac:dyDescent="0.25">
      <c r="C74" s="5"/>
      <c r="P74" t="s">
        <v>361</v>
      </c>
    </row>
    <row r="75" spans="3:16" x14ac:dyDescent="0.25">
      <c r="C75" s="5"/>
      <c r="P75" t="s">
        <v>362</v>
      </c>
    </row>
    <row r="76" spans="3:16" x14ac:dyDescent="0.25">
      <c r="C76" s="5"/>
      <c r="P76" t="s">
        <v>363</v>
      </c>
    </row>
    <row r="77" spans="3:16" x14ac:dyDescent="0.25">
      <c r="C77" s="5"/>
      <c r="P77" t="s">
        <v>364</v>
      </c>
    </row>
    <row r="78" spans="3:16" x14ac:dyDescent="0.25">
      <c r="C78" s="5"/>
      <c r="P78" t="s">
        <v>365</v>
      </c>
    </row>
    <row r="79" spans="3:16" x14ac:dyDescent="0.25">
      <c r="C79" s="5"/>
      <c r="P79" t="s">
        <v>366</v>
      </c>
    </row>
    <row r="80" spans="3:16" x14ac:dyDescent="0.25">
      <c r="C80" s="5"/>
      <c r="P80" t="s">
        <v>367</v>
      </c>
    </row>
    <row r="81" spans="3:16" x14ac:dyDescent="0.25">
      <c r="C81" s="5"/>
      <c r="P81" t="s">
        <v>368</v>
      </c>
    </row>
    <row r="82" spans="3:16" x14ac:dyDescent="0.25">
      <c r="C82" s="5"/>
      <c r="P82" t="s">
        <v>369</v>
      </c>
    </row>
    <row r="83" spans="3:16" x14ac:dyDescent="0.25">
      <c r="C83" s="5"/>
      <c r="P83" t="s">
        <v>370</v>
      </c>
    </row>
    <row r="84" spans="3:16" x14ac:dyDescent="0.25">
      <c r="C84" s="5"/>
      <c r="P84" t="s">
        <v>371</v>
      </c>
    </row>
    <row r="85" spans="3:16" x14ac:dyDescent="0.25">
      <c r="C85" s="5"/>
      <c r="P85" t="s">
        <v>372</v>
      </c>
    </row>
    <row r="86" spans="3:16" x14ac:dyDescent="0.25">
      <c r="C86" s="5"/>
      <c r="P86" t="s">
        <v>373</v>
      </c>
    </row>
    <row r="87" spans="3:16" x14ac:dyDescent="0.25">
      <c r="C87" s="5"/>
      <c r="P87" t="s">
        <v>374</v>
      </c>
    </row>
    <row r="88" spans="3:16" x14ac:dyDescent="0.25">
      <c r="C88" s="5"/>
      <c r="P88" t="s">
        <v>375</v>
      </c>
    </row>
    <row r="89" spans="3:16" x14ac:dyDescent="0.25">
      <c r="C89" s="5"/>
      <c r="P89" t="s">
        <v>376</v>
      </c>
    </row>
    <row r="90" spans="3:16" x14ac:dyDescent="0.25">
      <c r="C90" s="5"/>
      <c r="P90" t="s">
        <v>377</v>
      </c>
    </row>
    <row r="91" spans="3:16" x14ac:dyDescent="0.25">
      <c r="C91" s="5"/>
      <c r="P91" t="s">
        <v>378</v>
      </c>
    </row>
    <row r="92" spans="3:16" x14ac:dyDescent="0.25">
      <c r="C92" s="5"/>
      <c r="P92" t="s">
        <v>379</v>
      </c>
    </row>
    <row r="93" spans="3:16" x14ac:dyDescent="0.25">
      <c r="C93" s="5"/>
      <c r="P93" t="s">
        <v>380</v>
      </c>
    </row>
    <row r="94" spans="3:16" x14ac:dyDescent="0.25">
      <c r="C94" s="5"/>
      <c r="P94" t="s">
        <v>381</v>
      </c>
    </row>
    <row r="95" spans="3:16" x14ac:dyDescent="0.25">
      <c r="C95" s="5"/>
      <c r="P95" t="s">
        <v>382</v>
      </c>
    </row>
    <row r="96" spans="3:16" x14ac:dyDescent="0.25">
      <c r="C96" s="5"/>
      <c r="P96" t="s">
        <v>383</v>
      </c>
    </row>
    <row r="97" spans="3:16" x14ac:dyDescent="0.25">
      <c r="C97" s="5"/>
      <c r="P97" t="s">
        <v>384</v>
      </c>
    </row>
    <row r="98" spans="3:16" x14ac:dyDescent="0.25">
      <c r="C98" s="5"/>
      <c r="P98" t="s">
        <v>385</v>
      </c>
    </row>
    <row r="99" spans="3:16" x14ac:dyDescent="0.25">
      <c r="C99" s="5"/>
      <c r="P99" t="s">
        <v>386</v>
      </c>
    </row>
    <row r="100" spans="3:16" x14ac:dyDescent="0.25">
      <c r="C100" s="5"/>
      <c r="P100" t="s">
        <v>387</v>
      </c>
    </row>
    <row r="101" spans="3:16" x14ac:dyDescent="0.25">
      <c r="C101" s="5"/>
      <c r="P101" t="s">
        <v>388</v>
      </c>
    </row>
    <row r="102" spans="3:16" x14ac:dyDescent="0.25">
      <c r="C102" s="5"/>
      <c r="P102" t="s">
        <v>389</v>
      </c>
    </row>
    <row r="103" spans="3:16" x14ac:dyDescent="0.25">
      <c r="C103" s="5"/>
      <c r="P103" t="s">
        <v>390</v>
      </c>
    </row>
    <row r="104" spans="3:16" x14ac:dyDescent="0.25">
      <c r="C104" s="5"/>
      <c r="P104" t="s">
        <v>391</v>
      </c>
    </row>
    <row r="105" spans="3:16" x14ac:dyDescent="0.25">
      <c r="C105" s="5"/>
      <c r="P105" t="s">
        <v>392</v>
      </c>
    </row>
    <row r="106" spans="3:16" x14ac:dyDescent="0.25">
      <c r="C106" s="5"/>
      <c r="P106" t="s">
        <v>393</v>
      </c>
    </row>
    <row r="107" spans="3:16" x14ac:dyDescent="0.25">
      <c r="C107" s="5"/>
      <c r="P107" t="s">
        <v>394</v>
      </c>
    </row>
    <row r="108" spans="3:16" x14ac:dyDescent="0.25">
      <c r="C108" s="5"/>
      <c r="P108" t="s">
        <v>395</v>
      </c>
    </row>
    <row r="109" spans="3:16" x14ac:dyDescent="0.25">
      <c r="C109" s="5"/>
      <c r="P109" t="s">
        <v>396</v>
      </c>
    </row>
    <row r="110" spans="3:16" x14ac:dyDescent="0.25">
      <c r="C110" s="5"/>
      <c r="P110" t="s">
        <v>397</v>
      </c>
    </row>
    <row r="111" spans="3:16" x14ac:dyDescent="0.25">
      <c r="C111" s="5"/>
      <c r="P111" t="s">
        <v>398</v>
      </c>
    </row>
    <row r="112" spans="3:16" x14ac:dyDescent="0.25">
      <c r="C112" s="5"/>
      <c r="P112" t="s">
        <v>399</v>
      </c>
    </row>
    <row r="113" spans="3:16" x14ac:dyDescent="0.25">
      <c r="C113" s="5"/>
      <c r="P113" t="s">
        <v>400</v>
      </c>
    </row>
    <row r="114" spans="3:16" x14ac:dyDescent="0.25">
      <c r="C114" s="5"/>
      <c r="P114" t="s">
        <v>401</v>
      </c>
    </row>
    <row r="115" spans="3:16" x14ac:dyDescent="0.25">
      <c r="C115" s="5"/>
      <c r="P115" t="s">
        <v>402</v>
      </c>
    </row>
    <row r="116" spans="3:16" x14ac:dyDescent="0.25">
      <c r="C116" s="5"/>
      <c r="P116" t="s">
        <v>403</v>
      </c>
    </row>
    <row r="117" spans="3:16" x14ac:dyDescent="0.25">
      <c r="C117" s="5"/>
      <c r="P117" t="s">
        <v>404</v>
      </c>
    </row>
    <row r="118" spans="3:16" x14ac:dyDescent="0.25">
      <c r="C118" s="5"/>
      <c r="P118" t="s">
        <v>405</v>
      </c>
    </row>
    <row r="119" spans="3:16" x14ac:dyDescent="0.25">
      <c r="C119" s="5"/>
      <c r="P119" t="s">
        <v>406</v>
      </c>
    </row>
    <row r="120" spans="3:16" x14ac:dyDescent="0.25">
      <c r="C120" s="5"/>
      <c r="P120" t="s">
        <v>407</v>
      </c>
    </row>
    <row r="121" spans="3:16" x14ac:dyDescent="0.25">
      <c r="C121" s="5"/>
      <c r="P121" t="s">
        <v>408</v>
      </c>
    </row>
    <row r="122" spans="3:16" x14ac:dyDescent="0.25">
      <c r="C122" s="5"/>
      <c r="P122" t="s">
        <v>409</v>
      </c>
    </row>
    <row r="123" spans="3:16" x14ac:dyDescent="0.25">
      <c r="C123" s="5"/>
      <c r="P123" t="s">
        <v>410</v>
      </c>
    </row>
    <row r="124" spans="3:16" x14ac:dyDescent="0.25">
      <c r="C124" s="5"/>
      <c r="P124" t="s">
        <v>411</v>
      </c>
    </row>
    <row r="125" spans="3:16" x14ac:dyDescent="0.25">
      <c r="C125" s="5"/>
      <c r="P125" t="s">
        <v>412</v>
      </c>
    </row>
    <row r="126" spans="3:16" x14ac:dyDescent="0.25">
      <c r="C126" s="5"/>
      <c r="P126" t="s">
        <v>413</v>
      </c>
    </row>
    <row r="127" spans="3:16" x14ac:dyDescent="0.25">
      <c r="C127" s="5"/>
      <c r="P127" t="s">
        <v>414</v>
      </c>
    </row>
    <row r="128" spans="3:16" x14ac:dyDescent="0.25">
      <c r="C128" s="5"/>
      <c r="P128" t="s">
        <v>415</v>
      </c>
    </row>
    <row r="129" spans="3:16" x14ac:dyDescent="0.25">
      <c r="C129" s="5"/>
      <c r="P129" t="s">
        <v>416</v>
      </c>
    </row>
    <row r="130" spans="3:16" x14ac:dyDescent="0.25">
      <c r="C130" s="5"/>
      <c r="P130" t="s">
        <v>417</v>
      </c>
    </row>
    <row r="131" spans="3:16" x14ac:dyDescent="0.25">
      <c r="C131" s="5"/>
      <c r="P131" t="s">
        <v>418</v>
      </c>
    </row>
    <row r="132" spans="3:16" x14ac:dyDescent="0.25">
      <c r="C132" s="5"/>
      <c r="P132" t="s">
        <v>419</v>
      </c>
    </row>
    <row r="133" spans="3:16" x14ac:dyDescent="0.25">
      <c r="C133" s="5"/>
      <c r="P133" t="s">
        <v>420</v>
      </c>
    </row>
    <row r="134" spans="3:16" x14ac:dyDescent="0.25">
      <c r="C134" s="5"/>
      <c r="P134" t="s">
        <v>421</v>
      </c>
    </row>
    <row r="135" spans="3:16" x14ac:dyDescent="0.25">
      <c r="C135" s="5"/>
      <c r="P135" t="s">
        <v>422</v>
      </c>
    </row>
    <row r="136" spans="3:16" x14ac:dyDescent="0.25">
      <c r="C136" s="5"/>
      <c r="P136" t="s">
        <v>423</v>
      </c>
    </row>
    <row r="137" spans="3:16" x14ac:dyDescent="0.25">
      <c r="C137" s="5"/>
      <c r="P137" t="s">
        <v>424</v>
      </c>
    </row>
    <row r="138" spans="3:16" x14ac:dyDescent="0.25">
      <c r="C138" s="5"/>
      <c r="P138" t="s">
        <v>425</v>
      </c>
    </row>
    <row r="139" spans="3:16" x14ac:dyDescent="0.25">
      <c r="C139" s="5"/>
      <c r="P139" t="s">
        <v>426</v>
      </c>
    </row>
    <row r="140" spans="3:16" x14ac:dyDescent="0.25">
      <c r="C140" s="5"/>
      <c r="P140" t="s">
        <v>427</v>
      </c>
    </row>
    <row r="141" spans="3:16" x14ac:dyDescent="0.25">
      <c r="C141" s="5"/>
      <c r="P141" t="s">
        <v>428</v>
      </c>
    </row>
    <row r="142" spans="3:16" x14ac:dyDescent="0.25">
      <c r="C142" s="5"/>
      <c r="P142" t="s">
        <v>429</v>
      </c>
    </row>
    <row r="143" spans="3:16" x14ac:dyDescent="0.25">
      <c r="C143" s="5"/>
      <c r="P143" t="s">
        <v>430</v>
      </c>
    </row>
    <row r="144" spans="3:16" x14ac:dyDescent="0.25">
      <c r="C144" s="5"/>
      <c r="P144" t="s">
        <v>431</v>
      </c>
    </row>
    <row r="145" spans="3:16" x14ac:dyDescent="0.25">
      <c r="C145" s="5"/>
      <c r="P145" t="s">
        <v>432</v>
      </c>
    </row>
    <row r="146" spans="3:16" x14ac:dyDescent="0.25">
      <c r="C146" s="5"/>
      <c r="P146" t="s">
        <v>433</v>
      </c>
    </row>
    <row r="147" spans="3:16" x14ac:dyDescent="0.25">
      <c r="C147" s="5"/>
      <c r="P147" t="s">
        <v>434</v>
      </c>
    </row>
    <row r="148" spans="3:16" x14ac:dyDescent="0.25">
      <c r="C148" s="5"/>
      <c r="P148" t="s">
        <v>435</v>
      </c>
    </row>
    <row r="149" spans="3:16" x14ac:dyDescent="0.25">
      <c r="C149" s="5"/>
      <c r="P149" t="s">
        <v>436</v>
      </c>
    </row>
    <row r="150" spans="3:16" x14ac:dyDescent="0.25">
      <c r="C150" s="5"/>
      <c r="P150" t="s">
        <v>437</v>
      </c>
    </row>
    <row r="151" spans="3:16" x14ac:dyDescent="0.25">
      <c r="C151" s="5"/>
      <c r="P151" t="s">
        <v>438</v>
      </c>
    </row>
    <row r="152" spans="3:16" x14ac:dyDescent="0.25">
      <c r="C152" s="5"/>
      <c r="P152" t="s">
        <v>439</v>
      </c>
    </row>
    <row r="153" spans="3:16" x14ac:dyDescent="0.25">
      <c r="C153" s="5"/>
      <c r="P153" t="s">
        <v>440</v>
      </c>
    </row>
    <row r="154" spans="3:16" x14ac:dyDescent="0.25">
      <c r="C154" s="5"/>
      <c r="P154" t="s">
        <v>441</v>
      </c>
    </row>
    <row r="155" spans="3:16" x14ac:dyDescent="0.25">
      <c r="C155" s="5"/>
      <c r="P155" t="s">
        <v>442</v>
      </c>
    </row>
    <row r="156" spans="3:16" x14ac:dyDescent="0.25">
      <c r="C156" s="5"/>
      <c r="P156" t="s">
        <v>443</v>
      </c>
    </row>
    <row r="157" spans="3:16" x14ac:dyDescent="0.25">
      <c r="C157" s="5"/>
      <c r="P157" t="s">
        <v>444</v>
      </c>
    </row>
    <row r="158" spans="3:16" x14ac:dyDescent="0.25">
      <c r="C158" s="5"/>
      <c r="P158" t="s">
        <v>445</v>
      </c>
    </row>
    <row r="159" spans="3:16" x14ac:dyDescent="0.25">
      <c r="C159" s="5"/>
      <c r="P159" t="s">
        <v>446</v>
      </c>
    </row>
    <row r="160" spans="3:16" x14ac:dyDescent="0.25">
      <c r="C160" s="5"/>
      <c r="P160" t="s">
        <v>447</v>
      </c>
    </row>
    <row r="161" spans="3:16" x14ac:dyDescent="0.25">
      <c r="C161" s="5"/>
      <c r="P161" t="s">
        <v>448</v>
      </c>
    </row>
    <row r="162" spans="3:16" x14ac:dyDescent="0.25">
      <c r="C162" s="5"/>
      <c r="P162" t="s">
        <v>449</v>
      </c>
    </row>
    <row r="163" spans="3:16" x14ac:dyDescent="0.25">
      <c r="C163" s="5"/>
      <c r="P163" t="s">
        <v>450</v>
      </c>
    </row>
    <row r="164" spans="3:16" x14ac:dyDescent="0.25">
      <c r="C164" s="5"/>
      <c r="P164" t="s">
        <v>451</v>
      </c>
    </row>
    <row r="165" spans="3:16" x14ac:dyDescent="0.25">
      <c r="C165" s="5"/>
      <c r="P165" t="s">
        <v>452</v>
      </c>
    </row>
    <row r="166" spans="3:16" x14ac:dyDescent="0.25">
      <c r="C166" s="5"/>
      <c r="P166" t="s">
        <v>453</v>
      </c>
    </row>
    <row r="167" spans="3:16" x14ac:dyDescent="0.25">
      <c r="C167" s="5"/>
      <c r="P167" t="s">
        <v>454</v>
      </c>
    </row>
    <row r="168" spans="3:16" x14ac:dyDescent="0.25">
      <c r="C168" s="5"/>
      <c r="P168" t="s">
        <v>455</v>
      </c>
    </row>
    <row r="169" spans="3:16" x14ac:dyDescent="0.25">
      <c r="C169" s="5"/>
      <c r="P169" t="s">
        <v>456</v>
      </c>
    </row>
    <row r="170" spans="3:16" x14ac:dyDescent="0.25">
      <c r="C170" s="5"/>
      <c r="P170" t="s">
        <v>457</v>
      </c>
    </row>
    <row r="171" spans="3:16" x14ac:dyDescent="0.25">
      <c r="C171" s="5"/>
      <c r="P171" t="s">
        <v>458</v>
      </c>
    </row>
    <row r="172" spans="3:16" x14ac:dyDescent="0.25">
      <c r="C172" s="5"/>
      <c r="P172" t="s">
        <v>459</v>
      </c>
    </row>
    <row r="173" spans="3:16" x14ac:dyDescent="0.25">
      <c r="C173" s="5"/>
      <c r="P173" t="s">
        <v>460</v>
      </c>
    </row>
    <row r="174" spans="3:16" x14ac:dyDescent="0.25">
      <c r="C174" s="5"/>
      <c r="P174" t="s">
        <v>461</v>
      </c>
    </row>
    <row r="175" spans="3:16" x14ac:dyDescent="0.25">
      <c r="C175" s="5"/>
      <c r="P175" t="s">
        <v>462</v>
      </c>
    </row>
    <row r="176" spans="3:16" x14ac:dyDescent="0.25">
      <c r="C176" s="5"/>
      <c r="P176" t="s">
        <v>463</v>
      </c>
    </row>
    <row r="177" spans="3:16" x14ac:dyDescent="0.25">
      <c r="C177" s="5"/>
      <c r="P177" t="s">
        <v>464</v>
      </c>
    </row>
    <row r="178" spans="3:16" x14ac:dyDescent="0.25">
      <c r="C178" s="5"/>
      <c r="P178" t="s">
        <v>465</v>
      </c>
    </row>
    <row r="179" spans="3:16" x14ac:dyDescent="0.25">
      <c r="C179" s="5"/>
      <c r="P179" t="s">
        <v>466</v>
      </c>
    </row>
    <row r="180" spans="3:16" x14ac:dyDescent="0.25">
      <c r="C180" s="5"/>
      <c r="P180" t="s">
        <v>467</v>
      </c>
    </row>
    <row r="181" spans="3:16" x14ac:dyDescent="0.25">
      <c r="C181" s="5"/>
      <c r="P181" t="s">
        <v>468</v>
      </c>
    </row>
    <row r="182" spans="3:16" x14ac:dyDescent="0.25">
      <c r="C182" s="5"/>
      <c r="P182" t="s">
        <v>469</v>
      </c>
    </row>
    <row r="183" spans="3:16" x14ac:dyDescent="0.25">
      <c r="C183" s="5"/>
      <c r="P183" t="s">
        <v>470</v>
      </c>
    </row>
    <row r="184" spans="3:16" x14ac:dyDescent="0.25">
      <c r="C184" s="5"/>
      <c r="P184" t="s">
        <v>471</v>
      </c>
    </row>
    <row r="185" spans="3:16" x14ac:dyDescent="0.25">
      <c r="C185" s="5"/>
      <c r="P185" t="s">
        <v>472</v>
      </c>
    </row>
    <row r="186" spans="3:16" x14ac:dyDescent="0.25">
      <c r="C186" s="5"/>
      <c r="P186" t="s">
        <v>473</v>
      </c>
    </row>
    <row r="187" spans="3:16" x14ac:dyDescent="0.25">
      <c r="C187" s="5"/>
      <c r="P187" t="s">
        <v>474</v>
      </c>
    </row>
    <row r="188" spans="3:16" x14ac:dyDescent="0.25">
      <c r="C188" s="5"/>
      <c r="P188" t="s">
        <v>475</v>
      </c>
    </row>
    <row r="189" spans="3:16" x14ac:dyDescent="0.25">
      <c r="C189" s="5"/>
      <c r="P189" t="s">
        <v>476</v>
      </c>
    </row>
    <row r="190" spans="3:16" x14ac:dyDescent="0.25">
      <c r="C190" s="5"/>
      <c r="P190" t="s">
        <v>477</v>
      </c>
    </row>
    <row r="191" spans="3:16" x14ac:dyDescent="0.25">
      <c r="C191" s="5"/>
      <c r="P191" t="s">
        <v>478</v>
      </c>
    </row>
    <row r="192" spans="3:16" x14ac:dyDescent="0.25">
      <c r="C192" s="5"/>
      <c r="P192" t="s">
        <v>479</v>
      </c>
    </row>
    <row r="193" spans="3:16" x14ac:dyDescent="0.25">
      <c r="C193" s="5"/>
      <c r="P193" t="s">
        <v>480</v>
      </c>
    </row>
    <row r="194" spans="3:16" x14ac:dyDescent="0.25">
      <c r="C194" s="5"/>
      <c r="P194" t="s">
        <v>481</v>
      </c>
    </row>
    <row r="195" spans="3:16" x14ac:dyDescent="0.25">
      <c r="C195" s="5"/>
      <c r="P195" t="s">
        <v>482</v>
      </c>
    </row>
    <row r="196" spans="3:16" x14ac:dyDescent="0.25">
      <c r="C196" s="5"/>
      <c r="P196" t="s">
        <v>483</v>
      </c>
    </row>
    <row r="197" spans="3:16" x14ac:dyDescent="0.25">
      <c r="C197" s="5"/>
      <c r="P197" t="s">
        <v>484</v>
      </c>
    </row>
    <row r="198" spans="3:16" x14ac:dyDescent="0.25">
      <c r="C198" s="5"/>
      <c r="P198" t="s">
        <v>485</v>
      </c>
    </row>
    <row r="199" spans="3:16" x14ac:dyDescent="0.25">
      <c r="C199" s="5"/>
      <c r="P199" t="s">
        <v>486</v>
      </c>
    </row>
    <row r="200" spans="3:16" x14ac:dyDescent="0.25">
      <c r="C200" s="5"/>
      <c r="P200" t="s">
        <v>487</v>
      </c>
    </row>
    <row r="201" spans="3:16" x14ac:dyDescent="0.25">
      <c r="C201" s="5"/>
      <c r="P201" t="s">
        <v>488</v>
      </c>
    </row>
    <row r="202" spans="3:16" x14ac:dyDescent="0.25">
      <c r="C202" s="5"/>
      <c r="P202" t="s">
        <v>489</v>
      </c>
    </row>
    <row r="203" spans="3:16" x14ac:dyDescent="0.25">
      <c r="C203" s="5"/>
      <c r="P203" t="s">
        <v>490</v>
      </c>
    </row>
    <row r="204" spans="3:16" x14ac:dyDescent="0.25">
      <c r="C204" s="5"/>
      <c r="P204" t="s">
        <v>491</v>
      </c>
    </row>
    <row r="205" spans="3:16" x14ac:dyDescent="0.25">
      <c r="C205" s="5"/>
      <c r="P205" t="s">
        <v>492</v>
      </c>
    </row>
    <row r="206" spans="3:16" x14ac:dyDescent="0.25">
      <c r="C206" s="5"/>
      <c r="P206" t="s">
        <v>493</v>
      </c>
    </row>
    <row r="207" spans="3:16" x14ac:dyDescent="0.25">
      <c r="C207" s="5"/>
      <c r="P207" t="s">
        <v>494</v>
      </c>
    </row>
    <row r="208" spans="3:16" x14ac:dyDescent="0.25">
      <c r="C208" s="5"/>
      <c r="P208" t="s">
        <v>495</v>
      </c>
    </row>
    <row r="209" spans="3:16" x14ac:dyDescent="0.25">
      <c r="C209" s="5"/>
      <c r="P209" t="s">
        <v>496</v>
      </c>
    </row>
    <row r="210" spans="3:16" x14ac:dyDescent="0.25">
      <c r="C210" s="5"/>
      <c r="P210" t="s">
        <v>497</v>
      </c>
    </row>
    <row r="211" spans="3:16" x14ac:dyDescent="0.25">
      <c r="C211" s="5"/>
      <c r="P211" t="s">
        <v>498</v>
      </c>
    </row>
    <row r="212" spans="3:16" x14ac:dyDescent="0.25">
      <c r="C212" s="5"/>
      <c r="P212" t="s">
        <v>499</v>
      </c>
    </row>
    <row r="213" spans="3:16" x14ac:dyDescent="0.25">
      <c r="C213" s="5"/>
      <c r="P213" t="s">
        <v>500</v>
      </c>
    </row>
    <row r="214" spans="3:16" x14ac:dyDescent="0.25">
      <c r="C214" s="5"/>
      <c r="P214" t="s">
        <v>501</v>
      </c>
    </row>
    <row r="215" spans="3:16" x14ac:dyDescent="0.25">
      <c r="C215" s="5"/>
      <c r="P215" t="s">
        <v>502</v>
      </c>
    </row>
    <row r="216" spans="3:16" x14ac:dyDescent="0.25">
      <c r="C216" s="5"/>
      <c r="P216" t="s">
        <v>503</v>
      </c>
    </row>
    <row r="217" spans="3:16" x14ac:dyDescent="0.25">
      <c r="C217" s="5"/>
      <c r="P217" t="s">
        <v>504</v>
      </c>
    </row>
    <row r="218" spans="3:16" x14ac:dyDescent="0.25">
      <c r="C218" s="5"/>
      <c r="P218" t="s">
        <v>505</v>
      </c>
    </row>
    <row r="219" spans="3:16" x14ac:dyDescent="0.25">
      <c r="C219" s="5"/>
      <c r="P219" t="s">
        <v>506</v>
      </c>
    </row>
    <row r="220" spans="3:16" x14ac:dyDescent="0.25">
      <c r="C220" s="5"/>
      <c r="P220" t="s">
        <v>507</v>
      </c>
    </row>
    <row r="221" spans="3:16" x14ac:dyDescent="0.25">
      <c r="C221" s="5"/>
      <c r="P221" t="s">
        <v>508</v>
      </c>
    </row>
    <row r="222" spans="3:16" x14ac:dyDescent="0.25">
      <c r="C222" s="5"/>
      <c r="P222" t="s">
        <v>509</v>
      </c>
    </row>
    <row r="223" spans="3:16" x14ac:dyDescent="0.25">
      <c r="C223" s="5"/>
      <c r="P223" t="s">
        <v>510</v>
      </c>
    </row>
    <row r="224" spans="3:16" x14ac:dyDescent="0.25">
      <c r="C224" s="5"/>
      <c r="P224" t="s">
        <v>511</v>
      </c>
    </row>
    <row r="225" spans="3:16" x14ac:dyDescent="0.25">
      <c r="C225" s="5"/>
      <c r="P225" t="s">
        <v>512</v>
      </c>
    </row>
    <row r="226" spans="3:16" x14ac:dyDescent="0.25">
      <c r="C226" s="5"/>
      <c r="P226" t="s">
        <v>513</v>
      </c>
    </row>
    <row r="227" spans="3:16" x14ac:dyDescent="0.25">
      <c r="C227" s="5"/>
      <c r="P227" t="s">
        <v>514</v>
      </c>
    </row>
    <row r="228" spans="3:16" x14ac:dyDescent="0.25">
      <c r="C228" s="5"/>
      <c r="P228" t="s">
        <v>515</v>
      </c>
    </row>
    <row r="229" spans="3:16" x14ac:dyDescent="0.25">
      <c r="C229" s="5"/>
      <c r="P229" t="s">
        <v>516</v>
      </c>
    </row>
    <row r="230" spans="3:16" x14ac:dyDescent="0.25">
      <c r="C230" s="5"/>
      <c r="P230" t="s">
        <v>517</v>
      </c>
    </row>
    <row r="231" spans="3:16" x14ac:dyDescent="0.25">
      <c r="C231" s="5"/>
      <c r="P231" t="s">
        <v>518</v>
      </c>
    </row>
    <row r="232" spans="3:16" x14ac:dyDescent="0.25">
      <c r="C232" s="5"/>
      <c r="P232" t="s">
        <v>519</v>
      </c>
    </row>
    <row r="233" spans="3:16" x14ac:dyDescent="0.25">
      <c r="C233" s="5"/>
      <c r="P233" t="s">
        <v>520</v>
      </c>
    </row>
    <row r="234" spans="3:16" x14ac:dyDescent="0.25">
      <c r="C234" s="5"/>
      <c r="P234" t="s">
        <v>521</v>
      </c>
    </row>
    <row r="235" spans="3:16" x14ac:dyDescent="0.25">
      <c r="C235" s="5"/>
      <c r="P235" t="s">
        <v>522</v>
      </c>
    </row>
    <row r="236" spans="3:16" x14ac:dyDescent="0.25">
      <c r="C236" s="5"/>
      <c r="P236" t="s">
        <v>523</v>
      </c>
    </row>
    <row r="237" spans="3:16" x14ac:dyDescent="0.25">
      <c r="C237" s="5"/>
      <c r="P237" t="s">
        <v>524</v>
      </c>
    </row>
    <row r="238" spans="3:16" x14ac:dyDescent="0.25">
      <c r="C238" s="5"/>
      <c r="P238" t="s">
        <v>525</v>
      </c>
    </row>
    <row r="239" spans="3:16" x14ac:dyDescent="0.25">
      <c r="C239" s="5"/>
      <c r="P239" t="s">
        <v>526</v>
      </c>
    </row>
    <row r="240" spans="3:16" x14ac:dyDescent="0.25">
      <c r="C240" s="5"/>
      <c r="P240" t="s">
        <v>527</v>
      </c>
    </row>
    <row r="241" spans="3:16" x14ac:dyDescent="0.25">
      <c r="C241" s="5"/>
      <c r="P241" t="s">
        <v>528</v>
      </c>
    </row>
    <row r="242" spans="3:16" x14ac:dyDescent="0.25">
      <c r="C242" s="5"/>
      <c r="P242" t="s">
        <v>529</v>
      </c>
    </row>
    <row r="243" spans="3:16" x14ac:dyDescent="0.25">
      <c r="C243" s="5"/>
      <c r="P243" t="s">
        <v>530</v>
      </c>
    </row>
    <row r="244" spans="3:16" x14ac:dyDescent="0.25">
      <c r="C244" s="5"/>
      <c r="P244" t="s">
        <v>531</v>
      </c>
    </row>
    <row r="245" spans="3:16" x14ac:dyDescent="0.25">
      <c r="C245" s="5"/>
      <c r="P245" t="s">
        <v>532</v>
      </c>
    </row>
    <row r="246" spans="3:16" x14ac:dyDescent="0.25">
      <c r="C246" s="5"/>
      <c r="P246" t="s">
        <v>533</v>
      </c>
    </row>
    <row r="247" spans="3:16" x14ac:dyDescent="0.25">
      <c r="C247" s="5"/>
      <c r="P247" t="s">
        <v>534</v>
      </c>
    </row>
    <row r="248" spans="3:16" x14ac:dyDescent="0.25">
      <c r="C248" s="5"/>
      <c r="P248" t="s">
        <v>535</v>
      </c>
    </row>
    <row r="249" spans="3:16" x14ac:dyDescent="0.25">
      <c r="C249" s="5"/>
      <c r="P249" t="s">
        <v>536</v>
      </c>
    </row>
    <row r="250" spans="3:16" x14ac:dyDescent="0.25">
      <c r="C250" s="5"/>
      <c r="P250" t="s">
        <v>537</v>
      </c>
    </row>
    <row r="251" spans="3:16" x14ac:dyDescent="0.25">
      <c r="C251" s="5"/>
      <c r="P251" t="s">
        <v>538</v>
      </c>
    </row>
    <row r="252" spans="3:16" x14ac:dyDescent="0.25">
      <c r="C252" s="5"/>
      <c r="P252" t="s">
        <v>539</v>
      </c>
    </row>
    <row r="253" spans="3:16" x14ac:dyDescent="0.25">
      <c r="C253" s="5"/>
      <c r="P253" t="s">
        <v>540</v>
      </c>
    </row>
    <row r="254" spans="3:16" x14ac:dyDescent="0.25">
      <c r="C254" s="5"/>
      <c r="P254" t="s">
        <v>541</v>
      </c>
    </row>
    <row r="255" spans="3:16" x14ac:dyDescent="0.25">
      <c r="C255" s="5"/>
      <c r="P255" t="s">
        <v>542</v>
      </c>
    </row>
    <row r="256" spans="3:16" x14ac:dyDescent="0.25">
      <c r="C256" s="5"/>
      <c r="P256" t="s">
        <v>543</v>
      </c>
    </row>
    <row r="257" spans="3:16" x14ac:dyDescent="0.25">
      <c r="C257" s="5"/>
      <c r="P257" t="s">
        <v>544</v>
      </c>
    </row>
    <row r="258" spans="3:16" x14ac:dyDescent="0.25">
      <c r="C258" s="5"/>
      <c r="P258" t="s">
        <v>545</v>
      </c>
    </row>
    <row r="259" spans="3:16" x14ac:dyDescent="0.25">
      <c r="C259" s="5"/>
      <c r="P259" t="s">
        <v>546</v>
      </c>
    </row>
    <row r="260" spans="3:16" x14ac:dyDescent="0.25">
      <c r="C260" s="5"/>
      <c r="P260" t="s">
        <v>547</v>
      </c>
    </row>
    <row r="261" spans="3:16" x14ac:dyDescent="0.25">
      <c r="C261" s="5"/>
      <c r="P261" t="s">
        <v>548</v>
      </c>
    </row>
    <row r="262" spans="3:16" x14ac:dyDescent="0.25">
      <c r="C262" s="5"/>
      <c r="P262" t="s">
        <v>549</v>
      </c>
    </row>
    <row r="263" spans="3:16" x14ac:dyDescent="0.25">
      <c r="C263" s="5"/>
      <c r="P263" t="s">
        <v>550</v>
      </c>
    </row>
    <row r="264" spans="3:16" x14ac:dyDescent="0.25">
      <c r="C264" s="5"/>
      <c r="P264" t="s">
        <v>551</v>
      </c>
    </row>
    <row r="265" spans="3:16" x14ac:dyDescent="0.25">
      <c r="C265" s="5"/>
      <c r="P265" t="s">
        <v>552</v>
      </c>
    </row>
    <row r="266" spans="3:16" x14ac:dyDescent="0.25">
      <c r="C266" s="5"/>
      <c r="P266" t="s">
        <v>553</v>
      </c>
    </row>
    <row r="267" spans="3:16" x14ac:dyDescent="0.25">
      <c r="C267" s="5"/>
      <c r="P267" t="s">
        <v>554</v>
      </c>
    </row>
    <row r="268" spans="3:16" x14ac:dyDescent="0.25">
      <c r="C268" s="5"/>
      <c r="P268" t="s">
        <v>555</v>
      </c>
    </row>
    <row r="269" spans="3:16" x14ac:dyDescent="0.25">
      <c r="C269" s="5"/>
      <c r="P269" t="s">
        <v>556</v>
      </c>
    </row>
    <row r="270" spans="3:16" x14ac:dyDescent="0.25">
      <c r="C270" s="5"/>
      <c r="P270" t="s">
        <v>557</v>
      </c>
    </row>
    <row r="271" spans="3:16" x14ac:dyDescent="0.25">
      <c r="C271" s="5"/>
      <c r="P271" t="s">
        <v>558</v>
      </c>
    </row>
    <row r="272" spans="3:16" x14ac:dyDescent="0.25">
      <c r="C272" s="5"/>
      <c r="P272" t="s">
        <v>559</v>
      </c>
    </row>
    <row r="273" spans="3:16" x14ac:dyDescent="0.25">
      <c r="C273" s="5"/>
      <c r="P273" t="s">
        <v>560</v>
      </c>
    </row>
    <row r="274" spans="3:16" x14ac:dyDescent="0.25">
      <c r="C274" s="5"/>
      <c r="P274" t="s">
        <v>561</v>
      </c>
    </row>
    <row r="275" spans="3:16" x14ac:dyDescent="0.25">
      <c r="C275" s="5"/>
      <c r="P275" t="s">
        <v>562</v>
      </c>
    </row>
    <row r="276" spans="3:16" x14ac:dyDescent="0.25">
      <c r="C276" s="5"/>
      <c r="P276" t="s">
        <v>563</v>
      </c>
    </row>
    <row r="277" spans="3:16" x14ac:dyDescent="0.25">
      <c r="C277" s="5"/>
      <c r="P277" t="s">
        <v>564</v>
      </c>
    </row>
    <row r="278" spans="3:16" x14ac:dyDescent="0.25">
      <c r="C278" s="5"/>
      <c r="P278" t="s">
        <v>565</v>
      </c>
    </row>
    <row r="279" spans="3:16" x14ac:dyDescent="0.25">
      <c r="C279" s="5"/>
      <c r="P279" t="s">
        <v>566</v>
      </c>
    </row>
    <row r="280" spans="3:16" x14ac:dyDescent="0.25">
      <c r="C280" s="5"/>
      <c r="P280" t="s">
        <v>567</v>
      </c>
    </row>
    <row r="281" spans="3:16" x14ac:dyDescent="0.25">
      <c r="C281" s="5"/>
      <c r="P281" t="s">
        <v>568</v>
      </c>
    </row>
    <row r="282" spans="3:16" x14ac:dyDescent="0.25">
      <c r="C282" s="5"/>
      <c r="P282" t="s">
        <v>569</v>
      </c>
    </row>
    <row r="283" spans="3:16" x14ac:dyDescent="0.25">
      <c r="C283" s="5"/>
      <c r="P283" t="s">
        <v>570</v>
      </c>
    </row>
    <row r="284" spans="3:16" x14ac:dyDescent="0.25">
      <c r="C284" s="5"/>
      <c r="P284" t="s">
        <v>571</v>
      </c>
    </row>
    <row r="285" spans="3:16" x14ac:dyDescent="0.25">
      <c r="C285" s="5"/>
      <c r="P285" t="s">
        <v>572</v>
      </c>
    </row>
    <row r="286" spans="3:16" x14ac:dyDescent="0.25">
      <c r="C286" s="5"/>
      <c r="P286" t="s">
        <v>573</v>
      </c>
    </row>
    <row r="287" spans="3:16" x14ac:dyDescent="0.25">
      <c r="C287" s="5"/>
      <c r="P287" t="s">
        <v>574</v>
      </c>
    </row>
    <row r="288" spans="3:16" x14ac:dyDescent="0.25">
      <c r="C288" s="5"/>
      <c r="P288" t="s">
        <v>575</v>
      </c>
    </row>
    <row r="289" spans="3:16" x14ac:dyDescent="0.25">
      <c r="C289" s="5"/>
      <c r="P289" t="s">
        <v>576</v>
      </c>
    </row>
    <row r="290" spans="3:16" x14ac:dyDescent="0.25">
      <c r="C290" s="5"/>
      <c r="P290" t="s">
        <v>577</v>
      </c>
    </row>
    <row r="291" spans="3:16" x14ac:dyDescent="0.25">
      <c r="C291" s="5"/>
      <c r="P291" t="s">
        <v>578</v>
      </c>
    </row>
    <row r="292" spans="3:16" x14ac:dyDescent="0.25">
      <c r="C292" s="5"/>
      <c r="P292" t="s">
        <v>579</v>
      </c>
    </row>
    <row r="293" spans="3:16" x14ac:dyDescent="0.25">
      <c r="C293" s="5"/>
      <c r="P293" t="s">
        <v>580</v>
      </c>
    </row>
    <row r="294" spans="3:16" x14ac:dyDescent="0.25">
      <c r="C294" s="5"/>
      <c r="P294" t="s">
        <v>581</v>
      </c>
    </row>
    <row r="295" spans="3:16" x14ac:dyDescent="0.25">
      <c r="C295" s="5"/>
      <c r="P295" t="s">
        <v>582</v>
      </c>
    </row>
    <row r="296" spans="3:16" x14ac:dyDescent="0.25">
      <c r="C296" s="5"/>
      <c r="P296" t="s">
        <v>583</v>
      </c>
    </row>
    <row r="297" spans="3:16" x14ac:dyDescent="0.25">
      <c r="C297" s="5"/>
      <c r="P297" t="s">
        <v>584</v>
      </c>
    </row>
    <row r="298" spans="3:16" x14ac:dyDescent="0.25">
      <c r="C298" s="5"/>
      <c r="P298" t="s">
        <v>585</v>
      </c>
    </row>
    <row r="299" spans="3:16" x14ac:dyDescent="0.25">
      <c r="C299" s="5"/>
      <c r="P299" t="s">
        <v>586</v>
      </c>
    </row>
    <row r="300" spans="3:16" x14ac:dyDescent="0.25">
      <c r="C300" s="5"/>
      <c r="P300" t="s">
        <v>587</v>
      </c>
    </row>
    <row r="301" spans="3:16" x14ac:dyDescent="0.25">
      <c r="C301" s="5"/>
      <c r="P301" t="s">
        <v>588</v>
      </c>
    </row>
    <row r="302" spans="3:16" x14ac:dyDescent="0.25">
      <c r="C302" s="5"/>
      <c r="P302" t="s">
        <v>589</v>
      </c>
    </row>
    <row r="303" spans="3:16" x14ac:dyDescent="0.25">
      <c r="C303" s="5"/>
      <c r="P303" t="s">
        <v>590</v>
      </c>
    </row>
    <row r="304" spans="3:16" x14ac:dyDescent="0.25">
      <c r="C304" s="5"/>
      <c r="P304" t="s">
        <v>591</v>
      </c>
    </row>
    <row r="305" spans="3:16" x14ac:dyDescent="0.25">
      <c r="C305" s="5"/>
      <c r="P305" t="s">
        <v>592</v>
      </c>
    </row>
    <row r="306" spans="3:16" x14ac:dyDescent="0.25">
      <c r="C306" s="5"/>
      <c r="P306" t="s">
        <v>593</v>
      </c>
    </row>
    <row r="307" spans="3:16" x14ac:dyDescent="0.25">
      <c r="C307" s="5"/>
      <c r="P307" t="s">
        <v>594</v>
      </c>
    </row>
    <row r="308" spans="3:16" x14ac:dyDescent="0.25">
      <c r="C308" s="5"/>
      <c r="P308" t="s">
        <v>595</v>
      </c>
    </row>
    <row r="309" spans="3:16" x14ac:dyDescent="0.25">
      <c r="C309" s="5"/>
      <c r="P309" t="s">
        <v>596</v>
      </c>
    </row>
    <row r="310" spans="3:16" x14ac:dyDescent="0.25">
      <c r="C310" s="5"/>
      <c r="P310" t="s">
        <v>597</v>
      </c>
    </row>
    <row r="311" spans="3:16" x14ac:dyDescent="0.25">
      <c r="C311" s="5"/>
      <c r="P311" t="s">
        <v>598</v>
      </c>
    </row>
    <row r="312" spans="3:16" x14ac:dyDescent="0.25">
      <c r="C312" s="5"/>
      <c r="P312" t="s">
        <v>599</v>
      </c>
    </row>
    <row r="313" spans="3:16" x14ac:dyDescent="0.25">
      <c r="C313" s="5"/>
      <c r="P313" t="s">
        <v>600</v>
      </c>
    </row>
    <row r="314" spans="3:16" x14ac:dyDescent="0.25">
      <c r="C314" s="5"/>
      <c r="P314" t="s">
        <v>601</v>
      </c>
    </row>
    <row r="315" spans="3:16" x14ac:dyDescent="0.25">
      <c r="C315" s="5"/>
      <c r="P315" t="s">
        <v>602</v>
      </c>
    </row>
    <row r="316" spans="3:16" x14ac:dyDescent="0.25">
      <c r="C316" s="5"/>
      <c r="P316" t="s">
        <v>603</v>
      </c>
    </row>
    <row r="317" spans="3:16" x14ac:dyDescent="0.25">
      <c r="C317" s="5"/>
      <c r="P317" t="s">
        <v>604</v>
      </c>
    </row>
    <row r="318" spans="3:16" x14ac:dyDescent="0.25">
      <c r="C318" s="5"/>
      <c r="P318" t="s">
        <v>605</v>
      </c>
    </row>
    <row r="319" spans="3:16" x14ac:dyDescent="0.25">
      <c r="C319" s="5"/>
      <c r="P319" t="s">
        <v>606</v>
      </c>
    </row>
    <row r="320" spans="3:16" x14ac:dyDescent="0.25">
      <c r="C320" s="5"/>
      <c r="P320" t="s">
        <v>607</v>
      </c>
    </row>
    <row r="321" spans="3:16" x14ac:dyDescent="0.25">
      <c r="C321" s="5"/>
      <c r="P321" t="s">
        <v>608</v>
      </c>
    </row>
    <row r="322" spans="3:16" x14ac:dyDescent="0.25">
      <c r="C322" s="5"/>
      <c r="P322" t="s">
        <v>609</v>
      </c>
    </row>
    <row r="323" spans="3:16" x14ac:dyDescent="0.25">
      <c r="C323" s="5"/>
      <c r="P323" t="s">
        <v>610</v>
      </c>
    </row>
    <row r="324" spans="3:16" x14ac:dyDescent="0.25">
      <c r="C324" s="5"/>
      <c r="P324" t="s">
        <v>611</v>
      </c>
    </row>
    <row r="325" spans="3:16" x14ac:dyDescent="0.25">
      <c r="C325" s="5"/>
      <c r="P325" t="s">
        <v>612</v>
      </c>
    </row>
    <row r="326" spans="3:16" x14ac:dyDescent="0.25">
      <c r="C326" s="5"/>
      <c r="P326" t="s">
        <v>613</v>
      </c>
    </row>
    <row r="327" spans="3:16" x14ac:dyDescent="0.25">
      <c r="C327" s="5"/>
      <c r="P327" t="s">
        <v>614</v>
      </c>
    </row>
    <row r="328" spans="3:16" x14ac:dyDescent="0.25">
      <c r="C328" s="5"/>
      <c r="P328" t="s">
        <v>615</v>
      </c>
    </row>
    <row r="329" spans="3:16" x14ac:dyDescent="0.25">
      <c r="C329" s="5"/>
      <c r="P329" t="s">
        <v>616</v>
      </c>
    </row>
    <row r="330" spans="3:16" x14ac:dyDescent="0.25">
      <c r="C330" s="5"/>
      <c r="P330" t="s">
        <v>617</v>
      </c>
    </row>
    <row r="331" spans="3:16" x14ac:dyDescent="0.25">
      <c r="C331" s="5"/>
      <c r="P331" t="s">
        <v>618</v>
      </c>
    </row>
    <row r="332" spans="3:16" x14ac:dyDescent="0.25">
      <c r="C332" s="5"/>
      <c r="P332" t="s">
        <v>619</v>
      </c>
    </row>
    <row r="333" spans="3:16" x14ac:dyDescent="0.25">
      <c r="C333" s="5"/>
      <c r="P333" t="s">
        <v>620</v>
      </c>
    </row>
    <row r="334" spans="3:16" x14ac:dyDescent="0.25">
      <c r="C334" s="5"/>
      <c r="P334" t="s">
        <v>621</v>
      </c>
    </row>
    <row r="335" spans="3:16" x14ac:dyDescent="0.25">
      <c r="C335" s="5"/>
      <c r="P335" t="s">
        <v>622</v>
      </c>
    </row>
    <row r="336" spans="3:16" x14ac:dyDescent="0.25">
      <c r="C336" s="5"/>
      <c r="P336" t="s">
        <v>623</v>
      </c>
    </row>
    <row r="337" spans="3:16" x14ac:dyDescent="0.25">
      <c r="C337" s="5"/>
      <c r="P337" t="s">
        <v>624</v>
      </c>
    </row>
    <row r="338" spans="3:16" x14ac:dyDescent="0.25">
      <c r="C338" s="5"/>
      <c r="P338" t="s">
        <v>625</v>
      </c>
    </row>
    <row r="339" spans="3:16" x14ac:dyDescent="0.25">
      <c r="C339" s="5"/>
      <c r="P339" t="s">
        <v>626</v>
      </c>
    </row>
    <row r="340" spans="3:16" x14ac:dyDescent="0.25">
      <c r="C340" s="5"/>
      <c r="P340" t="s">
        <v>627</v>
      </c>
    </row>
    <row r="341" spans="3:16" x14ac:dyDescent="0.25">
      <c r="C341" s="5"/>
      <c r="P341" t="s">
        <v>628</v>
      </c>
    </row>
    <row r="342" spans="3:16" x14ac:dyDescent="0.25">
      <c r="C342" s="5"/>
      <c r="P342" t="s">
        <v>629</v>
      </c>
    </row>
    <row r="343" spans="3:16" x14ac:dyDescent="0.25">
      <c r="C343" s="5"/>
      <c r="P343" t="s">
        <v>630</v>
      </c>
    </row>
    <row r="344" spans="3:16" x14ac:dyDescent="0.25">
      <c r="C344" s="5"/>
      <c r="P344" t="s">
        <v>631</v>
      </c>
    </row>
    <row r="345" spans="3:16" x14ac:dyDescent="0.25">
      <c r="C345" s="5"/>
      <c r="P345" t="s">
        <v>632</v>
      </c>
    </row>
    <row r="346" spans="3:16" x14ac:dyDescent="0.25">
      <c r="C346" s="5"/>
      <c r="P346" t="s">
        <v>633</v>
      </c>
    </row>
    <row r="347" spans="3:16" x14ac:dyDescent="0.25">
      <c r="C347" s="5"/>
      <c r="P347" t="s">
        <v>634</v>
      </c>
    </row>
    <row r="348" spans="3:16" x14ac:dyDescent="0.25">
      <c r="C348" s="5"/>
      <c r="P348" t="s">
        <v>635</v>
      </c>
    </row>
    <row r="349" spans="3:16" x14ac:dyDescent="0.25">
      <c r="C349" s="5"/>
      <c r="P349" t="s">
        <v>636</v>
      </c>
    </row>
    <row r="350" spans="3:16" x14ac:dyDescent="0.25">
      <c r="C350" s="5"/>
      <c r="P350" t="s">
        <v>637</v>
      </c>
    </row>
    <row r="351" spans="3:16" x14ac:dyDescent="0.25">
      <c r="C351" s="5"/>
      <c r="P351" t="s">
        <v>638</v>
      </c>
    </row>
    <row r="352" spans="3:16" x14ac:dyDescent="0.25">
      <c r="C352" s="5"/>
      <c r="P352" t="s">
        <v>639</v>
      </c>
    </row>
    <row r="353" spans="3:16" x14ac:dyDescent="0.25">
      <c r="C353" s="5"/>
      <c r="P353" t="s">
        <v>640</v>
      </c>
    </row>
    <row r="354" spans="3:16" x14ac:dyDescent="0.25">
      <c r="C354" s="5"/>
      <c r="P354" t="s">
        <v>641</v>
      </c>
    </row>
    <row r="355" spans="3:16" x14ac:dyDescent="0.25">
      <c r="C355" s="5"/>
      <c r="P355" t="s">
        <v>642</v>
      </c>
    </row>
    <row r="356" spans="3:16" x14ac:dyDescent="0.25">
      <c r="C356" s="5"/>
      <c r="P356" t="s">
        <v>643</v>
      </c>
    </row>
    <row r="357" spans="3:16" x14ac:dyDescent="0.25">
      <c r="C357" s="5"/>
      <c r="P357" t="s">
        <v>644</v>
      </c>
    </row>
    <row r="358" spans="3:16" x14ac:dyDescent="0.25">
      <c r="C358" s="5"/>
      <c r="P358" t="s">
        <v>645</v>
      </c>
    </row>
    <row r="359" spans="3:16" x14ac:dyDescent="0.25">
      <c r="C359" s="5"/>
      <c r="P359" t="s">
        <v>646</v>
      </c>
    </row>
    <row r="360" spans="3:16" x14ac:dyDescent="0.25">
      <c r="C360" s="5"/>
      <c r="P360" t="s">
        <v>647</v>
      </c>
    </row>
    <row r="361" spans="3:16" x14ac:dyDescent="0.25">
      <c r="C361" s="5"/>
      <c r="P361" t="s">
        <v>648</v>
      </c>
    </row>
    <row r="362" spans="3:16" x14ac:dyDescent="0.25">
      <c r="C362" s="5"/>
      <c r="P362" t="s">
        <v>649</v>
      </c>
    </row>
    <row r="363" spans="3:16" x14ac:dyDescent="0.25">
      <c r="C363" s="5"/>
      <c r="P363" t="s">
        <v>650</v>
      </c>
    </row>
    <row r="364" spans="3:16" x14ac:dyDescent="0.25">
      <c r="C364" s="5"/>
      <c r="P364" t="s">
        <v>651</v>
      </c>
    </row>
    <row r="365" spans="3:16" x14ac:dyDescent="0.25">
      <c r="C365" s="5"/>
      <c r="P365" t="s">
        <v>652</v>
      </c>
    </row>
    <row r="366" spans="3:16" x14ac:dyDescent="0.25">
      <c r="C366" s="5"/>
      <c r="P366" t="s">
        <v>653</v>
      </c>
    </row>
    <row r="367" spans="3:16" x14ac:dyDescent="0.25">
      <c r="C367" s="5"/>
      <c r="P367" t="s">
        <v>654</v>
      </c>
    </row>
    <row r="368" spans="3:16" x14ac:dyDescent="0.25">
      <c r="C368" s="5"/>
      <c r="P368" t="s">
        <v>655</v>
      </c>
    </row>
    <row r="369" spans="3:16" x14ac:dyDescent="0.25">
      <c r="C369" s="5"/>
      <c r="P369" t="s">
        <v>656</v>
      </c>
    </row>
    <row r="370" spans="3:16" x14ac:dyDescent="0.25">
      <c r="C370" s="5"/>
      <c r="P370" t="s">
        <v>657</v>
      </c>
    </row>
    <row r="371" spans="3:16" x14ac:dyDescent="0.25">
      <c r="C371" s="5"/>
      <c r="P371" t="s">
        <v>658</v>
      </c>
    </row>
    <row r="372" spans="3:16" x14ac:dyDescent="0.25">
      <c r="C372" s="5"/>
      <c r="P372" t="s">
        <v>659</v>
      </c>
    </row>
    <row r="373" spans="3:16" x14ac:dyDescent="0.25">
      <c r="C373" s="5"/>
      <c r="P373" t="s">
        <v>660</v>
      </c>
    </row>
    <row r="374" spans="3:16" x14ac:dyDescent="0.25">
      <c r="C374" s="5"/>
      <c r="P374" t="s">
        <v>661</v>
      </c>
    </row>
    <row r="375" spans="3:16" x14ac:dyDescent="0.25">
      <c r="C375" s="5"/>
      <c r="P375" t="s">
        <v>662</v>
      </c>
    </row>
    <row r="376" spans="3:16" x14ac:dyDescent="0.25">
      <c r="C376" s="5"/>
      <c r="P376" t="s">
        <v>663</v>
      </c>
    </row>
    <row r="377" spans="3:16" x14ac:dyDescent="0.25">
      <c r="C377" s="5"/>
      <c r="P377" t="s">
        <v>664</v>
      </c>
    </row>
    <row r="378" spans="3:16" x14ac:dyDescent="0.25">
      <c r="C378" s="5"/>
      <c r="P378" t="s">
        <v>665</v>
      </c>
    </row>
    <row r="379" spans="3:16" x14ac:dyDescent="0.25">
      <c r="C379" s="5"/>
      <c r="P379" t="s">
        <v>666</v>
      </c>
    </row>
    <row r="380" spans="3:16" x14ac:dyDescent="0.25">
      <c r="C380" s="5"/>
      <c r="P380" t="s">
        <v>667</v>
      </c>
    </row>
    <row r="381" spans="3:16" x14ac:dyDescent="0.25">
      <c r="C381" s="5"/>
      <c r="P381" t="s">
        <v>668</v>
      </c>
    </row>
    <row r="382" spans="3:16" x14ac:dyDescent="0.25">
      <c r="C382" s="5"/>
      <c r="P382" t="s">
        <v>669</v>
      </c>
    </row>
    <row r="383" spans="3:16" x14ac:dyDescent="0.25">
      <c r="C383" s="5"/>
      <c r="P383" t="s">
        <v>670</v>
      </c>
    </row>
    <row r="384" spans="3:16" x14ac:dyDescent="0.25">
      <c r="C384" s="5"/>
      <c r="P384" t="s">
        <v>671</v>
      </c>
    </row>
    <row r="385" spans="3:16" x14ac:dyDescent="0.25">
      <c r="C385" s="5"/>
      <c r="P385" t="s">
        <v>672</v>
      </c>
    </row>
    <row r="386" spans="3:16" x14ac:dyDescent="0.25">
      <c r="C386" s="5"/>
      <c r="P386" t="s">
        <v>673</v>
      </c>
    </row>
    <row r="387" spans="3:16" x14ac:dyDescent="0.25">
      <c r="C387" s="5"/>
      <c r="P387" t="s">
        <v>674</v>
      </c>
    </row>
    <row r="388" spans="3:16" x14ac:dyDescent="0.25">
      <c r="C388" s="5"/>
      <c r="P388" t="s">
        <v>675</v>
      </c>
    </row>
    <row r="389" spans="3:16" x14ac:dyDescent="0.25">
      <c r="C389" s="5"/>
      <c r="P389" t="s">
        <v>676</v>
      </c>
    </row>
    <row r="390" spans="3:16" x14ac:dyDescent="0.25">
      <c r="C390" s="5"/>
      <c r="P390" t="s">
        <v>677</v>
      </c>
    </row>
    <row r="391" spans="3:16" x14ac:dyDescent="0.25">
      <c r="C391" s="5"/>
      <c r="P391" t="s">
        <v>678</v>
      </c>
    </row>
    <row r="392" spans="3:16" x14ac:dyDescent="0.25">
      <c r="C392" s="5"/>
      <c r="P392" t="s">
        <v>679</v>
      </c>
    </row>
    <row r="393" spans="3:16" x14ac:dyDescent="0.25">
      <c r="C393" s="5"/>
      <c r="P393" t="s">
        <v>680</v>
      </c>
    </row>
    <row r="394" spans="3:16" x14ac:dyDescent="0.25">
      <c r="C394" s="5"/>
      <c r="P394" t="s">
        <v>681</v>
      </c>
    </row>
    <row r="395" spans="3:16" x14ac:dyDescent="0.25">
      <c r="C395" s="5"/>
      <c r="P395" t="s">
        <v>682</v>
      </c>
    </row>
    <row r="396" spans="3:16" x14ac:dyDescent="0.25">
      <c r="C396" s="5"/>
      <c r="P396" t="s">
        <v>683</v>
      </c>
    </row>
    <row r="397" spans="3:16" x14ac:dyDescent="0.25">
      <c r="C397" s="5"/>
      <c r="P397" t="s">
        <v>684</v>
      </c>
    </row>
    <row r="398" spans="3:16" x14ac:dyDescent="0.25">
      <c r="C398" s="5"/>
      <c r="P398" t="s">
        <v>685</v>
      </c>
    </row>
    <row r="399" spans="3:16" x14ac:dyDescent="0.25">
      <c r="C399" s="5"/>
      <c r="P399" t="s">
        <v>686</v>
      </c>
    </row>
    <row r="400" spans="3:16" x14ac:dyDescent="0.25">
      <c r="C400" s="5"/>
      <c r="P400" t="s">
        <v>687</v>
      </c>
    </row>
    <row r="401" spans="3:16" x14ac:dyDescent="0.25">
      <c r="C401" s="5"/>
      <c r="P401" t="s">
        <v>688</v>
      </c>
    </row>
    <row r="402" spans="3:16" x14ac:dyDescent="0.25">
      <c r="C402" s="5"/>
      <c r="P402" t="s">
        <v>689</v>
      </c>
    </row>
    <row r="403" spans="3:16" x14ac:dyDescent="0.25">
      <c r="C403" s="5"/>
      <c r="P403" t="s">
        <v>690</v>
      </c>
    </row>
    <row r="404" spans="3:16" x14ac:dyDescent="0.25">
      <c r="C404" s="5"/>
      <c r="P404" t="s">
        <v>691</v>
      </c>
    </row>
    <row r="405" spans="3:16" x14ac:dyDescent="0.25">
      <c r="C405" s="5"/>
      <c r="P405" t="s">
        <v>692</v>
      </c>
    </row>
    <row r="406" spans="3:16" x14ac:dyDescent="0.25">
      <c r="C406" s="5"/>
      <c r="P406" t="s">
        <v>693</v>
      </c>
    </row>
    <row r="407" spans="3:16" x14ac:dyDescent="0.25">
      <c r="C407" s="5"/>
      <c r="P407" t="s">
        <v>694</v>
      </c>
    </row>
    <row r="408" spans="3:16" x14ac:dyDescent="0.25">
      <c r="C408" s="5"/>
      <c r="P408" t="s">
        <v>695</v>
      </c>
    </row>
    <row r="409" spans="3:16" x14ac:dyDescent="0.25">
      <c r="C409" s="5"/>
      <c r="P409" t="s">
        <v>696</v>
      </c>
    </row>
    <row r="410" spans="3:16" x14ac:dyDescent="0.25">
      <c r="C410" s="5"/>
      <c r="P410" t="s">
        <v>697</v>
      </c>
    </row>
    <row r="411" spans="3:16" x14ac:dyDescent="0.25">
      <c r="C411" s="5"/>
      <c r="P411" t="s">
        <v>698</v>
      </c>
    </row>
    <row r="412" spans="3:16" x14ac:dyDescent="0.25">
      <c r="C412" s="5"/>
      <c r="P412" t="s">
        <v>699</v>
      </c>
    </row>
    <row r="413" spans="3:16" x14ac:dyDescent="0.25">
      <c r="C413" s="5"/>
      <c r="P413" t="s">
        <v>22</v>
      </c>
    </row>
    <row r="414" spans="3:16" x14ac:dyDescent="0.25">
      <c r="C414" s="5"/>
      <c r="P414" t="s">
        <v>700</v>
      </c>
    </row>
    <row r="415" spans="3:16" x14ac:dyDescent="0.25">
      <c r="C415" s="5"/>
      <c r="P415" t="s">
        <v>701</v>
      </c>
    </row>
    <row r="416" spans="3:16" x14ac:dyDescent="0.25">
      <c r="C416" s="5"/>
      <c r="P416" t="s">
        <v>702</v>
      </c>
    </row>
    <row r="417" spans="3:16" x14ac:dyDescent="0.25">
      <c r="C417" s="5"/>
      <c r="P417" t="s">
        <v>703</v>
      </c>
    </row>
    <row r="418" spans="3:16" x14ac:dyDescent="0.25">
      <c r="C418" s="5"/>
      <c r="P418" t="s">
        <v>704</v>
      </c>
    </row>
    <row r="419" spans="3:16" x14ac:dyDescent="0.25">
      <c r="C419" s="5"/>
      <c r="P419" t="s">
        <v>705</v>
      </c>
    </row>
    <row r="420" spans="3:16" x14ac:dyDescent="0.25">
      <c r="C420" s="5"/>
      <c r="P420" t="s">
        <v>706</v>
      </c>
    </row>
    <row r="421" spans="3:16" x14ac:dyDescent="0.25">
      <c r="C421" s="5"/>
      <c r="P421" t="s">
        <v>707</v>
      </c>
    </row>
    <row r="422" spans="3:16" x14ac:dyDescent="0.25">
      <c r="C422" s="5"/>
      <c r="P422" t="s">
        <v>708</v>
      </c>
    </row>
    <row r="423" spans="3:16" x14ac:dyDescent="0.25">
      <c r="C423" s="5"/>
      <c r="P423" t="s">
        <v>709</v>
      </c>
    </row>
    <row r="424" spans="3:16" x14ac:dyDescent="0.25">
      <c r="C424" s="5"/>
      <c r="P424" t="s">
        <v>710</v>
      </c>
    </row>
    <row r="425" spans="3:16" x14ac:dyDescent="0.25">
      <c r="C425" s="5"/>
      <c r="P425" t="s">
        <v>23</v>
      </c>
    </row>
    <row r="426" spans="3:16" x14ac:dyDescent="0.25">
      <c r="C426" s="5"/>
      <c r="P426" t="s">
        <v>711</v>
      </c>
    </row>
    <row r="427" spans="3:16" x14ac:dyDescent="0.25">
      <c r="C427" s="5"/>
      <c r="P427" t="s">
        <v>712</v>
      </c>
    </row>
    <row r="428" spans="3:16" x14ac:dyDescent="0.25">
      <c r="C428" s="5"/>
      <c r="P428" t="s">
        <v>713</v>
      </c>
    </row>
    <row r="429" spans="3:16" x14ac:dyDescent="0.25">
      <c r="C429" s="5"/>
      <c r="P429" t="s">
        <v>714</v>
      </c>
    </row>
    <row r="430" spans="3:16" x14ac:dyDescent="0.25">
      <c r="C430" s="5"/>
      <c r="P430" t="s">
        <v>715</v>
      </c>
    </row>
    <row r="431" spans="3:16" x14ac:dyDescent="0.25">
      <c r="C431" s="5"/>
      <c r="P431" t="s">
        <v>716</v>
      </c>
    </row>
    <row r="432" spans="3:16" x14ac:dyDescent="0.25">
      <c r="C432" s="5"/>
      <c r="P432" t="s">
        <v>717</v>
      </c>
    </row>
    <row r="433" spans="3:16" x14ac:dyDescent="0.25">
      <c r="C433" s="5"/>
      <c r="P433" t="s">
        <v>718</v>
      </c>
    </row>
    <row r="434" spans="3:16" x14ac:dyDescent="0.25">
      <c r="C434" s="5"/>
      <c r="P434" t="s">
        <v>719</v>
      </c>
    </row>
    <row r="435" spans="3:16" x14ac:dyDescent="0.25">
      <c r="C435" s="5"/>
      <c r="P435" t="s">
        <v>720</v>
      </c>
    </row>
    <row r="436" spans="3:16" x14ac:dyDescent="0.25">
      <c r="C436" s="5"/>
      <c r="P436" t="s">
        <v>721</v>
      </c>
    </row>
    <row r="437" spans="3:16" x14ac:dyDescent="0.25">
      <c r="C437" s="5"/>
      <c r="P437" t="s">
        <v>722</v>
      </c>
    </row>
    <row r="438" spans="3:16" x14ac:dyDescent="0.25">
      <c r="C438" s="5"/>
      <c r="P438" t="s">
        <v>723</v>
      </c>
    </row>
    <row r="439" spans="3:16" x14ac:dyDescent="0.25">
      <c r="C439" s="5"/>
      <c r="P439" t="s">
        <v>724</v>
      </c>
    </row>
    <row r="440" spans="3:16" x14ac:dyDescent="0.25">
      <c r="C440" s="5"/>
      <c r="P440" t="s">
        <v>725</v>
      </c>
    </row>
    <row r="441" spans="3:16" x14ac:dyDescent="0.25">
      <c r="C441" s="5"/>
      <c r="P441" t="s">
        <v>726</v>
      </c>
    </row>
    <row r="442" spans="3:16" x14ac:dyDescent="0.25">
      <c r="C442" s="5"/>
      <c r="P442" t="s">
        <v>727</v>
      </c>
    </row>
    <row r="443" spans="3:16" x14ac:dyDescent="0.25">
      <c r="C443" s="5"/>
      <c r="P443" t="s">
        <v>728</v>
      </c>
    </row>
    <row r="444" spans="3:16" x14ac:dyDescent="0.25">
      <c r="C444" s="5"/>
      <c r="P444" t="s">
        <v>729</v>
      </c>
    </row>
    <row r="445" spans="3:16" x14ac:dyDescent="0.25">
      <c r="C445" s="5"/>
      <c r="P445" t="s">
        <v>730</v>
      </c>
    </row>
    <row r="446" spans="3:16" x14ac:dyDescent="0.25">
      <c r="C446" s="5"/>
      <c r="P446" t="s">
        <v>731</v>
      </c>
    </row>
    <row r="447" spans="3:16" x14ac:dyDescent="0.25">
      <c r="C447" s="5"/>
      <c r="P447" t="s">
        <v>732</v>
      </c>
    </row>
    <row r="448" spans="3:16" x14ac:dyDescent="0.25">
      <c r="C448" s="5"/>
      <c r="P448" t="s">
        <v>733</v>
      </c>
    </row>
    <row r="449" spans="3:16" x14ac:dyDescent="0.25">
      <c r="C449" s="5"/>
      <c r="P449" t="s">
        <v>734</v>
      </c>
    </row>
    <row r="450" spans="3:16" x14ac:dyDescent="0.25">
      <c r="C450" s="5"/>
      <c r="P450" t="s">
        <v>735</v>
      </c>
    </row>
    <row r="451" spans="3:16" x14ac:dyDescent="0.25">
      <c r="C451" s="5"/>
      <c r="P451" t="s">
        <v>736</v>
      </c>
    </row>
    <row r="452" spans="3:16" x14ac:dyDescent="0.25">
      <c r="C452" s="5"/>
      <c r="P452" t="s">
        <v>737</v>
      </c>
    </row>
    <row r="453" spans="3:16" x14ac:dyDescent="0.25">
      <c r="C453" s="5"/>
      <c r="P453" t="s">
        <v>738</v>
      </c>
    </row>
    <row r="454" spans="3:16" x14ac:dyDescent="0.25">
      <c r="C454" s="5"/>
      <c r="P454" t="s">
        <v>739</v>
      </c>
    </row>
    <row r="455" spans="3:16" x14ac:dyDescent="0.25">
      <c r="C455" s="5"/>
      <c r="P455" t="s">
        <v>740</v>
      </c>
    </row>
    <row r="456" spans="3:16" x14ac:dyDescent="0.25">
      <c r="C456" s="5"/>
      <c r="P456" t="s">
        <v>741</v>
      </c>
    </row>
    <row r="457" spans="3:16" x14ac:dyDescent="0.25">
      <c r="C457" s="5"/>
      <c r="P457" t="s">
        <v>742</v>
      </c>
    </row>
    <row r="458" spans="3:16" x14ac:dyDescent="0.25">
      <c r="C458" s="5"/>
      <c r="P458" t="s">
        <v>743</v>
      </c>
    </row>
    <row r="459" spans="3:16" x14ac:dyDescent="0.25">
      <c r="C459" s="5"/>
      <c r="P459" t="s">
        <v>744</v>
      </c>
    </row>
    <row r="460" spans="3:16" x14ac:dyDescent="0.25">
      <c r="C460" s="5"/>
      <c r="P460" t="s">
        <v>745</v>
      </c>
    </row>
    <row r="461" spans="3:16" x14ac:dyDescent="0.25">
      <c r="C461" s="5"/>
      <c r="P461" t="s">
        <v>746</v>
      </c>
    </row>
    <row r="462" spans="3:16" x14ac:dyDescent="0.25">
      <c r="C462" s="5"/>
      <c r="P462" t="s">
        <v>747</v>
      </c>
    </row>
    <row r="463" spans="3:16" x14ac:dyDescent="0.25">
      <c r="C463" s="5"/>
      <c r="P463" t="s">
        <v>748</v>
      </c>
    </row>
    <row r="464" spans="3:16" x14ac:dyDescent="0.25">
      <c r="C464" s="5"/>
      <c r="P464" t="s">
        <v>749</v>
      </c>
    </row>
    <row r="465" spans="3:16" x14ac:dyDescent="0.25">
      <c r="C465" s="5"/>
      <c r="P465" t="s">
        <v>750</v>
      </c>
    </row>
    <row r="466" spans="3:16" x14ac:dyDescent="0.25">
      <c r="C466" s="5"/>
      <c r="P466" t="s">
        <v>751</v>
      </c>
    </row>
    <row r="467" spans="3:16" x14ac:dyDescent="0.25">
      <c r="C467" s="5"/>
      <c r="P467" t="s">
        <v>752</v>
      </c>
    </row>
    <row r="468" spans="3:16" x14ac:dyDescent="0.25">
      <c r="C468" s="5"/>
      <c r="P468" t="s">
        <v>753</v>
      </c>
    </row>
    <row r="469" spans="3:16" x14ac:dyDescent="0.25">
      <c r="C469" s="5"/>
      <c r="P469" t="s">
        <v>754</v>
      </c>
    </row>
    <row r="470" spans="3:16" x14ac:dyDescent="0.25">
      <c r="C470" s="5"/>
      <c r="P470" t="s">
        <v>755</v>
      </c>
    </row>
    <row r="471" spans="3:16" x14ac:dyDescent="0.25">
      <c r="C471" s="5"/>
      <c r="P471" t="s">
        <v>756</v>
      </c>
    </row>
    <row r="472" spans="3:16" x14ac:dyDescent="0.25">
      <c r="C472" s="5"/>
      <c r="P472" t="s">
        <v>757</v>
      </c>
    </row>
    <row r="473" spans="3:16" x14ac:dyDescent="0.25">
      <c r="C473" s="5"/>
      <c r="P473" t="s">
        <v>758</v>
      </c>
    </row>
    <row r="474" spans="3:16" x14ac:dyDescent="0.25">
      <c r="C474" s="5"/>
      <c r="P474" t="s">
        <v>759</v>
      </c>
    </row>
    <row r="475" spans="3:16" x14ac:dyDescent="0.25">
      <c r="C475" s="5"/>
      <c r="P475" t="s">
        <v>760</v>
      </c>
    </row>
    <row r="476" spans="3:16" x14ac:dyDescent="0.25">
      <c r="C476" s="5"/>
      <c r="P476" t="s">
        <v>761</v>
      </c>
    </row>
    <row r="477" spans="3:16" x14ac:dyDescent="0.25">
      <c r="C477" s="5"/>
      <c r="P477" t="s">
        <v>762</v>
      </c>
    </row>
    <row r="478" spans="3:16" x14ac:dyDescent="0.25">
      <c r="C478" s="5"/>
      <c r="P478" t="s">
        <v>763</v>
      </c>
    </row>
    <row r="479" spans="3:16" x14ac:dyDescent="0.25">
      <c r="C479" s="5"/>
      <c r="P479" t="s">
        <v>764</v>
      </c>
    </row>
    <row r="480" spans="3:16" x14ac:dyDescent="0.25">
      <c r="C480" s="5"/>
      <c r="P480" t="s">
        <v>765</v>
      </c>
    </row>
    <row r="481" spans="3:16" x14ac:dyDescent="0.25">
      <c r="C481" s="5"/>
      <c r="P481" t="s">
        <v>766</v>
      </c>
    </row>
    <row r="482" spans="3:16" x14ac:dyDescent="0.25">
      <c r="C482" s="5"/>
      <c r="P482" t="s">
        <v>767</v>
      </c>
    </row>
    <row r="483" spans="3:16" x14ac:dyDescent="0.25">
      <c r="C483" s="5"/>
      <c r="P483" t="s">
        <v>768</v>
      </c>
    </row>
    <row r="484" spans="3:16" x14ac:dyDescent="0.25">
      <c r="C484" s="5"/>
      <c r="P484" t="s">
        <v>769</v>
      </c>
    </row>
    <row r="485" spans="3:16" x14ac:dyDescent="0.25">
      <c r="C485" s="5"/>
      <c r="P485" t="s">
        <v>770</v>
      </c>
    </row>
    <row r="486" spans="3:16" x14ac:dyDescent="0.25">
      <c r="C486" s="5"/>
      <c r="P486" t="s">
        <v>771</v>
      </c>
    </row>
    <row r="487" spans="3:16" x14ac:dyDescent="0.25">
      <c r="C487" s="5"/>
      <c r="P487" t="s">
        <v>772</v>
      </c>
    </row>
    <row r="488" spans="3:16" x14ac:dyDescent="0.25">
      <c r="C488" s="5"/>
      <c r="P488" t="s">
        <v>773</v>
      </c>
    </row>
    <row r="489" spans="3:16" x14ac:dyDescent="0.25">
      <c r="C489" s="5"/>
      <c r="P489" t="s">
        <v>774</v>
      </c>
    </row>
    <row r="490" spans="3:16" x14ac:dyDescent="0.25">
      <c r="C490" s="5"/>
      <c r="P490" t="s">
        <v>775</v>
      </c>
    </row>
    <row r="491" spans="3:16" x14ac:dyDescent="0.25">
      <c r="C491" s="5"/>
      <c r="P491" t="s">
        <v>776</v>
      </c>
    </row>
    <row r="492" spans="3:16" x14ac:dyDescent="0.25">
      <c r="C492" s="5"/>
      <c r="P492" t="s">
        <v>777</v>
      </c>
    </row>
    <row r="493" spans="3:16" x14ac:dyDescent="0.25">
      <c r="C493" s="5"/>
      <c r="P493" t="s">
        <v>778</v>
      </c>
    </row>
    <row r="494" spans="3:16" x14ac:dyDescent="0.25">
      <c r="C494" s="5"/>
      <c r="P494" t="s">
        <v>779</v>
      </c>
    </row>
    <row r="495" spans="3:16" x14ac:dyDescent="0.25">
      <c r="C495" s="5"/>
      <c r="P495" t="s">
        <v>780</v>
      </c>
    </row>
    <row r="496" spans="3:16" x14ac:dyDescent="0.25">
      <c r="C496" s="5"/>
      <c r="P496" t="s">
        <v>781</v>
      </c>
    </row>
    <row r="497" spans="3:16" x14ac:dyDescent="0.25">
      <c r="C497" s="5"/>
      <c r="P497" t="s">
        <v>782</v>
      </c>
    </row>
    <row r="498" spans="3:16" x14ac:dyDescent="0.25">
      <c r="C498" s="5"/>
      <c r="P498" t="s">
        <v>783</v>
      </c>
    </row>
    <row r="499" spans="3:16" x14ac:dyDescent="0.25">
      <c r="C499" s="5"/>
      <c r="P499" t="s">
        <v>784</v>
      </c>
    </row>
    <row r="500" spans="3:16" x14ac:dyDescent="0.25">
      <c r="C500" s="5"/>
      <c r="P500" t="s">
        <v>785</v>
      </c>
    </row>
    <row r="501" spans="3:16" x14ac:dyDescent="0.25">
      <c r="C501" s="5"/>
      <c r="P501" t="s">
        <v>786</v>
      </c>
    </row>
    <row r="502" spans="3:16" x14ac:dyDescent="0.25">
      <c r="C502" s="5"/>
      <c r="P502" t="s">
        <v>787</v>
      </c>
    </row>
    <row r="503" spans="3:16" x14ac:dyDescent="0.25">
      <c r="C503" s="5"/>
      <c r="P503" t="s">
        <v>788</v>
      </c>
    </row>
    <row r="504" spans="3:16" x14ac:dyDescent="0.25">
      <c r="C504" s="5"/>
      <c r="P504" t="s">
        <v>789</v>
      </c>
    </row>
    <row r="505" spans="3:16" x14ac:dyDescent="0.25">
      <c r="C505" s="5"/>
      <c r="P505" t="s">
        <v>790</v>
      </c>
    </row>
    <row r="506" spans="3:16" x14ac:dyDescent="0.25">
      <c r="C506" s="5"/>
      <c r="P506" t="s">
        <v>791</v>
      </c>
    </row>
    <row r="507" spans="3:16" x14ac:dyDescent="0.25">
      <c r="C507" s="5"/>
      <c r="P507" t="s">
        <v>792</v>
      </c>
    </row>
    <row r="508" spans="3:16" x14ac:dyDescent="0.25">
      <c r="C508" s="5"/>
      <c r="P508" t="s">
        <v>793</v>
      </c>
    </row>
    <row r="509" spans="3:16" x14ac:dyDescent="0.25">
      <c r="C509" s="5"/>
      <c r="P509" t="s">
        <v>794</v>
      </c>
    </row>
    <row r="510" spans="3:16" x14ac:dyDescent="0.25">
      <c r="C510" s="5"/>
      <c r="P510" t="s">
        <v>795</v>
      </c>
    </row>
    <row r="511" spans="3:16" x14ac:dyDescent="0.25">
      <c r="C511" s="5"/>
      <c r="P511" t="s">
        <v>796</v>
      </c>
    </row>
    <row r="512" spans="3:16" x14ac:dyDescent="0.25">
      <c r="C512" s="5"/>
      <c r="P512" t="s">
        <v>797</v>
      </c>
    </row>
    <row r="513" spans="3:16" x14ac:dyDescent="0.25">
      <c r="C513" s="5"/>
      <c r="P513" t="s">
        <v>798</v>
      </c>
    </row>
    <row r="514" spans="3:16" x14ac:dyDescent="0.25">
      <c r="C514" s="5"/>
      <c r="P514" t="s">
        <v>799</v>
      </c>
    </row>
    <row r="515" spans="3:16" x14ac:dyDescent="0.25">
      <c r="C515" s="5"/>
      <c r="P515" t="s">
        <v>800</v>
      </c>
    </row>
    <row r="516" spans="3:16" x14ac:dyDescent="0.25">
      <c r="C516" s="5"/>
      <c r="P516" t="s">
        <v>801</v>
      </c>
    </row>
    <row r="517" spans="3:16" x14ac:dyDescent="0.25">
      <c r="C517" s="5"/>
      <c r="P517" t="s">
        <v>802</v>
      </c>
    </row>
    <row r="518" spans="3:16" x14ac:dyDescent="0.25">
      <c r="C518" s="5"/>
      <c r="P518" t="s">
        <v>803</v>
      </c>
    </row>
    <row r="519" spans="3:16" x14ac:dyDescent="0.25">
      <c r="C519" s="5"/>
      <c r="P519" t="s">
        <v>804</v>
      </c>
    </row>
    <row r="520" spans="3:16" x14ac:dyDescent="0.25">
      <c r="C520" s="5"/>
      <c r="P520" t="s">
        <v>805</v>
      </c>
    </row>
    <row r="521" spans="3:16" x14ac:dyDescent="0.25">
      <c r="C521" s="5"/>
      <c r="P521" t="s">
        <v>806</v>
      </c>
    </row>
    <row r="522" spans="3:16" x14ac:dyDescent="0.25">
      <c r="C522" s="5"/>
      <c r="P522" t="s">
        <v>807</v>
      </c>
    </row>
    <row r="523" spans="3:16" x14ac:dyDescent="0.25">
      <c r="C523" s="5"/>
      <c r="P523" t="s">
        <v>808</v>
      </c>
    </row>
    <row r="524" spans="3:16" x14ac:dyDescent="0.25">
      <c r="C524" s="5"/>
      <c r="P524" t="s">
        <v>809</v>
      </c>
    </row>
    <row r="525" spans="3:16" x14ac:dyDescent="0.25">
      <c r="C525" s="5"/>
      <c r="P525" t="s">
        <v>810</v>
      </c>
    </row>
    <row r="526" spans="3:16" x14ac:dyDescent="0.25">
      <c r="C526" s="5"/>
      <c r="P526" t="s">
        <v>811</v>
      </c>
    </row>
    <row r="527" spans="3:16" x14ac:dyDescent="0.25">
      <c r="C527" s="5"/>
      <c r="P527" t="s">
        <v>812</v>
      </c>
    </row>
    <row r="528" spans="3:16" x14ac:dyDescent="0.25">
      <c r="C528" s="5"/>
      <c r="P528" t="s">
        <v>813</v>
      </c>
    </row>
    <row r="529" spans="3:16" x14ac:dyDescent="0.25">
      <c r="C529" s="5"/>
      <c r="P529" t="s">
        <v>814</v>
      </c>
    </row>
    <row r="530" spans="3:16" x14ac:dyDescent="0.25">
      <c r="C530" s="5"/>
      <c r="P530" t="s">
        <v>815</v>
      </c>
    </row>
    <row r="531" spans="3:16" x14ac:dyDescent="0.25">
      <c r="C531" s="5"/>
      <c r="P531" t="s">
        <v>816</v>
      </c>
    </row>
    <row r="532" spans="3:16" x14ac:dyDescent="0.25">
      <c r="C532" s="5"/>
      <c r="P532" t="s">
        <v>817</v>
      </c>
    </row>
    <row r="533" spans="3:16" x14ac:dyDescent="0.25">
      <c r="C533" s="5"/>
      <c r="P533" t="s">
        <v>818</v>
      </c>
    </row>
    <row r="534" spans="3:16" x14ac:dyDescent="0.25">
      <c r="C534" s="5"/>
      <c r="P534" t="s">
        <v>819</v>
      </c>
    </row>
    <row r="535" spans="3:16" x14ac:dyDescent="0.25">
      <c r="C535" s="5"/>
      <c r="P535" t="s">
        <v>820</v>
      </c>
    </row>
    <row r="536" spans="3:16" x14ac:dyDescent="0.25">
      <c r="C536" s="5"/>
      <c r="P536" t="s">
        <v>821</v>
      </c>
    </row>
    <row r="537" spans="3:16" x14ac:dyDescent="0.25">
      <c r="C537" s="5"/>
      <c r="P537" t="s">
        <v>822</v>
      </c>
    </row>
    <row r="538" spans="3:16" x14ac:dyDescent="0.25">
      <c r="C538" s="5"/>
      <c r="P538" t="s">
        <v>823</v>
      </c>
    </row>
    <row r="539" spans="3:16" x14ac:dyDescent="0.25">
      <c r="C539" s="5"/>
      <c r="P539" t="s">
        <v>824</v>
      </c>
    </row>
    <row r="540" spans="3:16" x14ac:dyDescent="0.25">
      <c r="C540" s="5"/>
      <c r="P540" t="s">
        <v>825</v>
      </c>
    </row>
    <row r="541" spans="3:16" x14ac:dyDescent="0.25">
      <c r="C541" s="5"/>
      <c r="P541" t="s">
        <v>826</v>
      </c>
    </row>
    <row r="542" spans="3:16" x14ac:dyDescent="0.25">
      <c r="C542" s="5"/>
      <c r="P542" t="s">
        <v>827</v>
      </c>
    </row>
    <row r="543" spans="3:16" x14ac:dyDescent="0.25">
      <c r="C543" s="5"/>
      <c r="P543" t="s">
        <v>828</v>
      </c>
    </row>
    <row r="544" spans="3:16" x14ac:dyDescent="0.25">
      <c r="C544" s="5"/>
      <c r="P544" t="s">
        <v>829</v>
      </c>
    </row>
    <row r="545" spans="3:16" x14ac:dyDescent="0.25">
      <c r="C545" s="5"/>
      <c r="P545" t="s">
        <v>830</v>
      </c>
    </row>
    <row r="546" spans="3:16" x14ac:dyDescent="0.25">
      <c r="C546" s="5"/>
      <c r="P546" t="s">
        <v>831</v>
      </c>
    </row>
    <row r="547" spans="3:16" x14ac:dyDescent="0.25">
      <c r="C547" s="5"/>
      <c r="P547" t="s">
        <v>832</v>
      </c>
    </row>
    <row r="548" spans="3:16" x14ac:dyDescent="0.25">
      <c r="C548" s="5"/>
      <c r="P548" t="s">
        <v>833</v>
      </c>
    </row>
    <row r="549" spans="3:16" x14ac:dyDescent="0.25">
      <c r="C549" s="5"/>
      <c r="P549" t="s">
        <v>834</v>
      </c>
    </row>
    <row r="550" spans="3:16" x14ac:dyDescent="0.25">
      <c r="C550" s="5"/>
      <c r="P550" t="s">
        <v>835</v>
      </c>
    </row>
    <row r="551" spans="3:16" x14ac:dyDescent="0.25">
      <c r="C551" s="5"/>
      <c r="P551" t="s">
        <v>836</v>
      </c>
    </row>
    <row r="552" spans="3:16" x14ac:dyDescent="0.25">
      <c r="C552" s="5"/>
      <c r="P552" t="s">
        <v>837</v>
      </c>
    </row>
    <row r="553" spans="3:16" x14ac:dyDescent="0.25">
      <c r="C553" s="5"/>
      <c r="P553" t="s">
        <v>838</v>
      </c>
    </row>
    <row r="554" spans="3:16" x14ac:dyDescent="0.25">
      <c r="C554" s="5"/>
      <c r="P554" t="s">
        <v>839</v>
      </c>
    </row>
    <row r="555" spans="3:16" x14ac:dyDescent="0.25">
      <c r="C555" s="5"/>
      <c r="P555" t="s">
        <v>840</v>
      </c>
    </row>
    <row r="556" spans="3:16" x14ac:dyDescent="0.25">
      <c r="C556" s="5"/>
      <c r="P556" t="s">
        <v>841</v>
      </c>
    </row>
    <row r="557" spans="3:16" x14ac:dyDescent="0.25">
      <c r="C557" s="5"/>
      <c r="P557" t="s">
        <v>842</v>
      </c>
    </row>
    <row r="558" spans="3:16" x14ac:dyDescent="0.25">
      <c r="C558" s="5"/>
      <c r="P558" t="s">
        <v>843</v>
      </c>
    </row>
    <row r="559" spans="3:16" x14ac:dyDescent="0.25">
      <c r="C559" s="5"/>
      <c r="P559" t="s">
        <v>844</v>
      </c>
    </row>
    <row r="560" spans="3:16" x14ac:dyDescent="0.25">
      <c r="C560" s="5"/>
      <c r="P560" t="s">
        <v>845</v>
      </c>
    </row>
    <row r="561" spans="3:16" x14ac:dyDescent="0.25">
      <c r="C561" s="5"/>
      <c r="P561" t="s">
        <v>846</v>
      </c>
    </row>
    <row r="562" spans="3:16" x14ac:dyDescent="0.25">
      <c r="C562" s="5"/>
      <c r="P562" t="s">
        <v>847</v>
      </c>
    </row>
    <row r="563" spans="3:16" x14ac:dyDescent="0.25">
      <c r="C563" s="5"/>
      <c r="P563" t="s">
        <v>848</v>
      </c>
    </row>
    <row r="564" spans="3:16" x14ac:dyDescent="0.25">
      <c r="C564" s="5"/>
      <c r="P564" t="s">
        <v>849</v>
      </c>
    </row>
    <row r="565" spans="3:16" x14ac:dyDescent="0.25">
      <c r="C565" s="5"/>
      <c r="P565" t="s">
        <v>850</v>
      </c>
    </row>
    <row r="566" spans="3:16" x14ac:dyDescent="0.25">
      <c r="C566" s="5"/>
      <c r="P566" t="s">
        <v>851</v>
      </c>
    </row>
    <row r="567" spans="3:16" x14ac:dyDescent="0.25">
      <c r="C567" s="5"/>
      <c r="P567" t="s">
        <v>852</v>
      </c>
    </row>
    <row r="568" spans="3:16" x14ac:dyDescent="0.25">
      <c r="C568" s="5"/>
      <c r="P568" t="s">
        <v>853</v>
      </c>
    </row>
    <row r="569" spans="3:16" x14ac:dyDescent="0.25">
      <c r="C569" s="5"/>
      <c r="P569" t="s">
        <v>854</v>
      </c>
    </row>
    <row r="570" spans="3:16" x14ac:dyDescent="0.25">
      <c r="C570" s="5"/>
      <c r="P570" t="s">
        <v>855</v>
      </c>
    </row>
    <row r="571" spans="3:16" x14ac:dyDescent="0.25">
      <c r="C571" s="5"/>
      <c r="P571" t="s">
        <v>856</v>
      </c>
    </row>
    <row r="572" spans="3:16" x14ac:dyDescent="0.25">
      <c r="C572" s="5"/>
      <c r="P572" t="s">
        <v>857</v>
      </c>
    </row>
    <row r="573" spans="3:16" x14ac:dyDescent="0.25">
      <c r="C573" s="5"/>
      <c r="P573" t="s">
        <v>858</v>
      </c>
    </row>
    <row r="574" spans="3:16" x14ac:dyDescent="0.25">
      <c r="C574" s="5"/>
      <c r="P574" t="s">
        <v>859</v>
      </c>
    </row>
    <row r="575" spans="3:16" x14ac:dyDescent="0.25">
      <c r="C575" s="5"/>
      <c r="P575" t="s">
        <v>860</v>
      </c>
    </row>
    <row r="576" spans="3:16" x14ac:dyDescent="0.25">
      <c r="C576" s="5"/>
      <c r="P576" t="s">
        <v>861</v>
      </c>
    </row>
    <row r="577" spans="3:16" x14ac:dyDescent="0.25">
      <c r="C577" s="5"/>
      <c r="P577" t="s">
        <v>862</v>
      </c>
    </row>
    <row r="578" spans="3:16" x14ac:dyDescent="0.25">
      <c r="C578" s="5"/>
      <c r="P578" t="s">
        <v>863</v>
      </c>
    </row>
    <row r="579" spans="3:16" x14ac:dyDescent="0.25">
      <c r="C579" s="5"/>
      <c r="P579" t="s">
        <v>864</v>
      </c>
    </row>
    <row r="580" spans="3:16" x14ac:dyDescent="0.25">
      <c r="C580" s="5"/>
      <c r="P580" t="s">
        <v>865</v>
      </c>
    </row>
    <row r="581" spans="3:16" x14ac:dyDescent="0.25">
      <c r="C581" s="5"/>
      <c r="P581" t="s">
        <v>866</v>
      </c>
    </row>
    <row r="582" spans="3:16" x14ac:dyDescent="0.25">
      <c r="C582" s="5"/>
      <c r="P582" t="s">
        <v>867</v>
      </c>
    </row>
    <row r="583" spans="3:16" x14ac:dyDescent="0.25">
      <c r="C583" s="5"/>
      <c r="P583" t="s">
        <v>868</v>
      </c>
    </row>
    <row r="584" spans="3:16" x14ac:dyDescent="0.25">
      <c r="C584" s="5"/>
      <c r="P584" t="s">
        <v>869</v>
      </c>
    </row>
    <row r="585" spans="3:16" x14ac:dyDescent="0.25">
      <c r="C585" s="5"/>
      <c r="P585" t="s">
        <v>870</v>
      </c>
    </row>
    <row r="586" spans="3:16" x14ac:dyDescent="0.25">
      <c r="C586" s="5"/>
      <c r="P586" t="s">
        <v>871</v>
      </c>
    </row>
    <row r="587" spans="3:16" x14ac:dyDescent="0.25">
      <c r="C587" s="5"/>
      <c r="P587" t="s">
        <v>872</v>
      </c>
    </row>
    <row r="588" spans="3:16" x14ac:dyDescent="0.25">
      <c r="C588" s="5"/>
      <c r="P588" t="s">
        <v>873</v>
      </c>
    </row>
    <row r="589" spans="3:16" x14ac:dyDescent="0.25">
      <c r="C589" s="5"/>
      <c r="P589" t="s">
        <v>874</v>
      </c>
    </row>
    <row r="590" spans="3:16" x14ac:dyDescent="0.25">
      <c r="C590" s="5"/>
      <c r="P590" t="s">
        <v>875</v>
      </c>
    </row>
    <row r="591" spans="3:16" x14ac:dyDescent="0.25">
      <c r="C591" s="5"/>
      <c r="P591" t="s">
        <v>876</v>
      </c>
    </row>
    <row r="592" spans="3:16" x14ac:dyDescent="0.25">
      <c r="C592" s="5"/>
      <c r="P592" t="s">
        <v>877</v>
      </c>
    </row>
    <row r="593" spans="3:16" x14ac:dyDescent="0.25">
      <c r="C593" s="5"/>
      <c r="P593" t="s">
        <v>878</v>
      </c>
    </row>
    <row r="594" spans="3:16" x14ac:dyDescent="0.25">
      <c r="C594" s="5"/>
      <c r="P594" t="s">
        <v>879</v>
      </c>
    </row>
    <row r="595" spans="3:16" x14ac:dyDescent="0.25">
      <c r="C595" s="5"/>
      <c r="P595" t="s">
        <v>880</v>
      </c>
    </row>
    <row r="596" spans="3:16" x14ac:dyDescent="0.25">
      <c r="C596" s="5"/>
      <c r="P596" t="s">
        <v>881</v>
      </c>
    </row>
    <row r="597" spans="3:16" x14ac:dyDescent="0.25">
      <c r="C597" s="5"/>
      <c r="P597" t="s">
        <v>882</v>
      </c>
    </row>
    <row r="598" spans="3:16" x14ac:dyDescent="0.25">
      <c r="C598" s="5"/>
      <c r="P598" t="s">
        <v>883</v>
      </c>
    </row>
    <row r="599" spans="3:16" x14ac:dyDescent="0.25">
      <c r="C599" s="5"/>
      <c r="P599" t="s">
        <v>884</v>
      </c>
    </row>
    <row r="600" spans="3:16" x14ac:dyDescent="0.25">
      <c r="C600" s="5"/>
      <c r="P600" t="s">
        <v>885</v>
      </c>
    </row>
    <row r="601" spans="3:16" x14ac:dyDescent="0.25">
      <c r="C601" s="5"/>
      <c r="P601" t="s">
        <v>886</v>
      </c>
    </row>
    <row r="602" spans="3:16" x14ac:dyDescent="0.25">
      <c r="C602" s="5"/>
      <c r="P602" t="s">
        <v>887</v>
      </c>
    </row>
    <row r="603" spans="3:16" x14ac:dyDescent="0.25">
      <c r="C603" s="5"/>
      <c r="P603" t="s">
        <v>888</v>
      </c>
    </row>
    <row r="604" spans="3:16" x14ac:dyDescent="0.25">
      <c r="C604" s="5"/>
      <c r="P604" t="s">
        <v>889</v>
      </c>
    </row>
    <row r="605" spans="3:16" x14ac:dyDescent="0.25">
      <c r="C605" s="5"/>
      <c r="P605" t="s">
        <v>890</v>
      </c>
    </row>
    <row r="606" spans="3:16" x14ac:dyDescent="0.25">
      <c r="C606" s="5"/>
      <c r="P606" t="s">
        <v>891</v>
      </c>
    </row>
    <row r="607" spans="3:16" x14ac:dyDescent="0.25">
      <c r="C607" s="5"/>
      <c r="P607" t="s">
        <v>892</v>
      </c>
    </row>
    <row r="608" spans="3:16" x14ac:dyDescent="0.25">
      <c r="C608" s="5"/>
      <c r="P608" t="s">
        <v>893</v>
      </c>
    </row>
    <row r="609" spans="3:16" x14ac:dyDescent="0.25">
      <c r="C609" s="5"/>
      <c r="P609" t="s">
        <v>894</v>
      </c>
    </row>
    <row r="610" spans="3:16" x14ac:dyDescent="0.25">
      <c r="C610" s="5"/>
      <c r="P610" t="s">
        <v>895</v>
      </c>
    </row>
    <row r="611" spans="3:16" x14ac:dyDescent="0.25">
      <c r="C611" s="5"/>
      <c r="P611" t="s">
        <v>896</v>
      </c>
    </row>
    <row r="612" spans="3:16" x14ac:dyDescent="0.25">
      <c r="C612" s="5"/>
      <c r="P612" t="s">
        <v>897</v>
      </c>
    </row>
    <row r="613" spans="3:16" x14ac:dyDescent="0.25">
      <c r="C613" s="5"/>
      <c r="P613" t="s">
        <v>898</v>
      </c>
    </row>
    <row r="614" spans="3:16" x14ac:dyDescent="0.25">
      <c r="C614" s="5"/>
      <c r="P614" t="s">
        <v>899</v>
      </c>
    </row>
    <row r="615" spans="3:16" x14ac:dyDescent="0.25">
      <c r="C615" s="5"/>
      <c r="P615" t="s">
        <v>900</v>
      </c>
    </row>
    <row r="616" spans="3:16" x14ac:dyDescent="0.25">
      <c r="C616" s="5"/>
      <c r="P616" t="s">
        <v>901</v>
      </c>
    </row>
    <row r="617" spans="3:16" x14ac:dyDescent="0.25">
      <c r="C617" s="5"/>
      <c r="P617" t="s">
        <v>902</v>
      </c>
    </row>
    <row r="618" spans="3:16" x14ac:dyDescent="0.25">
      <c r="C618" s="5"/>
      <c r="P618" t="s">
        <v>903</v>
      </c>
    </row>
    <row r="619" spans="3:16" x14ac:dyDescent="0.25">
      <c r="C619" s="5"/>
      <c r="P619" t="s">
        <v>904</v>
      </c>
    </row>
    <row r="620" spans="3:16" x14ac:dyDescent="0.25">
      <c r="C620" s="5"/>
      <c r="P620" t="s">
        <v>905</v>
      </c>
    </row>
    <row r="621" spans="3:16" x14ac:dyDescent="0.25">
      <c r="C621" s="5"/>
      <c r="P621" t="s">
        <v>906</v>
      </c>
    </row>
    <row r="622" spans="3:16" x14ac:dyDescent="0.25">
      <c r="C622" s="5"/>
      <c r="P622" t="s">
        <v>907</v>
      </c>
    </row>
    <row r="623" spans="3:16" x14ac:dyDescent="0.25">
      <c r="C623" s="5"/>
      <c r="P623" t="s">
        <v>908</v>
      </c>
    </row>
    <row r="624" spans="3:16" x14ac:dyDescent="0.25">
      <c r="C624" s="5"/>
      <c r="P624" t="s">
        <v>909</v>
      </c>
    </row>
    <row r="625" spans="3:16" x14ac:dyDescent="0.25">
      <c r="C625" s="5"/>
      <c r="P625" t="s">
        <v>910</v>
      </c>
    </row>
    <row r="626" spans="3:16" x14ac:dyDescent="0.25">
      <c r="C626" s="5"/>
      <c r="P626" t="s">
        <v>911</v>
      </c>
    </row>
    <row r="627" spans="3:16" x14ac:dyDescent="0.25">
      <c r="C627" s="5"/>
      <c r="P627" t="s">
        <v>912</v>
      </c>
    </row>
    <row r="628" spans="3:16" x14ac:dyDescent="0.25">
      <c r="C628" s="5"/>
      <c r="P628" t="s">
        <v>913</v>
      </c>
    </row>
    <row r="629" spans="3:16" x14ac:dyDescent="0.25">
      <c r="C629" s="5"/>
      <c r="P629" t="s">
        <v>914</v>
      </c>
    </row>
    <row r="630" spans="3:16" x14ac:dyDescent="0.25">
      <c r="C630" s="5"/>
      <c r="P630" t="s">
        <v>915</v>
      </c>
    </row>
    <row r="631" spans="3:16" x14ac:dyDescent="0.25">
      <c r="C631" s="5"/>
      <c r="P631" t="s">
        <v>916</v>
      </c>
    </row>
    <row r="632" spans="3:16" x14ac:dyDescent="0.25">
      <c r="C632" s="5"/>
      <c r="P632" t="s">
        <v>917</v>
      </c>
    </row>
    <row r="633" spans="3:16" x14ac:dyDescent="0.25">
      <c r="C633" s="5"/>
      <c r="P633" t="s">
        <v>918</v>
      </c>
    </row>
    <row r="634" spans="3:16" x14ac:dyDescent="0.25">
      <c r="C634" s="5"/>
      <c r="P634" t="s">
        <v>919</v>
      </c>
    </row>
    <row r="635" spans="3:16" x14ac:dyDescent="0.25">
      <c r="C635" s="5"/>
      <c r="P635" t="s">
        <v>920</v>
      </c>
    </row>
    <row r="636" spans="3:16" x14ac:dyDescent="0.25">
      <c r="C636" s="5"/>
      <c r="P636" t="s">
        <v>921</v>
      </c>
    </row>
    <row r="637" spans="3:16" x14ac:dyDescent="0.25">
      <c r="C637" s="5"/>
      <c r="P637" t="s">
        <v>922</v>
      </c>
    </row>
    <row r="638" spans="3:16" x14ac:dyDescent="0.25">
      <c r="C638" s="5"/>
      <c r="P638" t="s">
        <v>923</v>
      </c>
    </row>
    <row r="639" spans="3:16" x14ac:dyDescent="0.25">
      <c r="C639" s="5"/>
      <c r="P639" t="s">
        <v>924</v>
      </c>
    </row>
    <row r="640" spans="3:16" x14ac:dyDescent="0.25">
      <c r="C640" s="5"/>
      <c r="P640" t="s">
        <v>925</v>
      </c>
    </row>
    <row r="641" spans="3:16" x14ac:dyDescent="0.25">
      <c r="C641" s="5"/>
      <c r="P641" t="s">
        <v>926</v>
      </c>
    </row>
    <row r="642" spans="3:16" x14ac:dyDescent="0.25">
      <c r="C642" s="5"/>
      <c r="P642" t="s">
        <v>927</v>
      </c>
    </row>
    <row r="643" spans="3:16" x14ac:dyDescent="0.25">
      <c r="C643" s="5"/>
      <c r="P643" t="s">
        <v>928</v>
      </c>
    </row>
    <row r="644" spans="3:16" x14ac:dyDescent="0.25">
      <c r="C644" s="5"/>
      <c r="P644" t="s">
        <v>929</v>
      </c>
    </row>
    <row r="645" spans="3:16" x14ac:dyDescent="0.25">
      <c r="C645" s="5"/>
      <c r="P645" t="s">
        <v>930</v>
      </c>
    </row>
    <row r="646" spans="3:16" x14ac:dyDescent="0.25">
      <c r="C646" s="5"/>
      <c r="P646" t="s">
        <v>931</v>
      </c>
    </row>
    <row r="647" spans="3:16" x14ac:dyDescent="0.25">
      <c r="C647" s="5"/>
      <c r="P647" t="s">
        <v>932</v>
      </c>
    </row>
    <row r="648" spans="3:16" x14ac:dyDescent="0.25">
      <c r="C648" s="5"/>
      <c r="P648" t="s">
        <v>933</v>
      </c>
    </row>
    <row r="649" spans="3:16" x14ac:dyDescent="0.25">
      <c r="C649" s="5"/>
      <c r="P649" t="s">
        <v>934</v>
      </c>
    </row>
    <row r="650" spans="3:16" x14ac:dyDescent="0.25">
      <c r="C650" s="5"/>
      <c r="P650" t="s">
        <v>935</v>
      </c>
    </row>
    <row r="651" spans="3:16" x14ac:dyDescent="0.25">
      <c r="C651" s="5"/>
      <c r="P651" t="s">
        <v>936</v>
      </c>
    </row>
    <row r="652" spans="3:16" x14ac:dyDescent="0.25">
      <c r="C652" s="5"/>
      <c r="P652" t="s">
        <v>937</v>
      </c>
    </row>
    <row r="653" spans="3:16" x14ac:dyDescent="0.25">
      <c r="C653" s="5"/>
      <c r="P653" t="s">
        <v>938</v>
      </c>
    </row>
    <row r="654" spans="3:16" x14ac:dyDescent="0.25">
      <c r="C654" s="5"/>
      <c r="P654" t="s">
        <v>939</v>
      </c>
    </row>
    <row r="655" spans="3:16" x14ac:dyDescent="0.25">
      <c r="C655" s="5"/>
      <c r="P655" t="s">
        <v>940</v>
      </c>
    </row>
    <row r="656" spans="3:16" x14ac:dyDescent="0.25">
      <c r="C656" s="5"/>
      <c r="P656" t="s">
        <v>941</v>
      </c>
    </row>
    <row r="657" spans="3:16" x14ac:dyDescent="0.25">
      <c r="C657" s="5"/>
      <c r="P657" t="s">
        <v>942</v>
      </c>
    </row>
    <row r="658" spans="3:16" x14ac:dyDescent="0.25">
      <c r="C658" s="5"/>
      <c r="P658" t="s">
        <v>943</v>
      </c>
    </row>
    <row r="659" spans="3:16" x14ac:dyDescent="0.25">
      <c r="C659" s="5"/>
      <c r="P659" t="s">
        <v>944</v>
      </c>
    </row>
    <row r="660" spans="3:16" x14ac:dyDescent="0.25">
      <c r="C660" s="5"/>
      <c r="P660" t="s">
        <v>945</v>
      </c>
    </row>
    <row r="661" spans="3:16" x14ac:dyDescent="0.25">
      <c r="C661" s="5"/>
      <c r="P661" t="s">
        <v>946</v>
      </c>
    </row>
    <row r="662" spans="3:16" x14ac:dyDescent="0.25">
      <c r="C662" s="5"/>
      <c r="P662" t="s">
        <v>947</v>
      </c>
    </row>
    <row r="663" spans="3:16" x14ac:dyDescent="0.25">
      <c r="C663" s="5"/>
      <c r="P663" t="s">
        <v>948</v>
      </c>
    </row>
    <row r="664" spans="3:16" x14ac:dyDescent="0.25">
      <c r="C664" s="5"/>
      <c r="P664" t="s">
        <v>949</v>
      </c>
    </row>
    <row r="665" spans="3:16" x14ac:dyDescent="0.25">
      <c r="C665" s="5"/>
      <c r="P665" t="s">
        <v>950</v>
      </c>
    </row>
    <row r="666" spans="3:16" x14ac:dyDescent="0.25">
      <c r="C666" s="5"/>
      <c r="P666" t="s">
        <v>951</v>
      </c>
    </row>
    <row r="667" spans="3:16" x14ac:dyDescent="0.25">
      <c r="C667" s="5"/>
      <c r="P667" t="s">
        <v>952</v>
      </c>
    </row>
    <row r="668" spans="3:16" x14ac:dyDescent="0.25">
      <c r="C668" s="5"/>
      <c r="P668" t="s">
        <v>953</v>
      </c>
    </row>
    <row r="669" spans="3:16" x14ac:dyDescent="0.25">
      <c r="C669" s="5"/>
      <c r="P669" t="s">
        <v>954</v>
      </c>
    </row>
    <row r="670" spans="3:16" x14ac:dyDescent="0.25">
      <c r="C670" s="5"/>
      <c r="P670" t="s">
        <v>955</v>
      </c>
    </row>
    <row r="671" spans="3:16" x14ac:dyDescent="0.25">
      <c r="C671" s="5"/>
      <c r="P671" t="s">
        <v>956</v>
      </c>
    </row>
    <row r="672" spans="3:16" x14ac:dyDescent="0.25">
      <c r="C672" s="5"/>
      <c r="P672" t="s">
        <v>957</v>
      </c>
    </row>
    <row r="673" spans="3:16" x14ac:dyDescent="0.25">
      <c r="C673" s="5"/>
      <c r="P673" t="s">
        <v>958</v>
      </c>
    </row>
    <row r="674" spans="3:16" x14ac:dyDescent="0.25">
      <c r="C674" s="5"/>
      <c r="P674" t="s">
        <v>959</v>
      </c>
    </row>
    <row r="675" spans="3:16" x14ac:dyDescent="0.25">
      <c r="C675" s="5"/>
      <c r="P675" t="s">
        <v>960</v>
      </c>
    </row>
    <row r="676" spans="3:16" x14ac:dyDescent="0.25">
      <c r="C676" s="5"/>
      <c r="P676" t="s">
        <v>961</v>
      </c>
    </row>
    <row r="677" spans="3:16" x14ac:dyDescent="0.25">
      <c r="C677" s="5"/>
      <c r="P677" t="s">
        <v>962</v>
      </c>
    </row>
    <row r="678" spans="3:16" x14ac:dyDescent="0.25">
      <c r="C678" s="5"/>
      <c r="P678" t="s">
        <v>963</v>
      </c>
    </row>
    <row r="679" spans="3:16" x14ac:dyDescent="0.25">
      <c r="C679" s="5"/>
      <c r="P679" t="s">
        <v>964</v>
      </c>
    </row>
    <row r="680" spans="3:16" x14ac:dyDescent="0.25">
      <c r="C680" s="5"/>
      <c r="P680" t="s">
        <v>965</v>
      </c>
    </row>
    <row r="681" spans="3:16" x14ac:dyDescent="0.25">
      <c r="C681" s="5"/>
      <c r="P681" t="s">
        <v>966</v>
      </c>
    </row>
    <row r="682" spans="3:16" x14ac:dyDescent="0.25">
      <c r="C682" s="5"/>
      <c r="P682" t="s">
        <v>967</v>
      </c>
    </row>
    <row r="683" spans="3:16" x14ac:dyDescent="0.25">
      <c r="C683" s="5"/>
      <c r="P683" t="s">
        <v>968</v>
      </c>
    </row>
    <row r="684" spans="3:16" x14ac:dyDescent="0.25">
      <c r="C684" s="5"/>
      <c r="P684" t="s">
        <v>969</v>
      </c>
    </row>
    <row r="685" spans="3:16" x14ac:dyDescent="0.25">
      <c r="C685" s="5"/>
      <c r="P685" t="s">
        <v>970</v>
      </c>
    </row>
    <row r="686" spans="3:16" x14ac:dyDescent="0.25">
      <c r="C686" s="5"/>
      <c r="P686" t="s">
        <v>971</v>
      </c>
    </row>
    <row r="687" spans="3:16" x14ac:dyDescent="0.25">
      <c r="C687" s="5"/>
      <c r="P687" t="s">
        <v>972</v>
      </c>
    </row>
    <row r="688" spans="3:16" x14ac:dyDescent="0.25">
      <c r="C688" s="5"/>
      <c r="P688" t="s">
        <v>973</v>
      </c>
    </row>
    <row r="689" spans="3:16" x14ac:dyDescent="0.25">
      <c r="C689" s="5"/>
      <c r="P689" t="s">
        <v>974</v>
      </c>
    </row>
    <row r="690" spans="3:16" x14ac:dyDescent="0.25">
      <c r="C690" s="5"/>
      <c r="P690" t="s">
        <v>975</v>
      </c>
    </row>
    <row r="691" spans="3:16" x14ac:dyDescent="0.25">
      <c r="C691" s="5"/>
      <c r="P691" t="s">
        <v>976</v>
      </c>
    </row>
    <row r="692" spans="3:16" x14ac:dyDescent="0.25">
      <c r="C692" s="5"/>
      <c r="P692" t="s">
        <v>977</v>
      </c>
    </row>
    <row r="693" spans="3:16" x14ac:dyDescent="0.25">
      <c r="C693" s="5"/>
      <c r="P693" t="s">
        <v>978</v>
      </c>
    </row>
    <row r="694" spans="3:16" x14ac:dyDescent="0.25">
      <c r="C694" s="5"/>
      <c r="P694" t="s">
        <v>979</v>
      </c>
    </row>
    <row r="695" spans="3:16" x14ac:dyDescent="0.25">
      <c r="C695" s="5"/>
      <c r="P695" t="s">
        <v>980</v>
      </c>
    </row>
    <row r="696" spans="3:16" x14ac:dyDescent="0.25">
      <c r="C696" s="5"/>
      <c r="P696" t="s">
        <v>981</v>
      </c>
    </row>
    <row r="697" spans="3:16" x14ac:dyDescent="0.25">
      <c r="C697" s="5"/>
      <c r="P697" t="s">
        <v>982</v>
      </c>
    </row>
    <row r="698" spans="3:16" x14ac:dyDescent="0.25">
      <c r="C698" s="5"/>
      <c r="P698" t="s">
        <v>983</v>
      </c>
    </row>
    <row r="699" spans="3:16" x14ac:dyDescent="0.25">
      <c r="C699" s="5"/>
      <c r="P699" t="s">
        <v>984</v>
      </c>
    </row>
    <row r="700" spans="3:16" x14ac:dyDescent="0.25">
      <c r="C700" s="5"/>
      <c r="P700" t="s">
        <v>985</v>
      </c>
    </row>
    <row r="701" spans="3:16" x14ac:dyDescent="0.25">
      <c r="C701" s="5"/>
      <c r="P701" t="s">
        <v>986</v>
      </c>
    </row>
    <row r="702" spans="3:16" x14ac:dyDescent="0.25">
      <c r="C702" s="5"/>
      <c r="P702" t="s">
        <v>987</v>
      </c>
    </row>
    <row r="703" spans="3:16" x14ac:dyDescent="0.25">
      <c r="C703" s="5"/>
      <c r="P703" t="s">
        <v>988</v>
      </c>
    </row>
    <row r="704" spans="3:16" x14ac:dyDescent="0.25">
      <c r="C704" s="5"/>
      <c r="P704" t="s">
        <v>989</v>
      </c>
    </row>
    <row r="705" spans="3:16" x14ac:dyDescent="0.25">
      <c r="C705" s="5"/>
      <c r="P705" t="s">
        <v>990</v>
      </c>
    </row>
    <row r="706" spans="3:16" x14ac:dyDescent="0.25">
      <c r="C706" s="5"/>
      <c r="P706" t="s">
        <v>991</v>
      </c>
    </row>
    <row r="707" spans="3:16" x14ac:dyDescent="0.25">
      <c r="C707" s="5"/>
      <c r="P707" t="s">
        <v>992</v>
      </c>
    </row>
    <row r="708" spans="3:16" x14ac:dyDescent="0.25">
      <c r="C708" s="5"/>
      <c r="P708" t="s">
        <v>993</v>
      </c>
    </row>
    <row r="709" spans="3:16" x14ac:dyDescent="0.25">
      <c r="C709" s="5"/>
      <c r="P709" t="s">
        <v>994</v>
      </c>
    </row>
    <row r="710" spans="3:16" x14ac:dyDescent="0.25">
      <c r="C710" s="5"/>
      <c r="P710" t="s">
        <v>995</v>
      </c>
    </row>
    <row r="711" spans="3:16" x14ac:dyDescent="0.25">
      <c r="C711" s="5"/>
      <c r="P711" t="s">
        <v>996</v>
      </c>
    </row>
    <row r="712" spans="3:16" x14ac:dyDescent="0.25">
      <c r="C712" s="5"/>
      <c r="P712" t="s">
        <v>997</v>
      </c>
    </row>
    <row r="713" spans="3:16" x14ac:dyDescent="0.25">
      <c r="C713" s="5"/>
      <c r="P713" t="s">
        <v>998</v>
      </c>
    </row>
    <row r="714" spans="3:16" x14ac:dyDescent="0.25">
      <c r="C714" s="5"/>
      <c r="P714" t="s">
        <v>999</v>
      </c>
    </row>
    <row r="715" spans="3:16" x14ac:dyDescent="0.25">
      <c r="C715" s="5"/>
      <c r="P715" t="s">
        <v>1000</v>
      </c>
    </row>
    <row r="716" spans="3:16" x14ac:dyDescent="0.25">
      <c r="C716" s="5"/>
      <c r="P716" t="s">
        <v>1001</v>
      </c>
    </row>
    <row r="717" spans="3:16" x14ac:dyDescent="0.25">
      <c r="C717" s="5"/>
      <c r="P717" t="s">
        <v>1002</v>
      </c>
    </row>
    <row r="718" spans="3:16" x14ac:dyDescent="0.25">
      <c r="C718" s="5"/>
      <c r="P718" t="s">
        <v>1003</v>
      </c>
    </row>
    <row r="719" spans="3:16" x14ac:dyDescent="0.25">
      <c r="C719" s="5"/>
      <c r="P719" t="s">
        <v>1004</v>
      </c>
    </row>
    <row r="720" spans="3:16" x14ac:dyDescent="0.25">
      <c r="C720" s="5"/>
      <c r="P720" t="s">
        <v>1005</v>
      </c>
    </row>
    <row r="721" spans="3:16" x14ac:dyDescent="0.25">
      <c r="C721" s="5"/>
      <c r="P721" t="s">
        <v>1006</v>
      </c>
    </row>
    <row r="722" spans="3:16" x14ac:dyDescent="0.25">
      <c r="C722" s="5"/>
      <c r="P722" t="s">
        <v>1007</v>
      </c>
    </row>
    <row r="723" spans="3:16" x14ac:dyDescent="0.25">
      <c r="C723" s="5"/>
      <c r="P723" t="s">
        <v>1008</v>
      </c>
    </row>
    <row r="724" spans="3:16" x14ac:dyDescent="0.25">
      <c r="C724" s="5"/>
      <c r="P724" t="s">
        <v>1009</v>
      </c>
    </row>
    <row r="725" spans="3:16" x14ac:dyDescent="0.25">
      <c r="C725" s="5"/>
      <c r="P725" t="s">
        <v>1010</v>
      </c>
    </row>
    <row r="726" spans="3:16" x14ac:dyDescent="0.25">
      <c r="C726" s="5"/>
      <c r="P726" t="s">
        <v>1011</v>
      </c>
    </row>
    <row r="727" spans="3:16" x14ac:dyDescent="0.25">
      <c r="C727" s="5"/>
      <c r="P727" t="s">
        <v>1012</v>
      </c>
    </row>
    <row r="728" spans="3:16" x14ac:dyDescent="0.25">
      <c r="C728" s="5"/>
      <c r="P728" t="s">
        <v>1013</v>
      </c>
    </row>
    <row r="729" spans="3:16" x14ac:dyDescent="0.25">
      <c r="C729" s="5"/>
      <c r="P729" t="s">
        <v>1014</v>
      </c>
    </row>
    <row r="730" spans="3:16" x14ac:dyDescent="0.25">
      <c r="C730" s="5"/>
      <c r="P730" t="s">
        <v>1015</v>
      </c>
    </row>
    <row r="731" spans="3:16" x14ac:dyDescent="0.25">
      <c r="C731" s="5"/>
      <c r="P731" t="s">
        <v>1016</v>
      </c>
    </row>
    <row r="732" spans="3:16" x14ac:dyDescent="0.25">
      <c r="C732" s="5"/>
      <c r="P732" t="s">
        <v>1017</v>
      </c>
    </row>
    <row r="733" spans="3:16" x14ac:dyDescent="0.25">
      <c r="C733" s="5"/>
      <c r="P733" t="s">
        <v>1018</v>
      </c>
    </row>
    <row r="734" spans="3:16" x14ac:dyDescent="0.25">
      <c r="C734" s="5"/>
      <c r="P734" t="s">
        <v>1019</v>
      </c>
    </row>
    <row r="735" spans="3:16" x14ac:dyDescent="0.25">
      <c r="C735" s="5"/>
      <c r="P735" t="s">
        <v>1020</v>
      </c>
    </row>
    <row r="736" spans="3:16" x14ac:dyDescent="0.25">
      <c r="C736" s="5"/>
      <c r="P736" t="s">
        <v>1021</v>
      </c>
    </row>
    <row r="737" spans="3:16" x14ac:dyDescent="0.25">
      <c r="C737" s="5"/>
      <c r="P737" t="s">
        <v>1022</v>
      </c>
    </row>
    <row r="738" spans="3:16" x14ac:dyDescent="0.25">
      <c r="C738" s="5"/>
      <c r="P738" t="s">
        <v>1023</v>
      </c>
    </row>
    <row r="739" spans="3:16" x14ac:dyDescent="0.25">
      <c r="C739" s="5"/>
      <c r="P739" t="s">
        <v>1024</v>
      </c>
    </row>
    <row r="740" spans="3:16" x14ac:dyDescent="0.25">
      <c r="C740" s="5"/>
      <c r="P740" t="s">
        <v>1025</v>
      </c>
    </row>
    <row r="741" spans="3:16" x14ac:dyDescent="0.25">
      <c r="C741" s="5"/>
      <c r="P741" t="s">
        <v>1026</v>
      </c>
    </row>
    <row r="742" spans="3:16" x14ac:dyDescent="0.25">
      <c r="C742" s="5"/>
      <c r="P742" t="s">
        <v>1027</v>
      </c>
    </row>
    <row r="743" spans="3:16" x14ac:dyDescent="0.25">
      <c r="C743" s="5"/>
      <c r="P743" t="s">
        <v>1028</v>
      </c>
    </row>
    <row r="744" spans="3:16" x14ac:dyDescent="0.25">
      <c r="C744" s="5"/>
      <c r="P744" t="s">
        <v>1029</v>
      </c>
    </row>
    <row r="745" spans="3:16" x14ac:dyDescent="0.25">
      <c r="C745" s="5"/>
      <c r="P745" t="s">
        <v>1030</v>
      </c>
    </row>
    <row r="746" spans="3:16" x14ac:dyDescent="0.25">
      <c r="C746" s="5"/>
      <c r="P746" t="s">
        <v>1031</v>
      </c>
    </row>
    <row r="747" spans="3:16" x14ac:dyDescent="0.25">
      <c r="C747" s="5"/>
      <c r="P747" t="s">
        <v>1032</v>
      </c>
    </row>
    <row r="748" spans="3:16" x14ac:dyDescent="0.25">
      <c r="C748" s="5"/>
      <c r="P748" t="s">
        <v>1033</v>
      </c>
    </row>
    <row r="749" spans="3:16" x14ac:dyDescent="0.25">
      <c r="C749" s="5"/>
      <c r="P749" t="s">
        <v>1034</v>
      </c>
    </row>
    <row r="750" spans="3:16" x14ac:dyDescent="0.25">
      <c r="C750" s="5"/>
      <c r="P750" t="s">
        <v>1035</v>
      </c>
    </row>
    <row r="751" spans="3:16" x14ac:dyDescent="0.25">
      <c r="C751" s="5"/>
      <c r="P751" t="s">
        <v>1036</v>
      </c>
    </row>
    <row r="752" spans="3:16" x14ac:dyDescent="0.25">
      <c r="C752" s="5"/>
      <c r="P752" t="s">
        <v>1037</v>
      </c>
    </row>
    <row r="753" spans="3:16" x14ac:dyDescent="0.25">
      <c r="C753" s="5"/>
      <c r="P753" t="s">
        <v>1038</v>
      </c>
    </row>
    <row r="754" spans="3:16" x14ac:dyDescent="0.25">
      <c r="C754" s="5"/>
      <c r="P754" t="s">
        <v>54</v>
      </c>
    </row>
    <row r="755" spans="3:16" x14ac:dyDescent="0.25">
      <c r="C755" s="5"/>
      <c r="P755" t="s">
        <v>1039</v>
      </c>
    </row>
    <row r="756" spans="3:16" x14ac:dyDescent="0.25">
      <c r="C756" s="5"/>
      <c r="P756" t="s">
        <v>1040</v>
      </c>
    </row>
    <row r="757" spans="3:16" x14ac:dyDescent="0.25">
      <c r="C757" s="5"/>
      <c r="P757" t="s">
        <v>1041</v>
      </c>
    </row>
    <row r="758" spans="3:16" x14ac:dyDescent="0.25">
      <c r="C758" s="5"/>
      <c r="P758" t="s">
        <v>1042</v>
      </c>
    </row>
    <row r="759" spans="3:16" x14ac:dyDescent="0.25">
      <c r="C759" s="5"/>
      <c r="P759" t="s">
        <v>1043</v>
      </c>
    </row>
    <row r="760" spans="3:16" x14ac:dyDescent="0.25">
      <c r="C760" s="5"/>
      <c r="P760" t="s">
        <v>1044</v>
      </c>
    </row>
    <row r="761" spans="3:16" x14ac:dyDescent="0.25">
      <c r="C761" s="5"/>
      <c r="P761" t="s">
        <v>1045</v>
      </c>
    </row>
    <row r="762" spans="3:16" x14ac:dyDescent="0.25">
      <c r="C762" s="5"/>
      <c r="P762" t="s">
        <v>1046</v>
      </c>
    </row>
    <row r="763" spans="3:16" x14ac:dyDescent="0.25">
      <c r="C763" s="5"/>
      <c r="P763" t="s">
        <v>1047</v>
      </c>
    </row>
    <row r="764" spans="3:16" x14ac:dyDescent="0.25">
      <c r="C764" s="5"/>
      <c r="P764" t="s">
        <v>1048</v>
      </c>
    </row>
    <row r="765" spans="3:16" x14ac:dyDescent="0.25">
      <c r="C765" s="5"/>
      <c r="P765" t="s">
        <v>1049</v>
      </c>
    </row>
    <row r="766" spans="3:16" x14ac:dyDescent="0.25">
      <c r="C766" s="5"/>
      <c r="P766" t="s">
        <v>1050</v>
      </c>
    </row>
    <row r="767" spans="3:16" x14ac:dyDescent="0.25">
      <c r="C767" s="5"/>
      <c r="P767" t="s">
        <v>1051</v>
      </c>
    </row>
    <row r="768" spans="3:16" x14ac:dyDescent="0.25">
      <c r="C768" s="5"/>
      <c r="P768" t="s">
        <v>1052</v>
      </c>
    </row>
    <row r="769" spans="3:16" x14ac:dyDescent="0.25">
      <c r="C769" s="5"/>
      <c r="P769" t="s">
        <v>1053</v>
      </c>
    </row>
    <row r="770" spans="3:16" x14ac:dyDescent="0.25">
      <c r="C770" s="5"/>
      <c r="P770" t="s">
        <v>1054</v>
      </c>
    </row>
    <row r="771" spans="3:16" x14ac:dyDescent="0.25">
      <c r="C771" s="5"/>
      <c r="P771" t="s">
        <v>1055</v>
      </c>
    </row>
    <row r="772" spans="3:16" x14ac:dyDescent="0.25">
      <c r="C772" s="5"/>
      <c r="P772" t="s">
        <v>1056</v>
      </c>
    </row>
    <row r="773" spans="3:16" x14ac:dyDescent="0.25">
      <c r="C773" s="5"/>
      <c r="P773" t="s">
        <v>1057</v>
      </c>
    </row>
    <row r="774" spans="3:16" x14ac:dyDescent="0.25">
      <c r="C774" s="5"/>
      <c r="P774" t="s">
        <v>1058</v>
      </c>
    </row>
    <row r="775" spans="3:16" x14ac:dyDescent="0.25">
      <c r="C775" s="5"/>
      <c r="P775" t="s">
        <v>1059</v>
      </c>
    </row>
    <row r="776" spans="3:16" x14ac:dyDescent="0.25">
      <c r="C776" s="5"/>
      <c r="P776" t="s">
        <v>1060</v>
      </c>
    </row>
    <row r="777" spans="3:16" x14ac:dyDescent="0.25">
      <c r="C777" s="5"/>
      <c r="P777" t="s">
        <v>1061</v>
      </c>
    </row>
    <row r="778" spans="3:16" x14ac:dyDescent="0.25">
      <c r="C778" s="5"/>
      <c r="P778" t="s">
        <v>1062</v>
      </c>
    </row>
    <row r="779" spans="3:16" x14ac:dyDescent="0.25">
      <c r="C779" s="5"/>
      <c r="P779" t="s">
        <v>1063</v>
      </c>
    </row>
    <row r="780" spans="3:16" x14ac:dyDescent="0.25">
      <c r="C780" s="5"/>
      <c r="P780" t="s">
        <v>1064</v>
      </c>
    </row>
    <row r="781" spans="3:16" x14ac:dyDescent="0.25">
      <c r="C781" s="5"/>
      <c r="P781" t="s">
        <v>1065</v>
      </c>
    </row>
    <row r="782" spans="3:16" x14ac:dyDescent="0.25">
      <c r="C782" s="5"/>
      <c r="P782" t="s">
        <v>1066</v>
      </c>
    </row>
    <row r="783" spans="3:16" x14ac:dyDescent="0.25">
      <c r="C783" s="5"/>
      <c r="P783" t="s">
        <v>1067</v>
      </c>
    </row>
    <row r="784" spans="3:16" x14ac:dyDescent="0.25">
      <c r="C784" s="5"/>
      <c r="P784" t="s">
        <v>1068</v>
      </c>
    </row>
    <row r="785" spans="3:16" x14ac:dyDescent="0.25">
      <c r="C785" s="5"/>
      <c r="P785" t="s">
        <v>1069</v>
      </c>
    </row>
    <row r="786" spans="3:16" x14ac:dyDescent="0.25">
      <c r="C786" s="5"/>
      <c r="P786" t="s">
        <v>1070</v>
      </c>
    </row>
    <row r="787" spans="3:16" x14ac:dyDescent="0.25">
      <c r="C787" s="5"/>
      <c r="P787" t="s">
        <v>1071</v>
      </c>
    </row>
    <row r="788" spans="3:16" x14ac:dyDescent="0.25">
      <c r="C788" s="5"/>
      <c r="P788" t="s">
        <v>1072</v>
      </c>
    </row>
    <row r="789" spans="3:16" x14ac:dyDescent="0.25">
      <c r="C789" s="5"/>
      <c r="P789" t="s">
        <v>1073</v>
      </c>
    </row>
    <row r="790" spans="3:16" x14ac:dyDescent="0.25">
      <c r="C790" s="5"/>
      <c r="P790" t="s">
        <v>1074</v>
      </c>
    </row>
    <row r="791" spans="3:16" x14ac:dyDescent="0.25">
      <c r="C791" s="5"/>
      <c r="P791" t="s">
        <v>1075</v>
      </c>
    </row>
    <row r="792" spans="3:16" x14ac:dyDescent="0.25">
      <c r="C792" s="5"/>
      <c r="P792" t="s">
        <v>1076</v>
      </c>
    </row>
    <row r="793" spans="3:16" x14ac:dyDescent="0.25">
      <c r="C793" s="5"/>
      <c r="P793" t="s">
        <v>1077</v>
      </c>
    </row>
  </sheetData>
  <pageMargins left="0.7" right="0.7" top="0.75" bottom="0.75" header="0.3" footer="0.3"/>
  <pageSetup orientation="portrait" verticalDpi="0"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1242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1242</v>
      </c>
    </row>
    <row r="2" spans="1:4" ht="15.75" thickBot="1" x14ac:dyDescent="0.3"/>
    <row r="3" spans="1:4" ht="15.75" thickTop="1" x14ac:dyDescent="0.25">
      <c r="A3" s="231" t="s">
        <v>1247</v>
      </c>
      <c r="B3" s="232"/>
      <c r="C3" s="232"/>
      <c r="D3" s="233"/>
    </row>
    <row r="4" spans="1:4" ht="15.75" thickBot="1" x14ac:dyDescent="0.3">
      <c r="A4" s="98" t="s">
        <v>1243</v>
      </c>
      <c r="B4" s="99" t="s">
        <v>1244</v>
      </c>
      <c r="C4" s="99" t="s">
        <v>1245</v>
      </c>
      <c r="D4" s="100" t="s">
        <v>1246</v>
      </c>
    </row>
    <row r="5" spans="1:4" ht="15.75" thickTop="1" x14ac:dyDescent="0.25">
      <c r="A5" s="107" t="s">
        <v>14</v>
      </c>
      <c r="B5" s="101" t="s">
        <v>14</v>
      </c>
      <c r="C5" s="102" t="s">
        <v>1257</v>
      </c>
      <c r="D5" s="108"/>
    </row>
    <row r="6" spans="1:4" ht="60" x14ac:dyDescent="0.25">
      <c r="A6" s="109" t="s">
        <v>1248</v>
      </c>
      <c r="B6" s="103" t="s">
        <v>128</v>
      </c>
      <c r="C6" s="104" t="s">
        <v>1249</v>
      </c>
      <c r="D6" s="110" t="s">
        <v>1250</v>
      </c>
    </row>
    <row r="7" spans="1:4" ht="60" x14ac:dyDescent="0.25">
      <c r="A7" s="109" t="s">
        <v>1251</v>
      </c>
      <c r="B7" s="103" t="s">
        <v>129</v>
      </c>
      <c r="C7" s="104" t="s">
        <v>1252</v>
      </c>
      <c r="D7" s="110" t="s">
        <v>1253</v>
      </c>
    </row>
    <row r="8" spans="1:4" ht="30.75" thickBot="1" x14ac:dyDescent="0.3">
      <c r="A8" s="111" t="s">
        <v>1254</v>
      </c>
      <c r="B8" s="112" t="s">
        <v>130</v>
      </c>
      <c r="C8" s="113" t="s">
        <v>1255</v>
      </c>
      <c r="D8" s="114" t="s">
        <v>1256</v>
      </c>
    </row>
  </sheetData>
  <mergeCells count="1">
    <mergeCell ref="A3:D3"/>
  </mergeCell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G6" sqref="G6"/>
    </sheetView>
  </sheetViews>
  <sheetFormatPr defaultRowHeight="15" x14ac:dyDescent="0.25"/>
  <cols>
    <col min="1" max="1" width="39" customWidth="1"/>
    <col min="2" max="2" width="32.42578125" customWidth="1"/>
    <col min="3" max="3" width="53.42578125" style="97" customWidth="1"/>
    <col min="4" max="4" width="48.140625" customWidth="1"/>
    <col min="5" max="5" width="38.42578125" bestFit="1" customWidth="1"/>
  </cols>
  <sheetData>
    <row r="1" spans="1:6" x14ac:dyDescent="0.25">
      <c r="A1" t="s">
        <v>1242</v>
      </c>
    </row>
    <row r="2" spans="1:6" ht="15.75" thickBot="1" x14ac:dyDescent="0.3"/>
    <row r="3" spans="1:6" s="7" customFormat="1" x14ac:dyDescent="0.25">
      <c r="A3" s="234" t="s">
        <v>1280</v>
      </c>
      <c r="B3" s="235"/>
      <c r="C3" s="235"/>
      <c r="D3" s="235"/>
      <c r="E3" s="236"/>
      <c r="F3"/>
    </row>
    <row r="4" spans="1:6" s="7" customFormat="1" ht="15.75" thickBot="1" x14ac:dyDescent="0.3">
      <c r="A4" s="81" t="s">
        <v>143</v>
      </c>
      <c r="B4" s="65" t="s">
        <v>144</v>
      </c>
      <c r="C4" s="65" t="s">
        <v>19</v>
      </c>
      <c r="D4" s="72" t="s">
        <v>145</v>
      </c>
      <c r="E4" s="73" t="s">
        <v>146</v>
      </c>
    </row>
    <row r="5" spans="1:6" s="7" customFormat="1" ht="75.75" thickTop="1" x14ac:dyDescent="0.25">
      <c r="A5" s="122" t="s">
        <v>158</v>
      </c>
      <c r="B5" s="19" t="s">
        <v>1261</v>
      </c>
      <c r="C5" s="19" t="s">
        <v>1261</v>
      </c>
      <c r="D5" s="51" t="s">
        <v>1273</v>
      </c>
      <c r="E5" s="123" t="s">
        <v>1262</v>
      </c>
    </row>
    <row r="6" spans="1:6" s="7" customFormat="1" ht="150" x14ac:dyDescent="0.25">
      <c r="A6" s="116" t="s">
        <v>158</v>
      </c>
      <c r="B6" s="11" t="s">
        <v>1274</v>
      </c>
      <c r="C6" s="11" t="s">
        <v>1275</v>
      </c>
      <c r="D6" s="12" t="s">
        <v>1276</v>
      </c>
      <c r="E6" s="117" t="s">
        <v>1277</v>
      </c>
    </row>
    <row r="7" spans="1:6" s="7" customFormat="1" ht="75.75" thickBot="1" x14ac:dyDescent="0.3">
      <c r="A7" s="118" t="s">
        <v>158</v>
      </c>
      <c r="B7" s="119" t="s">
        <v>1267</v>
      </c>
      <c r="C7" s="119" t="s">
        <v>1278</v>
      </c>
      <c r="D7" s="120" t="s">
        <v>1279</v>
      </c>
      <c r="E7" s="121" t="s">
        <v>1265</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237" t="s">
        <v>1272</v>
      </c>
      <c r="B16" s="238"/>
      <c r="C16" s="238"/>
      <c r="D16" s="238"/>
      <c r="E16" s="239"/>
    </row>
    <row r="17" spans="1:5" ht="15.75" thickBot="1" x14ac:dyDescent="0.3">
      <c r="A17" s="98" t="s">
        <v>1258</v>
      </c>
      <c r="B17" s="99" t="s">
        <v>1281</v>
      </c>
      <c r="C17" s="115" t="s">
        <v>1259</v>
      </c>
      <c r="D17" s="100" t="s">
        <v>1260</v>
      </c>
      <c r="E17" s="99" t="s">
        <v>1285</v>
      </c>
    </row>
    <row r="18" spans="1:5" ht="90.75" thickTop="1" x14ac:dyDescent="0.25">
      <c r="A18" s="124" t="s">
        <v>1261</v>
      </c>
      <c r="B18" s="101" t="s">
        <v>1261</v>
      </c>
      <c r="C18" s="102" t="s">
        <v>1263</v>
      </c>
      <c r="D18" s="126" t="s">
        <v>1262</v>
      </c>
      <c r="E18" s="131" t="s">
        <v>1262</v>
      </c>
    </row>
    <row r="19" spans="1:5" s="5" customFormat="1" ht="30" x14ac:dyDescent="0.25">
      <c r="A19" s="125" t="s">
        <v>1271</v>
      </c>
      <c r="B19" s="103" t="s">
        <v>1275</v>
      </c>
      <c r="C19" s="104" t="s">
        <v>1268</v>
      </c>
      <c r="D19" s="127" t="s">
        <v>1269</v>
      </c>
      <c r="E19" s="110"/>
    </row>
    <row r="20" spans="1:5" ht="90.75" thickBot="1" x14ac:dyDescent="0.3">
      <c r="A20" s="128" t="s">
        <v>1270</v>
      </c>
      <c r="B20" s="105" t="s">
        <v>1278</v>
      </c>
      <c r="C20" s="106" t="s">
        <v>1264</v>
      </c>
      <c r="D20" s="129" t="s">
        <v>1265</v>
      </c>
      <c r="E20" s="130" t="s">
        <v>1286</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39</vt:i4>
      </vt:variant>
    </vt:vector>
  </HeadingPairs>
  <TitlesOfParts>
    <vt:vector size="60" baseType="lpstr">
      <vt:lpstr>Instructions</vt:lpstr>
      <vt:lpstr>People and Organizations</vt:lpstr>
      <vt:lpstr>Dataset Citation</vt:lpstr>
      <vt:lpstr>Sampling Features</vt:lpstr>
      <vt:lpstr>Spatial Offsets</vt:lpstr>
      <vt:lpstr>Related Features (optional)</vt:lpstr>
      <vt:lpstr>Methods</vt:lpstr>
      <vt:lpstr>Variables</vt:lpstr>
      <vt:lpstr>Processing Levels</vt:lpstr>
      <vt:lpstr>Taxonomic Classifiers</vt:lpstr>
      <vt:lpstr>Data Columns</vt:lpstr>
      <vt:lpstr>Data Values</vt:lpstr>
      <vt:lpstr>Specimen Column Finder</vt:lpstr>
      <vt:lpstr>Result Column Finder</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NumFileColumns</vt:lpstr>
      <vt:lpstr>NumIGSNs</vt:lpstr>
      <vt:lpstr>NumMethods</vt:lpstr>
      <vt:lpstr>NumORCIDs</vt:lpstr>
      <vt:lpstr>NumOrganizations</vt:lpstr>
      <vt:lpstr>NumParentSamplingFeatures</vt:lpstr>
      <vt:lpstr>NumParentSpecimens</vt:lpstr>
      <vt:lpstr>NumPeople</vt:lpstr>
      <vt:lpstr>NumPersonExternalIDs</vt:lpstr>
      <vt:lpstr>NumProcessingLevels</vt:lpstr>
      <vt:lpstr>NumRelatedFeatures</vt:lpstr>
      <vt:lpstr>NumSites</vt:lpstr>
      <vt:lpstr>NumSpecimens</vt:lpstr>
      <vt:lpstr>NumTaxClassifiers</vt:lpstr>
      <vt:lpstr>NumVariables</vt:lpstr>
      <vt:lpstr>PublicationYear</vt:lpstr>
      <vt:lpstr>Publisher</vt:lpstr>
      <vt:lpstr>SpecimenColumnNumber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2015-04-20T19:16:07Z</dcterms:modified>
</cp:coreProperties>
</file>