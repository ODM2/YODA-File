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AA7" i="11"/>
  <c r="AA6" i="11"/>
  <c r="AA5" i="11"/>
  <c r="AA4" i="11"/>
  <c r="AA3" i="11"/>
  <c r="AA2" i="11"/>
  <c r="A23" i="1" l="1"/>
  <c r="A24" i="1"/>
  <c r="A25" i="1"/>
  <c r="A26" i="1"/>
  <c r="A27" i="1"/>
  <c r="A28" i="1"/>
  <c r="A29" i="1"/>
  <c r="A30" i="1"/>
  <c r="A31" i="1"/>
  <c r="A32" i="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13" i="4"/>
  <c r="AB14" i="4"/>
  <c r="AB15" i="4"/>
  <c r="AB16" i="4"/>
  <c r="AB17" i="4"/>
  <c r="AB18" i="4"/>
  <c r="AB19"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25" i="7"/>
  <c r="I26" i="7"/>
  <c r="I27" i="7"/>
  <c r="I28" i="7"/>
  <c r="I29" i="7"/>
  <c r="I30" i="7"/>
  <c r="I31" i="7"/>
  <c r="I32" i="7"/>
  <c r="I33" i="7"/>
  <c r="L13" i="2"/>
  <c r="A13" i="4"/>
  <c r="AB20" i="4"/>
  <c r="I24" i="7"/>
  <c r="L8" i="11" l="1"/>
  <c r="L7" i="11"/>
  <c r="L6" i="11"/>
  <c r="L5" i="11"/>
  <c r="M4" i="11"/>
  <c r="L4" i="11"/>
  <c r="K4" i="11"/>
  <c r="J4" i="11"/>
  <c r="C4" i="11"/>
  <c r="M3" i="11"/>
  <c r="L3" i="11"/>
  <c r="K3" i="11"/>
  <c r="J3" i="11"/>
  <c r="H33" i="7"/>
  <c r="H32" i="7"/>
  <c r="H31" i="7"/>
  <c r="H30" i="7"/>
  <c r="H29" i="7"/>
  <c r="H28" i="7"/>
  <c r="H27" i="7"/>
  <c r="H26" i="7"/>
  <c r="H25" i="7"/>
  <c r="H24" i="7"/>
  <c r="L14" i="2"/>
  <c r="AB21" i="4"/>
  <c r="A14" i="4"/>
  <c r="AK4" i="11" l="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5" i="4"/>
  <c r="A16" i="4"/>
  <c r="L15" i="2"/>
  <c r="AB22" i="4"/>
  <c r="D2" i="15" l="1"/>
  <c r="A17" i="4"/>
  <c r="G11" i="4"/>
  <c r="S11" i="4"/>
  <c r="L16" i="2"/>
  <c r="T11" i="4"/>
  <c r="AB23" i="4"/>
  <c r="I9" i="2" l="1"/>
  <c r="L17" i="2"/>
  <c r="A18" i="4"/>
  <c r="AB24" i="4"/>
  <c r="AP6" i="11" l="1"/>
  <c r="AP7" i="11"/>
  <c r="AP8" i="11"/>
  <c r="AP5" i="11"/>
  <c r="AP4" i="11"/>
  <c r="F3" i="21"/>
  <c r="G3" i="21"/>
  <c r="H3" i="21"/>
  <c r="A19" i="4"/>
  <c r="X11" i="4"/>
  <c r="E11" i="4"/>
  <c r="R11" i="4"/>
  <c r="O11" i="4"/>
  <c r="A20" i="4"/>
  <c r="W11" i="4"/>
  <c r="M11" i="4"/>
  <c r="V11" i="4"/>
  <c r="A21" i="4"/>
  <c r="AB25" i="4"/>
  <c r="N11" i="4"/>
  <c r="Q11" i="4"/>
  <c r="P11" i="4"/>
  <c r="AA11" i="4"/>
  <c r="A22" i="4"/>
  <c r="J11" i="4"/>
  <c r="Y11" i="4"/>
  <c r="Z11" i="4"/>
  <c r="K11" i="4"/>
  <c r="H11" i="4"/>
  <c r="F11" i="4"/>
  <c r="L18" i="2"/>
  <c r="L19" i="2" s="1"/>
  <c r="L11" i="4"/>
  <c r="I11" i="4"/>
  <c r="U11" i="4"/>
  <c r="Y3" i="11" l="1"/>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K3" i="21"/>
  <c r="A23" i="4"/>
  <c r="A24" i="4"/>
  <c r="A25" i="4"/>
  <c r="A26" i="4"/>
  <c r="A29" i="4" l="1"/>
  <c r="F8" i="21"/>
  <c r="G8" i="21"/>
  <c r="A27" i="4"/>
  <c r="A28" i="4"/>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P16" i="23"/>
  <c r="P9" i="23"/>
  <c r="L12" i="21"/>
  <c r="P5" i="23"/>
  <c r="AN5" i="11"/>
  <c r="L4" i="21"/>
  <c r="L16" i="21"/>
  <c r="AM8" i="11"/>
  <c r="I4" i="21"/>
  <c r="L5" i="21"/>
  <c r="P13" i="23"/>
  <c r="AM6" i="11"/>
  <c r="L6" i="21"/>
  <c r="P6" i="11"/>
  <c r="AO7" i="11"/>
  <c r="L13" i="21"/>
  <c r="AO5" i="11"/>
  <c r="AO4" i="11"/>
  <c r="P8" i="11"/>
  <c r="P7" i="11"/>
  <c r="AN4" i="11"/>
  <c r="I6" i="21"/>
  <c r="P7" i="23"/>
  <c r="Q17" i="23"/>
  <c r="AM7" i="11"/>
  <c r="AN7" i="11"/>
  <c r="P3" i="23"/>
  <c r="AO8" i="11"/>
  <c r="L9" i="21"/>
  <c r="AO6" i="11"/>
  <c r="P4" i="11"/>
  <c r="P12" i="23"/>
  <c r="Q19" i="23"/>
  <c r="I2" i="21"/>
  <c r="P10" i="23"/>
  <c r="P6" i="23"/>
  <c r="AN8" i="11"/>
  <c r="P2" i="23"/>
  <c r="P11" i="23"/>
  <c r="AN6" i="11"/>
  <c r="I5" i="21"/>
  <c r="P5" i="11"/>
  <c r="AM5" i="11"/>
  <c r="P14" i="23"/>
  <c r="P4" i="23"/>
  <c r="L2" i="21"/>
  <c r="AM4" i="11"/>
  <c r="L10" i="21"/>
  <c r="P8" i="23"/>
  <c r="I16" i="21"/>
  <c r="L11" i="21"/>
  <c r="Q15" i="23"/>
  <c r="J2" i="21" l="1"/>
  <c r="J6" i="21"/>
  <c r="J16" i="21"/>
  <c r="AX4" i="11"/>
  <c r="BI4" i="11"/>
  <c r="S9" i="2"/>
  <c r="T7" i="11"/>
  <c r="T4" i="11"/>
  <c r="CD5" i="11"/>
  <c r="BF4" i="11"/>
  <c r="T8" i="11"/>
  <c r="AU4" i="11"/>
  <c r="Q12" i="23"/>
  <c r="Q7" i="23"/>
  <c r="T5" i="11"/>
  <c r="Q6" i="23"/>
  <c r="Q5" i="23"/>
  <c r="BH4" i="11"/>
  <c r="Q4" i="23"/>
  <c r="Q11" i="23"/>
  <c r="Q8" i="23"/>
  <c r="Q18" i="23"/>
  <c r="T6" i="11"/>
  <c r="BO4" i="11"/>
  <c r="Q3" i="23"/>
  <c r="Q10" i="23"/>
  <c r="Q14" i="23"/>
  <c r="BG4" i="11"/>
  <c r="Q2" i="23"/>
  <c r="Q9" i="23"/>
  <c r="Q13" i="23"/>
  <c r="Q16" i="23"/>
  <c r="BX4" i="11" l="1"/>
  <c r="BW4" i="11"/>
  <c r="M2" i="11"/>
  <c r="J2" i="11"/>
  <c r="B5" i="11"/>
  <c r="BQ4" i="11"/>
  <c r="BN4" i="11"/>
  <c r="BR4" i="11"/>
  <c r="BP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8" i="21"/>
  <c r="V5" i="4"/>
  <c r="AL6" i="11"/>
  <c r="K7" i="21"/>
  <c r="AW4" i="11"/>
  <c r="AL5" i="11"/>
  <c r="K15" i="21"/>
  <c r="AV4" i="11"/>
  <c r="AL7" i="11"/>
  <c r="K14" i="21"/>
  <c r="I3" i="21"/>
  <c r="AL8" i="11"/>
  <c r="AL4" i="11"/>
  <c r="AE7" i="11" l="1"/>
  <c r="AE8" i="11"/>
  <c r="AE4" i="11"/>
  <c r="AE5" i="11"/>
  <c r="AE6" i="11"/>
  <c r="BA8" i="11"/>
  <c r="W8" i="11"/>
  <c r="BC6" i="11"/>
  <c r="AQ6" i="11"/>
  <c r="BA4" i="11"/>
  <c r="BA6" i="11"/>
  <c r="W6" i="11"/>
  <c r="BA7" i="11"/>
  <c r="W7" i="11"/>
  <c r="BC7" i="11"/>
  <c r="AQ7" i="11"/>
  <c r="BA5" i="11"/>
  <c r="W5" i="11"/>
  <c r="W4" i="11"/>
  <c r="BC8" i="11"/>
  <c r="AQ8" i="11"/>
  <c r="BC4" i="11"/>
  <c r="AQ4" i="11"/>
  <c r="BC5" i="11"/>
  <c r="AQ5" i="11"/>
  <c r="AC7" i="11"/>
  <c r="AC8" i="11"/>
  <c r="AC4" i="11"/>
  <c r="AC5" i="11"/>
  <c r="AC6" i="11"/>
  <c r="BT2" i="11"/>
  <c r="AZ2" i="11"/>
  <c r="BS2" i="11"/>
  <c r="BB2" i="11"/>
  <c r="BD2" i="11"/>
  <c r="BA2" i="11"/>
  <c r="BC2" i="11"/>
  <c r="AQ2" i="11"/>
  <c r="AY4" i="11"/>
  <c r="Z2" i="11"/>
  <c r="J7" i="21"/>
  <c r="J3" i="21"/>
  <c r="H5" i="7"/>
  <c r="AT4" i="11"/>
  <c r="BL4" i="11"/>
  <c r="BJ4" i="11"/>
  <c r="L15" i="21"/>
  <c r="U6" i="11"/>
  <c r="U4" i="11"/>
  <c r="U5" i="11"/>
  <c r="L7" i="21"/>
  <c r="U7" i="11"/>
  <c r="BK4" i="11"/>
  <c r="U8" i="11"/>
  <c r="BV4" i="11" l="1"/>
  <c r="BU4" i="11"/>
  <c r="BD4" i="11"/>
  <c r="BT4" i="11"/>
  <c r="AZ4" i="11"/>
  <c r="BB4" i="11"/>
  <c r="G8" i="11"/>
  <c r="G7" i="11"/>
  <c r="G6" i="11"/>
  <c r="G5" i="11"/>
  <c r="I8" i="11"/>
  <c r="I7" i="11"/>
  <c r="I6" i="11"/>
  <c r="I5" i="11"/>
  <c r="I4" i="11"/>
  <c r="G2" i="11"/>
  <c r="H6" i="7"/>
  <c r="L8" i="21"/>
  <c r="L14" i="21"/>
  <c r="V7" i="11"/>
  <c r="V4" i="11"/>
  <c r="V6" i="11"/>
  <c r="V5" i="11"/>
  <c r="V8"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L5" i="11"/>
  <c r="BK5" i="11"/>
  <c r="AX5" i="11" l="1"/>
  <c r="BI5" i="11"/>
  <c r="BE5" i="11"/>
  <c r="AY5" i="11"/>
  <c r="AS5" i="11"/>
  <c r="AR6" i="11"/>
  <c r="E7" i="13"/>
  <c r="F5" i="12"/>
  <c r="F6" i="8"/>
  <c r="F4" i="9"/>
  <c r="E22" i="1"/>
  <c r="BL6" i="11"/>
  <c r="AV5" i="11"/>
  <c r="AW5" i="11"/>
  <c r="BM5" i="11"/>
  <c r="BH5" i="11"/>
  <c r="AT5" i="11"/>
  <c r="AD5" i="11"/>
  <c r="BJ5" i="11"/>
  <c r="AD8" i="11"/>
  <c r="AD4" i="11"/>
  <c r="AD7" i="11"/>
  <c r="AD6" i="11"/>
  <c r="BK6" i="11"/>
  <c r="BG5" i="11"/>
  <c r="AU5" i="11"/>
  <c r="AF3" i="11" l="1"/>
  <c r="AG8" i="1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C3" i="15"/>
  <c r="AW6" i="11"/>
  <c r="BO6" i="11"/>
  <c r="AV6" i="11"/>
  <c r="BJ6" i="11"/>
  <c r="BG6" i="11"/>
  <c r="BF6" i="11"/>
  <c r="AT6" i="11"/>
  <c r="A3" i="15"/>
  <c r="AU6" i="11"/>
  <c r="BH6" i="11"/>
  <c r="BK7" i="11"/>
  <c r="BL7" i="11"/>
  <c r="BF5" i="11"/>
  <c r="BO5" i="11"/>
  <c r="D3" i="15" l="1"/>
  <c r="BI7" i="11"/>
  <c r="AX7" i="11"/>
  <c r="BW6" i="11"/>
  <c r="BV6" i="11"/>
  <c r="BX6" i="11"/>
  <c r="BS6" i="11"/>
  <c r="BT6" i="11"/>
  <c r="BD6" i="11"/>
  <c r="BB6" i="11"/>
  <c r="AZ6" i="11"/>
  <c r="BX5" i="11"/>
  <c r="BW5" i="11"/>
  <c r="BV5" i="11"/>
  <c r="BS5" i="11"/>
  <c r="BE7" i="11"/>
  <c r="AY7" i="11"/>
  <c r="B3" i="15"/>
  <c r="AS7" i="11"/>
  <c r="AR8" i="11"/>
  <c r="N9" i="2"/>
  <c r="BO7" i="11"/>
  <c r="BK8" i="11"/>
  <c r="BN5" i="11"/>
  <c r="BM7" i="11"/>
  <c r="BP5" i="11"/>
  <c r="BL8" i="11"/>
  <c r="BR6" i="11"/>
  <c r="AV7" i="11"/>
  <c r="BP6" i="11"/>
  <c r="BH7" i="11"/>
  <c r="AU7" i="11"/>
  <c r="AT7" i="11"/>
  <c r="BJ7" i="11"/>
  <c r="BR5" i="11"/>
  <c r="BG7" i="11"/>
  <c r="BQ6" i="11"/>
  <c r="BQ5" i="11"/>
  <c r="BN6" i="11"/>
  <c r="AW7" i="11"/>
  <c r="BF7" i="11"/>
  <c r="Y4" i="11" l="1"/>
  <c r="Y8" i="11"/>
  <c r="Y7" i="11"/>
  <c r="Y6" i="11"/>
  <c r="Y5" i="11"/>
  <c r="AX8" i="11"/>
  <c r="BI8" i="11"/>
  <c r="BS7" i="11"/>
  <c r="BB7" i="11"/>
  <c r="BD7" i="11"/>
  <c r="AZ7" i="11"/>
  <c r="BT7" i="11"/>
  <c r="BU6" i="11"/>
  <c r="BV7" i="11"/>
  <c r="BW7" i="11"/>
  <c r="BX7" i="11"/>
  <c r="BU5" i="11"/>
  <c r="BE8" i="11"/>
  <c r="AY8" i="11"/>
  <c r="AS8" i="11"/>
  <c r="Y2" i="11"/>
  <c r="BP7" i="11"/>
  <c r="AT8" i="11"/>
  <c r="BO8" i="11"/>
  <c r="AW8" i="11"/>
  <c r="BN7" i="11"/>
  <c r="BG8" i="11"/>
  <c r="BR7" i="11"/>
  <c r="AV8" i="11"/>
  <c r="BJ8" i="11"/>
  <c r="BH8" i="11"/>
  <c r="BM8" i="11"/>
  <c r="BF8" i="11"/>
  <c r="BQ7" i="11"/>
  <c r="AU8" i="11"/>
  <c r="BW8" i="11" l="1"/>
  <c r="BV8" i="11"/>
  <c r="BX8" i="11"/>
  <c r="BS8" i="11"/>
  <c r="BD8" i="11"/>
  <c r="AZ8" i="11"/>
  <c r="BT8" i="11"/>
  <c r="BB8" i="11"/>
  <c r="BU7" i="11"/>
  <c r="V3" i="4"/>
  <c r="BR8" i="11"/>
  <c r="BP8" i="11"/>
  <c r="BQ8" i="11"/>
  <c r="BN8" i="11"/>
  <c r="BU8" i="11" l="1"/>
  <c r="BU2" i="11" l="1"/>
  <c r="BV3" i="11"/>
  <c r="BX3" i="11"/>
  <c r="BV2" i="11"/>
  <c r="BW2" i="11"/>
  <c r="BU3" i="11"/>
  <c r="BW3" i="11"/>
  <c r="BX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<sst xmlns="http://schemas.openxmlformats.org/spreadsheetml/2006/main" count="1967" uniqueCount="1702">
  <si>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</si>
  <si>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</si>
  <si>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</si>
  <si>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</si>
  <si>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</si>
  <si>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</si>
  <si>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</si>
  <si>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</si>
  <si>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</si>
  <si>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</si>
  <si>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</si>
  <si>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</si>
  <si>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</si>
  <si>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</si>
  <si>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</si>
  <si>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</si>
  <si>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</si>
  <si>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</si>
  <si>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</si>
  <si>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</si>
  <si>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</si>
  <si>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</si>
  <si>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</si>
  <si>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</si>
  <si>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</si>
  <si>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</si>
  <si>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</si>
  <si>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</si>
  <si>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</si>
  <si>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</si>
  <si>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</si>
  <si>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</si>
  <si>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</si>
  <si>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</si>
  <si>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</si>
  <si>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</si>
  <si>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</si>
  <si>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</si>
  <si>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</si>
  <si>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</si>
  <si>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</si>
  <si>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</si>
  <si>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</si>
  <si>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</si>
  <si>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</si>
  <si>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</si>
  <si>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</si>
  <si>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</si>
  <si>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</si>
  <si>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</si>
  <si>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</si>
  <si>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</si>
  <si>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</si>
  <si>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</si>
  <si>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</si>
  <si>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</si>
  <si>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</si>
  <si>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</si>
  <si>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</si>
  <si>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</si>
  <si>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</si>
  <si>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</si>
  <si>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</si>
  <si>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</si>
  <si>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</si>
  <si>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</si>
  <si>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</si>
  <si>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</si>
  <si>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</si>
  <si>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</si>
  <si>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</si>
  <si>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</si>
  <si>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</si>
  <si>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</si>
  <si>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</si>
  <si>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</si>
  <si>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</si>
  <si>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</si>
  <si>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</si>
  <si>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</si>
  <si>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</si>
  <si>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</si>
  <si>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</si>
  <si>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</si>
  <si>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</si>
  <si>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</si>
  <si>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</si>
  <si>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</si>
  <si>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</si>
  <si>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</si>
  <si>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</si>
  <si>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</si>
  <si>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</si>
  <si>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</si>
  <si>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</si>
  <si>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</si>
  <si>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</si>
  <si>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</si>
  <si>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</si>
  <si>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</si>
  <si>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</si>
  <si>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</si>
  <si>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</si>
  <si>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</si>
  <si>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</si>
  <si>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</si>
  <si>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</si>
  <si>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</si>
  <si>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</si>
  <si>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</si>
  <si>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</si>
  <si>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</si>
  <si>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</si>
  <si>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</si>
  <si>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</si>
  <si>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</si>
  <si>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</si>
  <si>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</si>
  <si>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</si>
  <si>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</si>
  <si>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</si>
  <si>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</si>
  <si>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</si>
  <si>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</si>
  <si>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</si>
  <si>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</si>
  <si>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</si>
  <si>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</si>
  <si>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</si>
  <si>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</si>
  <si>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</si>
  <si>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</si>
  <si>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</si>
  <si>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</si>
  <si>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</si>
  <si>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</si>
  <si>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</si>
  <si>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</si>
  <si>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</si>
  <si>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</si>
  <si>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</si>
  <si>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</si>
  <si>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</si>
  <si>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</si>
  <si>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</si>
  <si>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</si>
  <si>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</si>
  <si>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</si>
  <si>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</si>
  <si>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</si>
  <si>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</si>
  <si>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</si>
  <si>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</si>
  <si>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</si>
  <si>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</si>
  <si>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</si>
  <si>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</si>
  <si>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</si>
  <si>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</si>
  <si>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</si>
  <si>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</si>
  <si>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</si>
  <si>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</si>
  <si>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</si>
  <si>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</si>
  <si>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</si>
  <si>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</si>
  <si>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</si>
  <si>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</si>
  <si>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</si>
  <si>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</si>
  <si>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</si>
  <si>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</si>
  <si>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</si>
  <si>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</si>
  <si>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</si>
  <si>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</si>
  <si>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</si>
  <si>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</si>
  <si>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</si>
  <si>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</si>
  <si>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</si>
  <si>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</si>
  <si>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</si>
  <si>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</si>
  <si>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</si>
  <si>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</si>
  <si>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</si>
  <si>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</si>
  <si>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</si>
  <si>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</si>
  <si>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</si>
  <si>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</si>
  <si>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</si>
  <si>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</si>
  <si>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</si>
  <si>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</si>
  <si>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</si>
  <si>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</si>
  <si>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</si>
  <si>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</si>
  <si>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</si>
  <si>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</si>
  <si>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</si>
  <si>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</si>
  <si>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</si>
  <si>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</si>
  <si>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</si>
  <si>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</si>
  <si>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</si>
  <si>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</si>
  <si>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</si>
  <si>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</si>
  <si>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</si>
  <si>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</si>
  <si>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</si>
  <si>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</si>
  <si>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</si>
  <si>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</si>
  <si>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</si>
  <si>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</si>
  <si>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</si>
  <si>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</si>
  <si>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</si>
  <si>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</si>
  <si>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</si>
  <si>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</si>
  <si>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</si>
  <si>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</si>
  <si>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</si>
  <si>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</si>
  <si>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</si>
  <si>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</si>
  <si>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</si>
  <si>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</si>
  <si>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</si>
  <si>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</si>
  <si>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</si>
  <si>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</si>
  <si>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</si>
  <si>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</si>
  <si>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</si>
  <si>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</si>
  <si>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</si>
  <si>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</si>
  <si>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</si>
  <si>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</si>
  <si>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</si>
  <si>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</si>
  <si>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</si>
  <si>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</si>
  <si>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</si>
  <si>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</si>
  <si>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</si>
  <si>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</si>
  <si>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</si>
  <si>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</si>
  <si>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</si>
  <si>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</si>
  <si>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</si>
  <si>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</si>
  <si>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</si>
  <si>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</si>
  <si>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</si>
  <si>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</si>
  <si>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</si>
  <si>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</si>
  <si>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</si>
  <si>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</si>
  <si>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</si>
  <si>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</si>
  <si>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</si>
  <si>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</si>
  <si>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</si>
  <si>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</si>
  <si>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</si>
  <si>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</si>
  <si>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</si>
  <si>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</si>
  <si>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</si>
  <si>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</si>
  <si>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</si>
  <si>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</si>
  <si>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</si>
  <si>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</si>
  <si>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</si>
  <si>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</si>
  <si>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</si>
  <si>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</si>
  <si>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</si>
  <si>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</si>
  <si>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</si>
  <si>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</si>
  <si>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</si>
  <si>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</si>
  <si>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</si>
  <si>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</si>
  <si>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</si>
  <si>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</si>
  <si>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</si>
  <si>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</si>
  <si>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</si>
  <si>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</si>
  <si>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</si>
  <si>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</si>
  <si>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</si>
  <si>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</si>
  <si>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</si>
  <si>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</si>
  <si>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</si>
  <si>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</si>
  <si>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</si>
  <si>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</si>
  <si>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</si>
  <si>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</si>
  <si>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</si>
  <si>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</si>
  <si>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</si>
  <si>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</si>
  <si>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</si>
  <si>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</si>
  <si>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</si>
  <si>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</si>
  <si>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</si>
  <si>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</si>
  <si>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</si>
  <si>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</si>
  <si>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</si>
  <si>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</si>
  <si>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</si>
  <si>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</si>
  <si>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</si>
  <si>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</si>
  <si>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</si>
  <si>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</si>
  <si>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</si>
  <si>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</si>
  <si>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</si>
  <si>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</si>
  <si>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</si>
  <si>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</si>
  <si>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</si>
  <si>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</si>
  <si>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</si>
  <si>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</si>
  <si>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</si>
  <si>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</si>
  <si>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</si>
  <si>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</si>
  <si>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</si>
  <si>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</si>
  <si>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</si>
  <si>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</si>
  <si>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</si>
  <si>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</si>
  <si>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</si>
  <si>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</si>
  <si>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</si>
  <si>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</si>
  <si>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</si>
  <si>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</si>
  <si>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</si>
  <si>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</si>
  <si>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</si>
  <si>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</si>
  <si>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</si>
  <si>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</si>
  <si>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</si>
  <si>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</si>
  <si>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</si>
  <si>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</si>
  <si>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</si>
  <si>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</si>
  <si>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</si>
  <si>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</si>
  <si>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</si>
  <si>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</si>
  <si>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</si>
  <si>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</si>
  <si>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</si>
  <si>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</si>
  <si>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</si>
  <si>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</si>
  <si>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</si>
  <si>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</si>
  <si>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</si>
  <si>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</si>
  <si>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</si>
  <si>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</si>
  <si>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</si>
  <si>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</si>
  <si>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</si>
  <si>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</si>
  <si>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</si>
  <si>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</si>
  <si>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</si>
  <si>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</si>
  <si>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</si>
  <si>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</si>
  <si>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</si>
  <si>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</si>
  <si>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</si>
  <si>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</si>
  <si>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</si>
  <si>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</si>
  <si>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</si>
  <si>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</si>
  <si>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</si>
  <si>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</si>
  <si>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</si>
  <si>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</si>
  <si>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</si>
  <si>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</si>
  <si>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</si>
  <si>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</si>
  <si>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</si>
  <si>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</si>
  <si>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</si>
  <si>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</si>
  <si>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</si>
  <si>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</si>
  <si>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</si>
  <si>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</si>
  <si>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</si>
  <si>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</si>
  <si>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</si>
  <si>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</si>
  <si>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</si>
  <si>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</si>
  <si>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</si>
  <si>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</si>
  <si>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</si>
  <si>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</si>
  <si>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</si>
  <si>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</si>
  <si>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</si>
  <si>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</si>
  <si>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</si>
  <si>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</si>
  <si>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</si>
  <si>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</si>
  <si>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</si>
  <si>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</si>
  <si>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</si>
  <si>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</si>
  <si>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</si>
  <si>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</si>
  <si>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</si>
  <si>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</si>
  <si>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</si>
  <si>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</si>
  <si>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</si>
  <si>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</si>
  <si>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</si>
  <si>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</si>
  <si>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</si>
  <si>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</si>
  <si>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</si>
  <si>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</si>
  <si>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</si>
  <si>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</si>
  <si>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</si>
  <si>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</si>
  <si>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</si>
  <si>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</si>
  <si>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</si>
  <si>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</si>
  <si>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</si>
  <si>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</si>
  <si>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</si>
  <si>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</si>
  <si>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</si>
  <si>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</si>
  <si>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</si>
  <si>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</si>
  <si>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</si>
  <si>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</si>
  <si>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</si>
  <si>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</si>
  <si>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</si>
  <si>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</si>
  <si>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</si>
  <si>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</si>
  <si>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</si>
  <si>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</si>
  <si>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</si>
  <si>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</si>
  <si>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</si>
  <si>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</si>
  <si>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</si>
  <si>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</si>
  <si>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</si>
  <si>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</si>
  <si>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</si>
  <si>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</si>
  <si>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</si>
  <si>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</si>
  <si>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</si>
  <si>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</si>
  <si>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</si>
  <si>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</si>
  <si>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</si>
  <si>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</si>
  <si>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</si>
  <si>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</si>
  <si>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</si>
  <si>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</si>
  <si>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</si>
  <si>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</si>
  <si>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</si>
  <si>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</si>
  <si>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</si>
  <si>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</si>
  <si>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</si>
  <si>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</si>
  <si>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</si>
  <si>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</si>
  <si>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</si>
  <si>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</si>
  <si>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</si>
  <si>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</si>
  <si>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</si>
  <si>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</si>
  <si>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</si>
  <si>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</si>
  <si>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</si>
  <si>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</si>
  <si>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</si>
  <si>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</si>
  <si>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</si>
  <si>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</si>
  <si>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</si>
  <si>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</si>
  <si>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</si>
  <si>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</si>
  <si>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</si>
  <si>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</si>
  <si>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</si>
  <si>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</si>
  <si>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</si>
  <si>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</si>
  <si>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</si>
  <si>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</si>
  <si>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</si>
  <si>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</si>
  <si>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</si>
  <si>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</si>
  <si>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</si>
  <si>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</si>
  <si>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</si>
  <si>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</si>
  <si>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</si>
  <si>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</si>
  <si>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</si>
  <si>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</si>
  <si>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</si>
  <si>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</si>
  <si>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</si>
  <si>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</si>
  <si>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</si>
  <si>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</si>
  <si>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</si>
  <si>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</si>
  <si>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</si>
  <si>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</si>
  <si>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</si>
  <si>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</si>
  <si>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</si>
  <si>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</si>
  <si>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</si>
  <si>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</si>
  <si>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</si>
  <si>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</si>
  <si>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</si>
  <si>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</si>
  <si>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</si>
  <si>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</si>
  <si>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</si>
  <si>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</si>
  <si>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</si>
  <si>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</si>
  <si>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</si>
  <si>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</si>
  <si>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</si>
  <si>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</si>
  <si>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</si>
  <si>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</si>
  <si>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</si>
  <si>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</si>
  <si>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</si>
  <si>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</si>
  <si>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</si>
  <si>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</si>
  <si>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</si>
  <si>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</si>
  <si>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</si>
  <si>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</si>
  <si>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</si>
  <si>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</si>
  <si>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</si>
  <si>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</si>
  <si>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</si>
  <si>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</si>
  <si>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</si>
  <si>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</si>
  <si>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</si>
  <si>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</si>
  <si>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</si>
  <si>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</si>
  <si>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</si>
  <si>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</si>
  <si>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</si>
  <si>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</si>
  <si>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</si>
  <si>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</si>
  <si>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</si>
  <si>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</si>
  <si>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</si>
  <si>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</si>
  <si>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</si>
  <si>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</si>
  <si>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</si>
  <si>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</si>
  <si>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</si>
  <si>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</si>
  <si>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</si>
  <si>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</si>
  <si>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</si>
  <si>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</si>
  <si>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</si>
  <si>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</si>
  <si>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</si>
  <si>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</si>
  <si>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</si>
  <si>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</si>
  <si>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</si>
  <si>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</si>
  <si>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</si>
  <si>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</si>
  <si>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</si>
  <si>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</si>
  <si>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</si>
  <si>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</si>
  <si>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</si>
  <si>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</si>
  <si>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</si>
  <si>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</si>
  <si>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</si>
  <si>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</si>
  <si>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</si>
  <si>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</si>
  <si>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</si>
  <si>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</si>
  <si>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</si>
  <si>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</si>
  <si>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</si>
  <si>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</si>
  <si>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</si>
  <si>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</si>
  <si>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</si>
  <si>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</si>
  <si>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</si>
  <si>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</si>
  <si>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</si>
  <si>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</si>
  <si>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</si>
  <si>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</si>
  <si>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</si>
  <si>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</si>
  <si>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</si>
  <si>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</si>
  <si>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</si>
  <si>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</si>
  <si>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</si>
  <si>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</si>
  <si>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</si>
  <si>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</si>
  <si>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</si>
  <si>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</si>
  <si>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</si>
  <si>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</si>
  <si>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</si>
  <si>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</si>
  <si>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</si>
  <si>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</si>
  <si>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</si>
  <si>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</si>
  <si>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</si>
  <si>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</si>
  <si>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</si>
  <si>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</si>
  <si>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</si>
  <si>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</si>
  <si>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</si>
  <si>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</si>
  <si>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</si>
  <si>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</si>
  <si>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</si>
  <si>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</si>
  <si>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</si>
  <si>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</si>
  <si>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</si>
  <si>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</si>
  <si>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</si>
  <si>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</si>
  <si>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</si>
  <si>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</si>
  <si>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</si>
  <si>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</si>
  <si>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</si>
  <si>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</si>
  <si>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</si>
  <si>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</si>
  <si>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</si>
  <si>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</si>
  <si>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</si>
  <si>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</si>
  <si>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</si>
  <si>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</si>
  <si>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</si>
  <si>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</si>
  <si>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</si>
  <si>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</si>
  <si>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</si>
  <si>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</si>
  <si>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</si>
  <si>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</si>
  <si>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</si>
  <si>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</si>
  <si>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</si>
  <si>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</si>
  <si>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</si>
  <si>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</si>
  <si>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</si>
  <si>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</si>
  <si>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</si>
  <si>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</si>
  <si>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</si>
  <si>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</si>
  <si>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</si>
  <si>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</si>
  <si>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</si>
  <si>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</si>
  <si>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</si>
  <si>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</si>
  <si>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</si>
  <si>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</si>
  <si>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</si>
  <si>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</si>
  <si>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</si>
  <si>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</si>
  <si>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</si>
  <si>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</si>
  <si>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</si>
  <si>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</si>
  <si>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</si>
  <si>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</si>
  <si>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</si>
  <si>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</si>
  <si>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</si>
  <si>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</si>
  <si>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</si>
  <si>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</si>
  <si>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</si>
  <si>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</si>
  <si>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</si>
  <si>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</si>
  <si>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</si>
  <si>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</si>
  <si>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</si>
  <si>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</si>
  <si>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</si>
  <si>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</si>
  <si>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</si>
  <si>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</si>
  <si>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</si>
  <si>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</si>
  <si>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</si>
  <si>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</si>
  <si>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</si>
  <si>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</si>
  <si>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</si>
  <si>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</si>
  <si>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</si>
  <si>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</si>
  <si>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</si>
  <si>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</si>
  <si>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</si>
  <si>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</si>
  <si>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</si>
  <si>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</si>
  <si>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</si>
  <si>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</si>
  <si>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</si>
  <si>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</si>
  <si>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</si>
  <si>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</si>
  <si>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</si>
  <si>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</si>
  <si>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</si>
  <si>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</si>
  <si>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</si>
  <si>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</si>
  <si>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</si>
  <si>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</si>
  <si>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</si>
  <si>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</si>
  <si>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</si>
  <si>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</si>
  <si>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</si>
  <si>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</si>
  <si>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</si>
  <si>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</si>
  <si>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</si>
  <si>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</si>
  <si>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</si>
  <si>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</si>
  <si>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</si>
  <si>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</si>
  <si>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</si>
  <si>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</si>
  <si>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</si>
  <si>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</si>
  <si>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</si>
  <si>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</si>
  <si>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</si>
  <si>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</si>
  <si>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</si>
  <si>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</si>
  <si>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</si>
  <si>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</si>
  <si>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</si>
  <si>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</si>
  <si>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</si>
  <si>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</si>
  <si>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</si>
  <si>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</si>
  <si>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</si>
  <si>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</si>
  <si>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</si>
  <si>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</si>
  <si>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</si>
  <si>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</si>
  <si>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</si>
  <si>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</si>
  <si>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</si>
  <si>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</si>
  <si>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</si>
  <si>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</si>
  <si>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</si>
  <si>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</si>
  <si>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</si>
  <si>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</si>
  <si>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</si>
  <si>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</si>
  <si>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</si>
  <si>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</si>
  <si>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</si>
  <si>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</si>
  <si>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</si>
  <si>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</si>
  <si>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</si>
  <si>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</si>
  <si>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</si>
  <si>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</si>
  <si>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</si>
  <si>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</si>
  <si>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</si>
  <si>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</si>
  <si>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</si>
  <si>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</si>
  <si>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</si>
  <si>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</si>
  <si>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</si>
  <si>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</si>
  <si>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</si>
  <si>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</si>
  <si>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</si>
  <si>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</si>
  <si>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</si>
  <si>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</si>
  <si>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</si>
  <si>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</si>
  <si>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</si>
  <si>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</si>
  <si>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</si>
  <si>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</si>
  <si>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</si>
  <si>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</si>
  <si>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</si>
  <si>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</si>
  <si>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</si>
  <si>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</si>
  <si>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</si>
  <si>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</si>
  <si>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</si>
  <si>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</si>
  <si>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</si>
  <si>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</si>
  <si>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</si>
  <si>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</si>
  <si>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</si>
  <si>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</si>
  <si>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</si>
  <si>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</si>
  <si>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</si>
  <si>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</si>
  <si>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</si>
  <si>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</si>
  <si>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</si>
  <si>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</si>
  <si>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</si>
  <si>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</si>
  <si>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</si>
  <si>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</si>
  <si>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</si>
  <si>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</si>
  <si>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</si>
  <si>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</si>
  <si>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</si>
  <si>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</si>
  <si>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</si>
  <si>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</si>
  <si>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</si>
  <si>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</si>
  <si>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</si>
  <si>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</si>
  <si>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</si>
  <si>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</si>
  <si>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</si>
  <si>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</si>
  <si>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</si>
  <si>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</si>
  <si>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</si>
  <si>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</si>
  <si>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</si>
  <si>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</si>
  <si>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</si>
  <si>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</si>
  <si>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</si>
  <si>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</si>
  <si>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</si>
  <si>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</si>
  <si>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</si>
  <si>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</si>
  <si>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</si>
  <si>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</si>
  <si>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</si>
  <si>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</si>
  <si>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</si>
  <si>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</si>
  <si>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</si>
  <si>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</si>
  <si>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</si>
  <si>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</si>
  <si>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</si>
  <si>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</si>
  <si>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</si>
  <si>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</si>
  <si>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</si>
  <si>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</si>
  <si>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</si>
  <si>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</si>
  <si>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</si>
  <si>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</si>
  <si>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</si>
  <si>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</si>
  <si>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</si>
  <si>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</si>
  <si>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</si>
  <si>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</si>
  <si>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</si>
  <si>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</si>
  <si>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</si>
  <si>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</si>
  <si>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</si>
  <si>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</si>
  <si>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</si>
  <si>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</si>
  <si>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</si>
  <si>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</si>
  <si>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</si>
  <si>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</si>
  <si>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</si>
  <si>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</si>
  <si>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</si>
  <si>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</si>
  <si>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</si>
  <si>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</si>
  <si>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</si>
  <si>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</si>
  <si>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</si>
  <si>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</si>
  <si>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</si>
  <si>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</si>
  <si>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</si>
  <si>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</si>
  <si>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</si>
  <si>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</si>
  <si>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</si>
  <si>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</si>
  <si>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</si>
  <si>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</si>
  <si>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</si>
  <si>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</si>
  <si>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</si>
  <si>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</si>
  <si>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</si>
  <si>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</si>
  <si>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</si>
  <si>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</si>
  <si>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</si>
  <si>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</si>
  <si>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</si>
  <si>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</si>
  <si>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</si>
  <si>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</si>
  <si>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</si>
  <si>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</si>
  <si>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</si>
  <si>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</si>
  <si>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</si>
  <si>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</si>
  <si>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</si>
  <si>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</si>
  <si>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</si>
  <si>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</si>
  <si>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</si>
  <si>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</si>
  <si>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</si>
  <si>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</si>
  <si>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</si>
  <si>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</si>
  <si>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</si>
  <si>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</si>
  <si>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</si>
  <si>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</si>
  <si>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</si>
  <si>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</si>
  <si>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</si>
  <si>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</si>
  <si>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</si>
  <si>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</si>
  <si>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</si>
  <si>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</si>
  <si>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</si>
  <si>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</si>
  <si>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</si>
  <si>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</si>
  <si>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</si>
  <si>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</si>
  <si>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</si>
  <si>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</si>
  <si>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</si>
  <si>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</si>
  <si>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</si>
  <si>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</si>
  <si>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</si>
  <si>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</si>
  <si>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</si>
  <si>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</si>
  <si>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</si>
  <si>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</si>
  <si>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</si>
  <si>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</si>
  <si>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</si>
  <si>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</si>
  <si>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</si>
  <si>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</si>
  <si>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</si>
  <si>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</si>
  <si>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</si>
  <si>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</si>
  <si>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</si>
  <si>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</si>
  <si>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</si>
  <si>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</si>
  <si>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</si>
  <si>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</si>
  <si>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</si>
  <si>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</si>
  <si>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</si>
  <si>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</si>
  <si>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</si>
  <si>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</si>
  <si>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</si>
  <si>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</si>
  <si>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</si>
  <si>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</si>
  <si>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</si>
  <si>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</si>
  <si>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</si>
  <si>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</si>
  <si>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</si>
  <si>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</si>
  <si>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</si>
  <si>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</si>
  <si>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</si>
  <si>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</si>
  <si>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</si>
  <si>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</si>
  <si>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</si>
  <si>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</si>
  <si>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</si>
  <si>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</si>
  <si>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</si>
  <si>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</si>
  <si>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</si>
  <si>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</si>
  <si>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</si>
  <si>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</si>
  <si>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</si>
  <si>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</si>
  <si>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</si>
  <si>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</si>
  <si>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</si>
  <si>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</si>
  <si>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</si>
  <si>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</si>
  <si>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</si>
  <si>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</si>
  <si>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</si>
  <si>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</si>
  <si>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</si>
  <si>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</si>
  <si>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</si>
  <si>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</si>
  <si>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</si>
  <si>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</si>
  <si>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</si>
  <si>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</si>
  <si>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</si>
  <si>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</si>
  <si>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</si>
  <si>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</si>
  <si>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</si>
  <si>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</si>
  <si>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</si>
  <si>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</si>
  <si>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</si>
  <si>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</si>
  <si>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</si>
  <si>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</si>
  <si>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</si>
  <si>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</si>
  <si>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</si>
  <si>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</si>
  <si>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</si>
  <si>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</si>
  <si>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</si>
  <si>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</si>
  <si>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</si>
  <si>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</si>
  <si>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</si>
  <si>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</si>
  <si>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</si>
  <si>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</si>
  <si>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</si>
  <si>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</si>
  <si>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</si>
  <si>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</si>
  <si>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</si>
  <si>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</si>
  <si>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</si>
  <si>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</si>
  <si>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</si>
  <si>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</si>
  <si>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</si>
  <si>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</si>
  <si>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</si>
  <si>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</si>
  <si>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</si>
  <si>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</si>
  <si>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</si>
  <si>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</si>
  <si>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</si>
  <si>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</si>
  <si>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</si>
  <si>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</si>
  <si>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</si>
  <si>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</si>
  <si>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</si>
  <si>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</si>
  <si>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</si>
  <si>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</si>
  <si>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</si>
  <si>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</si>
  <si>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</si>
  <si>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</si>
  <si>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</si>
  <si>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</si>
  <si>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</si>
  <si>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</si>
  <si>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</si>
  <si>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</si>
  <si>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</si>
  <si>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</si>
  <si>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</si>
  <si>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</si>
  <si>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</si>
  <si>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</si>
  <si>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</si>
  <si>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</si>
  <si>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</si>
  <si>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</si>
  <si>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</si>
  <si>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</si>
  <si>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</si>
  <si>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</si>
  <si>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</si>
  <si>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</si>
  <si>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</si>
  <si>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</si>
  <si>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</si>
  <si>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</si>
  <si>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</si>
  <si>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</si>
  <si>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</si>
  <si>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</si>
  <si>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</si>
  <si>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</si>
  <si>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</si>
  <si>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</si>
  <si>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</si>
  <si>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</si>
  <si>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</si>
  <si>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</si>
  <si>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</si>
  <si>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</si>
  <si>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</si>
  <si>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</si>
  <si>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</si>
  <si>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</si>
  <si>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</si>
  <si>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</si>
  <si>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</si>
  <si>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</si>
  <si>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</si>
  <si>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</si>
  <si>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</si>
  <si>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</si>
  <si>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</si>
  <si>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</si>
  <si>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</si>
  <si>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</si>
  <si>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</si>
  <si>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</si>
  <si>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</si>
  <si>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</si>
  <si>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</si>
  <si>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</si>
  <si>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</si>
  <si>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</si>
  <si>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</si>
  <si>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</si>
  <si>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</si>
  <si>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</si>
  <si>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</si>
  <si>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</si>
  <si>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</si>
  <si>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</si>
  <si>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</si>
  <si>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</si>
  <si>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</si>
  <si>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</si>
  <si>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</si>
  <si>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</si>
  <si>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</si>
  <si>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</si>
  <si>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</si>
  <si>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</si>
  <si>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</si>
  <si>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</si>
  <si>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</si>
  <si>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</si>
  <si>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</si>
  <si>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</si>
  <si>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</si>
  <si>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</si>
  <si>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</si>
  <si>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</si>
  <si>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</si>
  <si>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</si>
  <si>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</si>
  <si>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</si>
  <si>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</si>
  <si>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</si>
  <si>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</si>
  <si>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</si>
  <si>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</si>
  <si>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</si>
  <si>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</si>
  <si>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</si>
  <si>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</si>
  <si>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</si>
  <si>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</si>
  <si>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</si>
  <si>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</si>
  <si>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</si>
  <si>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</si>
  <si>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</si>
  <si>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</si>
  <si>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</si>
  <si>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</si>
  <si>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</si>
  <si>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</si>
  <si>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</si>
  <si>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</si>
  <si>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</si>
  <si>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</si>
  <si>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</si>
  <si>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</si>
  <si>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</si>
  <si>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</si>
  <si>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</si>
  <si>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</si>
  <si>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</si>
  <si>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</si>
  <si>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</si>
  <si>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</si>
  <si>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</si>
  <si>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</si>
  <si>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</si>
  <si>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</si>
  <si>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</si>
  <si>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</si>
  <si>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</si>
  <si>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</si>
  <si>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</si>
  <si>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</si>
  <si>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</si>
  <si>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</si>
  <si>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</si>
  <si>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</si>
  <si>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</si>
  <si>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</si>
  <si>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</si>
  <si>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</si>
  <si>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</si>
  <si>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</si>
  <si>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</si>
  <si>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</si>
  <si>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</si>
  <si>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</si>
  <si>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</si>
  <si>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</si>
  <si>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</si>
  <si>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</si>
  <si>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</si>
  <si>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</si>
  <si>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</si>
  <si>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</si>
  <si>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</si>
  <si>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</si>
  <si>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</si>
  <si>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</si>
  <si>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</si>
  <si>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</si>
  <si>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</si>
  <si>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</si>
  <si>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</si>
  <si>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</si>
  <si>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</si>
  <si>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</si>
  <si>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</si>
  <si>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</si>
  <si>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</si>
  <si>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</si>
  <si>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</si>
  <si>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</si>
  <si>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</si>
  <si>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</si>
  <si>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</si>
  <si>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</si>
  <si>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</si>
  <si>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</si>
  <si>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</si>
  <si>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</si>
  <si>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</si>
  <si>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</si>
  <si>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</si>
  <si>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</si>
  <si>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</si>
  <si>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</si>
  <si>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</si>
  <si>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</si>
  <si>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</si>
  <si>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</si>
  <si>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</si>
  <si>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</si>
  <si>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</si>
  <si>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</si>
  <si>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</si>
  <si>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</si>
  <si>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</si>
  <si>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</si>
  <si>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</si>
  <si>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</si>
  <si>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</si>
  <si>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</si>
  <si>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</si>
  <si>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</si>
  <si>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</si>
  <si>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</si>
  <si>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</si>
  <si>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</si>
  <si>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</si>
  <si>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</si>
  <si>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</si>
  <si>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</si>
  <si>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</si>
  <si>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</si>
  <si>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</si>
  <si>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</si>
  <si>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</si>
  <si>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</si>
  <si>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</si>
  <si>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</si>
  <si>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</si>
  <si>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</si>
  <si>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</si>
  <si>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</si>
  <si>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</si>
  <si>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</si>
  <si>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</si>
  <si>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</si>
  <si>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</si>
  <si>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</si>
  <si>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</si>
  <si>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</si>
  <si>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</si>
  <si>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</si>
  <si>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</si>
  <si>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</si>
  <si>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</si>
  <si>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</si>
  <si>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</si>
  <si>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</si>
  <si>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</si>
  <si>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</si>
  <si>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</si>
  <si>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</si>
  <si>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</si>
  <si>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</si>
  <si>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</si>
  <si>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</si>
  <si>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</si>
  <si>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</si>
  <si>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</si>
  <si>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</si>
  <si>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</si>
  <si>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</si>
  <si>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</si>
  <si>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</si>
  <si>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</si>
  <si>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</si>
  <si>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</si>
  <si>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</si>
  <si>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</si>
  <si>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</si>
  <si>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</si>
  <si>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</si>
  <si>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</si>
  <si>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</si>
  <si>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</si>
  <si>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</si>
  <si>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</si>
  <si>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</si>
  <si>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</si>
  <si>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</si>
  <si>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</si>
  <si>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</si>
  <si>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</si>
  <si>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</si>
  <si>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</si>
  <si>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</si>
  <si>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</si>
  <si>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</si>
  <si>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</si>
  <si>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</si>
  <si>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</si>
  <si>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</si>
  <si>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</si>
  <si>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</si>
  <si>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</si>
  <si>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</si>
  <si>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</si>
  <si>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</si>
  <si>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</si>
  <si>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</si>
  <si>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</si>
  <si>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</si>
  <si>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</si>
  <si>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</si>
  <si>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</si>
  <si>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</si>
  <si>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</si>
  <si>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</si>
  <si>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</si>
  <si>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</si>
  <si>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</si>
  <si>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</si>
  <si>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</si>
  <si>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</si>
  <si>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</si>
  <si>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</si>
  <si>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</si>
  <si>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</si>
  <si>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</si>
  <si>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</si>
  <si>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</si>
  <si>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</si>
  <si>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</si>
  <si>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</si>
  <si>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</si>
  <si>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</si>
  <si>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</si>
  <si>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</si>
  <si>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</si>
  <si>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</si>
  <si>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</si>
  <si>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</si>
  <si>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</si>
  <si>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</si>
  <si>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</si>
  <si>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</si>
  <si>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</si>
  <si>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</si>
  <si>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</si>
  <si>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</si>
  <si>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</si>
  <si>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</si>
  <si>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</si>
  <si>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</si>
  <si>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</si>
  <si>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</si>
  <si>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</si>
  <si>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</si>
  <si>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</si>
  <si>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</si>
  <si>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</si>
  <si>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</si>
  <si>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</si>
  <si>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</si>
  <si>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</si>
  <si>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</si>
  <si>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</si>
  <si>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</si>
  <si>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</si>
  <si>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</si>
  <si>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</si>
  <si>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</si>
  <si>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</si>
  <si>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</si>
  <si>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</si>
  <si>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</si>
  <si>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</si>
  <si>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</si>
  <si>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</si>
  <si>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</si>
  <si>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</si>
  <si>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</si>
  <si>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</si>
  <si>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</si>
  <si>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</si>
  <si>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</si>
  <si>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</si>
  <si>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</si>
  <si>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</si>
  <si>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</si>
  <si>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</si>
  <si>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</si>
  <si>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</si>
  <si>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</si>
  <si>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</si>
  <si>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</si>
  <si>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</si>
  <si>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</si>
  <si>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</si>
  <si>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</si>
  <si>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</si>
  <si>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</si>
  <si>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</si>
  <si>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</si>
  <si>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</si>
  <si>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</si>
  <si>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</si>
  <si>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</si>
  <si>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</si>
  <si>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</si>
  <si>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</si>
  <si>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</si>
  <si>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</si>
  <si>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</si>
  <si>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</si>
  <si>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</si>
  <si>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</si>
  <si>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</si>
  <si>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</si>
  <si>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</si>
  <si>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</si>
  <si>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</si>
  <si>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</si>
  <si>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</si>
  <si>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</si>
  <si>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</si>
  <si>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</si>
  <si>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</si>
  <si>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</si>
  <si>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</si>
  <si>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</si>
  <si>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</si>
  <si>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</si>
  <si>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</si>
  <si>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</si>
  <si>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</si>
  <si>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</si>
  <si>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</si>
  <si>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</si>
  <si>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</si>
  <si>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</si>
  <si>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</si>
  <si>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</si>
  <si>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</si>
  <si>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</si>
  <si>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</si>
  <si>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</si>
  <si>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</si>
  <si>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</si>
  <si>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</si>
  <si>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</si>
  <si>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</si>
  <si>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</si>
  <si>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</si>
  <si>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</si>
  <si>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</si>
  <si>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</si>
  <si>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</si>
  <si>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</si>
  <si>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</si>
  <si>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</si>
  <si>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</si>
  <si>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</si>
  <si>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</si>
  <si>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</si>
  <si>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</si>
  <si>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</si>
  <si>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</si>
  <si>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</si>
  <si>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</si>
  <si>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</si>
  <si>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</si>
  <si>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</si>
  <si>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</si>
  <si>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</si>
  <si>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</si>
  <si>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</si>
  <si>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</si>
  <si>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</si>
  <si>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</si>
  <si>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</si>
  <si>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</si>
  <si>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</si>
  <si>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</si>
  <si>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</si>
  <si>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</si>
  <si>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</si>
  <si>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</si>
  <si>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</si>
  <si>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</si>
  <si>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</si>
  <si>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</si>
  <si>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</si>
  <si>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</si>
  <si>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</si>
  <si>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</si>
  <si>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</si>
  <si>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</si>
  <si>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</si>
  <si>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</si>
  <si>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</si>
  <si>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</si>
  <si>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</si>
  <si>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</si>
  <si>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</si>
  <si>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</si>
  <si>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</si>
  <si>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</si>
  <si>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</si>
  <si>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0.1.0-alpha+20150424.175154</t>
  </si>
  <si>
    <t xml:space="preserve">  - {Version: "0.1.0", Profile: "Specimen", CreationTool: "Excel Template v0.1.0-alpha+20150424.175154", DateCreated: "2015-04-24", DateUpdated: "2015-04-24"}</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</si>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</sst>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8">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70" xfId="0" applyFill="1" applyBorder="1" applyProtection="1">
      <protection locked="0"/>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11" fillId="0" borderId="0" xfId="0" applyFont="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0" fillId="0" borderId="0" xfId="0" applyBorder="1" applyAlignment="1" applyProtection="1"/>
    <xf numFmtId="0" fontId="6" fillId="0" borderId="0" xfId="0" applyFont="1"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1" xfId="0"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76" dataDxfId="274" headerRowBorderDxfId="275" tableBorderDxfId="273">
  <tableColumns count="10">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62" dataDxfId="260" headerRowBorderDxfId="261" tableBorderDxfId="259">
  <tableColumns count="4">
    <tableColumn id="4" name="SiteID" dataDxfId="258">
      <calculatedColumnFormula>IF(SamplingFeatures[[#This Row],[Sampling Feature Type]]="Site",MAX(INDIRECT(CONCATENATE("R",ROW(Sites[#Headers]),"C",COLUMN(),":R",ROW()-1,"C",COLUMN()),FALSE))+1,"")</calculatedColumnFormula>
    </tableColumn>
    <tableColumn id="1" name="Site Type" dataDxfId="257"/>
    <tableColumn id="2" name="Latitude" dataDxfId="256"/>
    <tableColumn id="3" name="Longitude" dataDxfId="255"/>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54" dataDxfId="252" headerRowBorderDxfId="253" tableBorderDxfId="251">
  <tableColumns count="4">
    <tableColumn id="4" name="SpecimenID" dataDxfId="250">
      <calculatedColumnFormula>IF(SamplingFeatures[[#This Row],[Sampling Feature Type]]="Specimen",MAX(INDIRECT(CONCATENATE("R",ROW(Specimens[#Headers]),"C",COLUMN(),":R",ROW()-1,"C",COLUMN()),FALSE))+1,"")</calculatedColumnFormula>
    </tableColumn>
    <tableColumn id="1" name="Specimen Type" dataDxfId="249"/>
    <tableColumn id="2" name="Specimen Medium" dataDxfId="248"/>
    <tableColumn id="3" name="Is Field Specimen?" dataDxfId="247"/>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46" dataDxfId="244" headerRowBorderDxfId="245" tableBorderDxfId="243">
  <tableColumns count="8">
    <tableColumn id="1" name="Spatial Offset Code" dataDxfId="242"/>
    <tableColumn id="2" name="Spatial Offset Type" dataDxfId="241"/>
    <tableColumn id="3" name="Offset 1 Value" dataDxfId="240"/>
    <tableColumn id="4" name="Offset 1 Unit" dataDxfId="239"/>
    <tableColumn id="5" name="Offset 2 Value" dataDxfId="238"/>
    <tableColumn id="6" name="Offset 2 Unit" dataDxfId="237"/>
    <tableColumn id="7" name="Offset 3 Value" dataDxfId="236"/>
    <tableColumn id="8" name="Offset 3 Unit" dataDxfId="235"/>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34" dataDxfId="232" headerRowBorderDxfId="233" tableBorderDxfId="231">
  <tableColumns count="4">
    <tableColumn id="1" name="First Sampling Feature Code" dataDxfId="230"/>
    <tableColumn id="2" name="Relationship Type" dataDxfId="229"/>
    <tableColumn id="3" name="Second Sampling Feature Code" dataDxfId="228"/>
    <tableColumn id="5" name="Spatial Offset Code" dataDxfId="227"/>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26" dataDxfId="224" headerRowBorderDxfId="225" tableBorderDxfId="223">
  <tableColumns count="6">
    <tableColumn id="1" name="Method Type" dataDxfId="222"/>
    <tableColumn id="2" name="Method Code" dataDxfId="221"/>
    <tableColumn id="3" name="Method Name" dataDxfId="220"/>
    <tableColumn id="4" name="Method Description" dataDxfId="219"/>
    <tableColumn id="5" name="Method Link" dataDxfId="218"/>
    <tableColumn id="6" name="Organization Name" dataDxfId="217"/>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16" dataDxfId="214" headerRowBorderDxfId="215" tableBorderDxfId="213">
  <tableColumns count="6">
    <tableColumn id="1" name="Variable Type" dataDxfId="212"/>
    <tableColumn id="2" name="Variable Code" dataDxfId="211"/>
    <tableColumn id="3" name="Variable Name" dataDxfId="210"/>
    <tableColumn id="4" name="Variable Definition" dataDxfId="209"/>
    <tableColumn id="5" name="Speciation" dataDxfId="208"/>
    <tableColumn id="6" name="No Data Value" dataDxfId="207"/>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206" dataDxfId="204" headerRowBorderDxfId="205" tableBorderDxfId="203">
  <tableColumns count="3">
    <tableColumn id="1" name="Processing Level Code" dataDxfId="202"/>
    <tableColumn id="2" name="Definition" dataDxfId="201"/>
    <tableColumn id="3" name="Explanation" dataDxfId="200"/>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98" headerRowBorderDxfId="199" tableBorderDxfId="197">
  <tableColumns count="4">
    <tableColumn id="1" name="Taxonomic Classifier Type" dataDxfId="196"/>
    <tableColumn id="2" name="Taxonomic Classifier Name" dataDxfId="195"/>
    <tableColumn id="3" name="Taxonomic Classifier Common Name" dataDxfId="194"/>
    <tableColumn id="4" name="Taxonomic Classifier Description" dataDxfId="193"/>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92" dataDxfId="190" totalsRowDxfId="188" headerRowBorderDxfId="191" tableBorderDxfId="189">
  <tableColumns count="29">
    <tableColumn id="1" name="Col#" totalsRowLabel="Total" dataDxfId="187" totalsRowDxfId="186">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85" totalsRowDxfId="184"/>
    <tableColumn id="17" name="ColumnType" dataDxfId="183" totalsRowDxfId="182"/>
    <tableColumn id="22" name="AppliesToColumn" dataDxfId="181" totalsRowDxfId="180"/>
    <tableColumn id="18" name="ParentSamplingFeatureCode" dataDxfId="179" totalsRowDxfId="178"/>
    <tableColumn id="24" name="RelationshipTypeCV" dataDxfId="177" totalsRowDxfId="176"/>
    <tableColumn id="28" name="CollectionDateTimeUTCOffset" dataDxfId="175" totalsRowDxfId="174"/>
    <tableColumn id="3" name="SpecimenCollector" dataDxfId="173" totalsRowDxfId="172"/>
    <tableColumn id="27" name="CollectionMethodCode" dataDxfId="171" totalsRowDxfId="170"/>
    <tableColumn id="20" name="SpecimenMediumCV" dataDxfId="169" totalsRowDxfId="168"/>
    <tableColumn id="21" name="SpecimenTypeCV" dataDxfId="167" totalsRowDxfId="166"/>
    <tableColumn id="4" name="IsFieldSpecimen" dataDxfId="165" totalsRowDxfId="164"/>
    <tableColumn id="23" name="SpatialOffsetCode" dataDxfId="163" totalsRowDxfId="162"/>
    <tableColumn id="6" name="ResultTypeCV" dataDxfId="161" totalsRowDxfId="160"/>
    <tableColumn id="7" name="VariableCode" dataDxfId="159" totalsRowDxfId="158"/>
    <tableColumn id="8" name="UnitName" dataDxfId="157" totalsRowDxfId="156"/>
    <tableColumn id="11" name="SampledMediumCV" dataDxfId="155" totalsRowDxfId="154"/>
    <tableColumn id="10" name="ResultAnalyst" dataDxfId="153" totalsRowDxfId="152"/>
    <tableColumn id="29" name="AnalysisDateTimeUTCOffset" dataDxfId="151" totalsRowDxfId="150"/>
    <tableColumn id="5" name="AnalysisMethodCode" dataDxfId="149" totalsRowDxfId="148"/>
    <tableColumn id="9" name="ProcessingLevelCode" dataDxfId="147" totalsRowDxfId="146"/>
    <tableColumn id="15" name="CensorCodeCV" dataDxfId="145" totalsRowDxfId="144"/>
    <tableColumn id="16" name="QualityCodeCV" dataDxfId="143" totalsRowDxfId="142"/>
    <tableColumn id="19" name="TaxonomicClassifierName" dataDxfId="141" totalsRowDxfId="140"/>
    <tableColumn id="12" name="TimeAggregationInterval" dataDxfId="139" totalsRowDxfId="138"/>
    <tableColumn id="13" name="TimeAggregationIntervalUnitCode" dataDxfId="137" totalsRowDxfId="136"/>
    <tableColumn id="14" name="AggregationStatisticCV" totalsRowFunction="count" dataDxfId="135" totalsRowDxfId="134"/>
    <tableColumn id="25" name="DVNum" dataDxfId="133" totalsRowDxfId="132">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1" totalsRowDxfId="130">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29" dataDxfId="128">
  <sortState ref="A2:L16">
    <sortCondition ref="B1"/>
  </sortState>
  <tableColumns count="12">
    <tableColumn id="1" name="DataType" dataDxfId="127"/>
    <tableColumn id="2" name="ODM Table" dataDxfId="126"/>
    <tableColumn id="5" name="CV Name" dataDxfId="125"/>
    <tableColumn id="3" name="REQUIRED" dataDxfId="124"/>
    <tableColumn id="4" name="VBV or Column" dataDxfId="123"/>
    <tableColumn id="12" name="Data Columns Input Column" dataDxfId="122">
      <calculatedColumnFormula>MATCH(SpecimenColumnFinder[[#This Row],[DataType]],DataColumns[#Headers],0)</calculatedColumnFormula>
    </tableColumn>
    <tableColumn id="6" name="Data Values Column Number" dataDxfId="121">
      <calculatedColumnFormula>MATCH(SpecimenColumnFinder[[#This Row],[DataType]],DataColumns[ColumnType],0)</calculatedColumnFormula>
    </tableColumn>
    <tableColumn id="9" name="Num Required" dataDxfId="120">
      <calculatedColumnFormula>IF(SpecimenColumnFinder[[#This Row],[REQUIRED]]="Optional",0,
IF(SpecimenColumnFinder[[#This Row],[VBV or Column]]="Value-By-Value",NumSpecimens,
1))</calculatedColumnFormula>
    </tableColumn>
    <tableColumn id="7" name="Num Given" dataDxfId="11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18">
      <calculatedColumnFormula>IF(SpecimenColumnFinder[[#This Row],[Num Given]]&lt;SpecimenColumnFinder[[#This Row],[Num Required]],
"MISSING",
"OK")</calculatedColumnFormula>
    </tableColumn>
    <tableColumn id="11" name="First Value Address" dataDxfId="11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1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15" dataDxfId="113" headerRowBorderDxfId="114" tableBorderDxfId="112" totalsRowBorderDxfId="111">
  <tableColumns count="17">
    <tableColumn id="1" name="DataType" dataDxfId="110"/>
    <tableColumn id="2" name="ODM Table" dataDxfId="109"/>
    <tableColumn id="3" name="CV Name" dataDxfId="108"/>
    <tableColumn id="5" name="REQUIRED" dataDxfId="107"/>
    <tableColumn id="6" name="VBV or Column" dataDxfId="106"/>
    <tableColumn id="14" name="DV Num" dataDxfId="105"/>
    <tableColumn id="15" name="Data Value Label" dataDxfId="104">
      <calculatedColumnFormula>INDEX(DataColumns[ColumnLabel],MATCH(ResultColumnFinder[[#This Row],[DV Num]],DataColumns[DVNum],0))</calculatedColumnFormula>
    </tableColumn>
    <tableColumn id="20" name="Concat" dataDxfId="103">
      <calculatedColumnFormula>CONCATENATE(ResultColumnFinder[[#This Row],[DataType]],ResultColumnFinder[[#This Row],[Data Value Label]])</calculatedColumnFormula>
    </tableColumn>
    <tableColumn id="22" name="Concat2" dataDxfId="102">
      <calculatedColumnFormula>CONCATENATE(ResultColumnFinder[[#This Row],[DataType]],ResultColumnFinder[[#This Row],[DV Num]])</calculatedColumnFormula>
    </tableColumn>
    <tableColumn id="7" name="Data Columns Input Column" dataDxfId="101">
      <calculatedColumnFormula>MATCH(ResultColumnFinder[[#This Row],[DataType]],DataColumns[#Headers],0)</calculatedColumnFormula>
    </tableColumn>
    <tableColumn id="21" name="Data Values Input Row" dataDxfId="100">
      <calculatedColumnFormula>MATCH(CONCATENATE("ResultValue",ResultColumnFinder[[#This Row],[Data Value Label]]),DataColumns[Concat],0)</calculatedColumnFormula>
    </tableColumn>
    <tableColumn id="8" name="Data Values Column Number" dataDxfId="99">
      <calculatedColumnFormula>MATCH(ResultColumnFinder[[#This Row],[Concat]],DataColumns[Concat],0)</calculatedColumnFormula>
    </tableColumn>
    <tableColumn id="9" name="Num Required" dataDxfId="98">
      <calculatedColumnFormula>IF(ResultColumnFinder[[#This Row],[REQUIRED]]="Optional",0,
IF(ResultColumnFinder[[#This Row],[VBV or Column]]="Value-By-Value",NumSpecimens,
1))</calculatedColumnFormula>
    </tableColumn>
    <tableColumn id="10" name="Num Given" dataDxfId="97">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6">
      <calculatedColumnFormula>IF(ResultColumnFinder[[#This Row],[Num Given]]&lt;ResultColumnFinder[[#This Row],[Num Required]],
"MISSING",
"OK")</calculatedColumnFormula>
    </tableColumn>
    <tableColumn id="12" name="First Value Address" dataDxfId="95">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4">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X793" totalsRowShown="0" headerRowDxfId="93">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2" headerRowBorderDxfId="91" tableBorderDxfId="90">
  <autoFilter ref="A4:D8"/>
  <tableColumns count="4">
    <tableColumn id="1" name="SRSCode" dataDxfId="89"/>
    <tableColumn id="2" name="SRSName" dataDxfId="88"/>
    <tableColumn id="3" name="SRSDescription" dataDxfId="87"/>
    <tableColumn id="4" name="SRSLink" dataDxfId="8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5" headerRowBorderDxfId="84" tableBorderDxfId="83">
  <autoFilter ref="A17:E20"/>
  <tableColumns count="5">
    <tableColumn id="1" name="External Identifier System Name" dataDxfId="82"/>
    <tableColumn id="2" name="Identifier System Organization Name" dataDxfId="81"/>
    <tableColumn id="3" name="External Identifier System Descrption" dataDxfId="80"/>
    <tableColumn id="4" name="External Identifier System URL" dataDxfId="79" dataCellStyle="Hyperlink"/>
    <tableColumn id="5" name="URI Structure" dataDxfId="7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7" headerRowBorderDxfId="76" tableBorderDxfId="75">
  <autoFilter ref="A4:E7"/>
  <tableColumns count="5">
    <tableColumn id="1" name="Organization Type [CV]" dataDxfId="74"/>
    <tableColumn id="2" name="Organization Code" dataDxfId="73"/>
    <tableColumn id="3" name="Organization Name" dataDxfId="72"/>
    <tableColumn id="4" name="Organization Description" dataDxfId="71"/>
    <tableColumn id="5" name="Organization Link" dataDxfId="7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90" customWidth="1"/>
  </cols>
  <sheetData>
    <row r="1" spans="1:1" s="5" customFormat="1" ht="18.75" x14ac:dyDescent="0.3">
      <c r="A1" s="196" t="s">
        <v>1274</v>
      </c>
    </row>
    <row r="2" spans="1:1" s="5" customFormat="1" ht="18.75" x14ac:dyDescent="0.3">
      <c r="A2" s="197" t="s">
        <v>1543</v>
      </c>
    </row>
    <row r="3" spans="1:1" s="5" customFormat="1" ht="18.75" x14ac:dyDescent="0.3">
      <c r="A3" s="196" t="s">
        <v>1273</v>
      </c>
    </row>
    <row r="4" spans="1:1" s="5" customFormat="1" ht="18.75" x14ac:dyDescent="0.3">
      <c r="A4" s="197" t="s">
        <v>26</v>
      </c>
    </row>
    <row r="5" spans="1:1" s="5" customFormat="1" ht="18.75" x14ac:dyDescent="0.3">
      <c r="A5" s="196" t="s">
        <v>1272</v>
      </c>
    </row>
    <row r="6" spans="1:1" s="5" customFormat="1" ht="18.75" x14ac:dyDescent="0.3">
      <c r="A6" s="197" t="s">
        <v>1689</v>
      </c>
    </row>
    <row r="7" spans="1:1" s="5" customFormat="1" x14ac:dyDescent="0.25">
      <c r="A7" s="90"/>
    </row>
    <row r="8" spans="1:1" ht="18.75" x14ac:dyDescent="0.3">
      <c r="A8" s="196" t="s">
        <v>1189</v>
      </c>
    </row>
    <row r="9" spans="1:1" s="5" customFormat="1" ht="30" x14ac:dyDescent="0.25">
      <c r="A9" s="90" t="s">
        <v>1207</v>
      </c>
    </row>
    <row r="10" spans="1:1" s="5" customFormat="1" x14ac:dyDescent="0.25">
      <c r="A10" s="90"/>
    </row>
    <row r="11" spans="1:1" ht="18.75" x14ac:dyDescent="0.3">
      <c r="A11" s="196" t="s">
        <v>1188</v>
      </c>
    </row>
    <row r="12" spans="1:1" s="5" customFormat="1" x14ac:dyDescent="0.25">
      <c r="A12" s="198" t="s">
        <v>1459</v>
      </c>
    </row>
    <row r="13" spans="1:1" s="5" customFormat="1" ht="30" x14ac:dyDescent="0.25">
      <c r="A13" s="199" t="s">
        <v>1460</v>
      </c>
    </row>
    <row r="14" spans="1:1" s="5" customFormat="1" x14ac:dyDescent="0.25">
      <c r="A14" s="199" t="s">
        <v>1461</v>
      </c>
    </row>
    <row r="15" spans="1:1" s="5" customFormat="1" x14ac:dyDescent="0.25">
      <c r="A15" s="200" t="s">
        <v>1462</v>
      </c>
    </row>
    <row r="16" spans="1:1" s="5" customFormat="1" ht="30" x14ac:dyDescent="0.25">
      <c r="A16" s="199" t="s">
        <v>1463</v>
      </c>
    </row>
    <row r="17" spans="1:1" s="5" customFormat="1" ht="30" x14ac:dyDescent="0.25">
      <c r="A17" s="199" t="s">
        <v>1464</v>
      </c>
    </row>
    <row r="18" spans="1:1" s="5" customFormat="1" x14ac:dyDescent="0.25">
      <c r="A18" s="199" t="s">
        <v>1465</v>
      </c>
    </row>
    <row r="19" spans="1:1" s="5" customFormat="1" x14ac:dyDescent="0.25">
      <c r="A19" s="199" t="s">
        <v>1466</v>
      </c>
    </row>
    <row r="20" spans="1:1" s="5" customFormat="1" ht="30" x14ac:dyDescent="0.25">
      <c r="A20" s="199" t="s">
        <v>1467</v>
      </c>
    </row>
    <row r="21" spans="1:1" s="5" customFormat="1" ht="30" x14ac:dyDescent="0.25">
      <c r="A21" s="199" t="s">
        <v>1468</v>
      </c>
    </row>
    <row r="22" spans="1:1" s="5" customFormat="1" ht="30" x14ac:dyDescent="0.25">
      <c r="A22" s="199" t="s">
        <v>1469</v>
      </c>
    </row>
    <row r="23" spans="1:1" s="5" customFormat="1" x14ac:dyDescent="0.25">
      <c r="A23" s="200" t="s">
        <v>1494</v>
      </c>
    </row>
    <row r="24" spans="1:1" s="5" customFormat="1" ht="30" x14ac:dyDescent="0.25">
      <c r="A24" s="199" t="s">
        <v>1495</v>
      </c>
    </row>
    <row r="25" spans="1:1" s="5" customFormat="1" ht="30" x14ac:dyDescent="0.25">
      <c r="A25" s="199" t="s">
        <v>1496</v>
      </c>
    </row>
    <row r="26" spans="1:1" s="5" customFormat="1" x14ac:dyDescent="0.25">
      <c r="A26" s="199" t="s">
        <v>1499</v>
      </c>
    </row>
    <row r="27" spans="1:1" s="5" customFormat="1" ht="45" x14ac:dyDescent="0.25">
      <c r="A27" s="199" t="s">
        <v>1498</v>
      </c>
    </row>
    <row r="28" spans="1:1" s="5" customFormat="1" x14ac:dyDescent="0.25">
      <c r="A28" s="199" t="s">
        <v>1500</v>
      </c>
    </row>
    <row r="29" spans="1:1" s="5" customFormat="1" ht="30" x14ac:dyDescent="0.25">
      <c r="A29" s="199" t="s">
        <v>1501</v>
      </c>
    </row>
    <row r="30" spans="1:1" s="5" customFormat="1" ht="30" x14ac:dyDescent="0.25">
      <c r="A30" s="199" t="s">
        <v>1502</v>
      </c>
    </row>
    <row r="31" spans="1:1" s="5" customFormat="1" ht="30" x14ac:dyDescent="0.25">
      <c r="A31" s="199" t="s">
        <v>1503</v>
      </c>
    </row>
    <row r="32" spans="1:1" s="5" customFormat="1" ht="30" x14ac:dyDescent="0.25">
      <c r="A32" s="199" t="s">
        <v>1504</v>
      </c>
    </row>
    <row r="33" spans="1:1" s="5" customFormat="1" x14ac:dyDescent="0.25">
      <c r="A33" s="200" t="s">
        <v>1470</v>
      </c>
    </row>
    <row r="34" spans="1:1" s="5" customFormat="1" x14ac:dyDescent="0.25">
      <c r="A34" s="199" t="s">
        <v>1471</v>
      </c>
    </row>
    <row r="35" spans="1:1" ht="30" x14ac:dyDescent="0.25">
      <c r="A35" s="199" t="s">
        <v>1472</v>
      </c>
    </row>
    <row r="36" spans="1:1" ht="30" x14ac:dyDescent="0.25">
      <c r="A36" s="199" t="s">
        <v>1473</v>
      </c>
    </row>
    <row r="37" spans="1:1" s="5" customFormat="1" ht="30" x14ac:dyDescent="0.25">
      <c r="A37" s="199" t="s">
        <v>1474</v>
      </c>
    </row>
    <row r="38" spans="1:1" s="5" customFormat="1" ht="30" x14ac:dyDescent="0.25">
      <c r="A38" s="199" t="s">
        <v>1475</v>
      </c>
    </row>
    <row r="39" spans="1:1" ht="30" x14ac:dyDescent="0.25">
      <c r="A39" s="199" t="s">
        <v>1476</v>
      </c>
    </row>
    <row r="40" spans="1:1" x14ac:dyDescent="0.25">
      <c r="A40" s="200" t="s">
        <v>1477</v>
      </c>
    </row>
    <row r="41" spans="1:1" ht="30" x14ac:dyDescent="0.25">
      <c r="A41" s="199" t="s">
        <v>1478</v>
      </c>
    </row>
    <row r="42" spans="1:1" ht="30" x14ac:dyDescent="0.25">
      <c r="A42" s="199" t="s">
        <v>1479</v>
      </c>
    </row>
    <row r="43" spans="1:1" s="5" customFormat="1" ht="30" x14ac:dyDescent="0.25">
      <c r="A43" s="199" t="s">
        <v>1688</v>
      </c>
    </row>
    <row r="44" spans="1:1" ht="30" x14ac:dyDescent="0.25">
      <c r="A44" s="199" t="s">
        <v>1480</v>
      </c>
    </row>
    <row r="45" spans="1:1" ht="30" x14ac:dyDescent="0.25">
      <c r="A45" s="199" t="s">
        <v>1481</v>
      </c>
    </row>
    <row r="46" spans="1:1" ht="30" x14ac:dyDescent="0.25">
      <c r="A46" s="199" t="s">
        <v>1482</v>
      </c>
    </row>
    <row r="47" spans="1:1" ht="30" x14ac:dyDescent="0.25">
      <c r="A47" s="199" t="s">
        <v>1483</v>
      </c>
    </row>
    <row r="48" spans="1:1" x14ac:dyDescent="0.25">
      <c r="A48" s="199" t="s">
        <v>1484</v>
      </c>
    </row>
    <row r="49" spans="1:1" x14ac:dyDescent="0.25">
      <c r="A49" s="200" t="s">
        <v>1485</v>
      </c>
    </row>
    <row r="50" spans="1:1" x14ac:dyDescent="0.25">
      <c r="A50" s="199" t="s">
        <v>1486</v>
      </c>
    </row>
    <row r="51" spans="1:1" x14ac:dyDescent="0.25">
      <c r="A51" s="199" t="s">
        <v>1487</v>
      </c>
    </row>
    <row r="52" spans="1:1" x14ac:dyDescent="0.25">
      <c r="A52" s="199" t="s">
        <v>1488</v>
      </c>
    </row>
    <row r="53" spans="1:1" x14ac:dyDescent="0.25">
      <c r="A53" s="199" t="s">
        <v>1489</v>
      </c>
    </row>
    <row r="54" spans="1:1" x14ac:dyDescent="0.25">
      <c r="A54" s="200" t="s">
        <v>1490</v>
      </c>
    </row>
    <row r="55" spans="1:1" ht="30" x14ac:dyDescent="0.25">
      <c r="A55" s="199" t="s">
        <v>1491</v>
      </c>
    </row>
    <row r="56" spans="1:1" x14ac:dyDescent="0.25">
      <c r="A56" s="199" t="s">
        <v>1492</v>
      </c>
    </row>
    <row r="57" spans="1:1" ht="30" x14ac:dyDescent="0.25">
      <c r="A57" s="199" t="s">
        <v>1493</v>
      </c>
    </row>
    <row r="58" spans="1:1" s="5" customFormat="1" x14ac:dyDescent="0.25">
      <c r="A58" s="199"/>
    </row>
    <row r="59" spans="1:1" s="5" customFormat="1" ht="18.75" x14ac:dyDescent="0.3">
      <c r="A59" s="196" t="s">
        <v>1505</v>
      </c>
    </row>
    <row r="60" spans="1:1" s="5" customFormat="1" ht="30" x14ac:dyDescent="0.25">
      <c r="A60" s="199" t="s">
        <v>1507</v>
      </c>
    </row>
    <row r="61" spans="1:1" s="5" customFormat="1" x14ac:dyDescent="0.25">
      <c r="A61" s="199" t="s">
        <v>1509</v>
      </c>
    </row>
    <row r="62" spans="1:1" s="5" customFormat="1" ht="45" x14ac:dyDescent="0.25">
      <c r="A62" s="199" t="s">
        <v>1508</v>
      </c>
    </row>
    <row r="63" spans="1:1" s="5" customFormat="1" ht="30" x14ac:dyDescent="0.25">
      <c r="A63" s="199" t="s">
        <v>1510</v>
      </c>
    </row>
    <row r="64" spans="1:1" s="5" customFormat="1" ht="45" x14ac:dyDescent="0.25">
      <c r="A64" s="199" t="s">
        <v>1513</v>
      </c>
    </row>
    <row r="65" spans="1:1" s="5" customFormat="1" ht="75" x14ac:dyDescent="0.25">
      <c r="A65" s="199" t="s">
        <v>1514</v>
      </c>
    </row>
    <row r="66" spans="1:1" s="5" customFormat="1" ht="75" x14ac:dyDescent="0.25">
      <c r="A66" s="199" t="s">
        <v>1515</v>
      </c>
    </row>
    <row r="67" spans="1:1" s="5" customFormat="1" ht="75" x14ac:dyDescent="0.25">
      <c r="A67" s="199" t="s">
        <v>1516</v>
      </c>
    </row>
    <row r="68" spans="1:1" s="5" customFormat="1" ht="45" x14ac:dyDescent="0.25">
      <c r="A68" s="199" t="s">
        <v>1517</v>
      </c>
    </row>
    <row r="69" spans="1:1" s="5" customFormat="1" ht="30" x14ac:dyDescent="0.25">
      <c r="A69" s="199" t="s">
        <v>1511</v>
      </c>
    </row>
    <row r="70" spans="1:1" s="5" customFormat="1" ht="30" x14ac:dyDescent="0.25">
      <c r="A70" s="199" t="s">
        <v>1512</v>
      </c>
    </row>
    <row r="71" spans="1:1" s="5" customFormat="1" ht="30" x14ac:dyDescent="0.25">
      <c r="A71" s="199" t="s">
        <v>1518</v>
      </c>
    </row>
    <row r="72" spans="1:1" s="5" customFormat="1" ht="45" x14ac:dyDescent="0.25">
      <c r="A72" s="199" t="s">
        <v>1519</v>
      </c>
    </row>
    <row r="73" spans="1:1" s="5" customFormat="1" ht="75" x14ac:dyDescent="0.25">
      <c r="A73" s="199" t="s">
        <v>1520</v>
      </c>
    </row>
    <row r="74" spans="1:1" s="5" customFormat="1" ht="90" x14ac:dyDescent="0.25">
      <c r="A74" s="199" t="s">
        <v>1521</v>
      </c>
    </row>
    <row r="75" spans="1:1" s="5" customFormat="1" ht="75" x14ac:dyDescent="0.25">
      <c r="A75" s="201" t="s">
        <v>1523</v>
      </c>
    </row>
    <row r="76" spans="1:1" s="5" customFormat="1" ht="90" x14ac:dyDescent="0.25">
      <c r="A76" s="201" t="s">
        <v>1522</v>
      </c>
    </row>
    <row r="77" spans="1:1" s="5" customFormat="1" ht="30" x14ac:dyDescent="0.25">
      <c r="A77" s="199" t="s">
        <v>1524</v>
      </c>
    </row>
    <row r="78" spans="1:1" s="5" customFormat="1" ht="60" x14ac:dyDescent="0.25">
      <c r="A78" s="199" t="s">
        <v>1527</v>
      </c>
    </row>
    <row r="79" spans="1:1" s="5" customFormat="1" ht="60" x14ac:dyDescent="0.25">
      <c r="A79" s="199" t="s">
        <v>1528</v>
      </c>
    </row>
    <row r="80" spans="1:1" s="5" customFormat="1" ht="60" x14ac:dyDescent="0.25">
      <c r="A80" s="199" t="s">
        <v>1529</v>
      </c>
    </row>
    <row r="81" spans="1:1" s="5" customFormat="1" ht="75" x14ac:dyDescent="0.25">
      <c r="A81" s="199" t="s">
        <v>1530</v>
      </c>
    </row>
    <row r="82" spans="1:1" s="5" customFormat="1" ht="60" x14ac:dyDescent="0.25">
      <c r="A82" s="199" t="s">
        <v>1531</v>
      </c>
    </row>
    <row r="83" spans="1:1" s="5" customFormat="1" ht="60" x14ac:dyDescent="0.25">
      <c r="A83" s="199" t="s">
        <v>1532</v>
      </c>
    </row>
    <row r="84" spans="1:1" s="5" customFormat="1" ht="60" x14ac:dyDescent="0.25">
      <c r="A84" s="199" t="s">
        <v>1533</v>
      </c>
    </row>
    <row r="85" spans="1:1" s="5" customFormat="1" ht="45" x14ac:dyDescent="0.25">
      <c r="A85" s="199" t="s">
        <v>1534</v>
      </c>
    </row>
    <row r="86" spans="1:1" s="5" customFormat="1" ht="45" x14ac:dyDescent="0.25">
      <c r="A86" s="199" t="s">
        <v>1535</v>
      </c>
    </row>
    <row r="87" spans="1:1" s="5" customFormat="1" ht="60" x14ac:dyDescent="0.25">
      <c r="A87" s="199" t="s">
        <v>1536</v>
      </c>
    </row>
    <row r="88" spans="1:1" s="5" customFormat="1" ht="60" x14ac:dyDescent="0.25">
      <c r="A88" s="199" t="s">
        <v>1537</v>
      </c>
    </row>
    <row r="89" spans="1:1" s="5" customFormat="1" ht="60" x14ac:dyDescent="0.25">
      <c r="A89" s="201" t="s">
        <v>1541</v>
      </c>
    </row>
    <row r="90" spans="1:1" s="5" customFormat="1" ht="45" x14ac:dyDescent="0.25">
      <c r="A90" s="201" t="s">
        <v>1525</v>
      </c>
    </row>
    <row r="91" spans="1:1" s="5" customFormat="1" ht="60" x14ac:dyDescent="0.25">
      <c r="A91" s="201" t="s">
        <v>1526</v>
      </c>
    </row>
    <row r="92" spans="1:1" s="5" customFormat="1" ht="60" x14ac:dyDescent="0.25">
      <c r="A92" s="201" t="s">
        <v>1538</v>
      </c>
    </row>
    <row r="93" spans="1:1" s="5" customFormat="1" ht="30" x14ac:dyDescent="0.25">
      <c r="A93" s="201" t="s">
        <v>1539</v>
      </c>
    </row>
    <row r="94" spans="1:1" s="5" customFormat="1" x14ac:dyDescent="0.25">
      <c r="A94" s="201"/>
    </row>
    <row r="95" spans="1:1" ht="18.75" x14ac:dyDescent="0.3">
      <c r="A95" s="196" t="s">
        <v>1190</v>
      </c>
    </row>
    <row r="96" spans="1:1" ht="30" x14ac:dyDescent="0.25">
      <c r="A96" s="90" t="s">
        <v>1219</v>
      </c>
    </row>
    <row r="97" spans="1:1" x14ac:dyDescent="0.25">
      <c r="A97" s="90" t="s">
        <v>1211</v>
      </c>
    </row>
    <row r="98" spans="1:1" x14ac:dyDescent="0.25">
      <c r="A98" s="90" t="s">
        <v>1212</v>
      </c>
    </row>
    <row r="99" spans="1:1" x14ac:dyDescent="0.25">
      <c r="A99" s="90" t="s">
        <v>1213</v>
      </c>
    </row>
    <row r="100" spans="1:1" x14ac:dyDescent="0.25">
      <c r="A100" s="90" t="s">
        <v>1449</v>
      </c>
    </row>
    <row r="101" spans="1:1" x14ac:dyDescent="0.25">
      <c r="A101" s="90" t="s">
        <v>1210</v>
      </c>
    </row>
    <row r="102" spans="1:1" ht="30" x14ac:dyDescent="0.25">
      <c r="A102" s="90" t="s">
        <v>1214</v>
      </c>
    </row>
    <row r="103" spans="1:1" x14ac:dyDescent="0.25">
      <c r="A103" s="90" t="s">
        <v>1215</v>
      </c>
    </row>
    <row r="104" spans="1:1" x14ac:dyDescent="0.25">
      <c r="A104" s="90" t="s">
        <v>1216</v>
      </c>
    </row>
    <row r="105" spans="1:1" x14ac:dyDescent="0.25">
      <c r="A105" s="90" t="s">
        <v>1217</v>
      </c>
    </row>
    <row r="106" spans="1:1" ht="30" x14ac:dyDescent="0.25">
      <c r="A106" s="90" t="s">
        <v>1218</v>
      </c>
    </row>
    <row r="107" spans="1:1" x14ac:dyDescent="0.25">
      <c r="A107" s="90" t="s">
        <v>1454</v>
      </c>
    </row>
    <row r="108" spans="1:1" ht="30" x14ac:dyDescent="0.25">
      <c r="A108" s="90" t="s">
        <v>1455</v>
      </c>
    </row>
    <row r="110" spans="1:1" ht="18.75" x14ac:dyDescent="0.3">
      <c r="A110" s="196" t="s">
        <v>1456</v>
      </c>
    </row>
    <row r="111" spans="1:1" ht="30" x14ac:dyDescent="0.25">
      <c r="A111" s="90" t="s">
        <v>1457</v>
      </c>
    </row>
    <row r="112" spans="1:1" x14ac:dyDescent="0.25">
      <c r="A112" s="90" t="s">
        <v>1458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K24" sqref="K24"/>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1"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4">
        <f>COUNTA(OrganizationNames)</f>
        <v>0</v>
      </c>
    </row>
    <row r="5" spans="1:9" ht="15.75" thickBot="1" x14ac:dyDescent="0.3">
      <c r="A5" s="26" t="s">
        <v>279</v>
      </c>
      <c r="G5" s="27" t="s">
        <v>1200</v>
      </c>
      <c r="H5" s="54">
        <f>COUNTA(People[Last Name])</f>
        <v>0</v>
      </c>
    </row>
    <row r="6" spans="1:9" ht="15.75" thickBot="1" x14ac:dyDescent="0.3">
      <c r="G6" s="27" t="s">
        <v>1268</v>
      </c>
      <c r="H6" s="54">
        <f ca="1">MAX(People[ExternalIDNum])</f>
        <v>0</v>
      </c>
    </row>
    <row r="7" spans="1:9" ht="15.75" thickBot="1" x14ac:dyDescent="0.3">
      <c r="A7" s="214" t="s">
        <v>142</v>
      </c>
      <c r="B7" s="215"/>
      <c r="C7" s="215"/>
      <c r="D7" s="215"/>
      <c r="E7" s="216"/>
    </row>
    <row r="8" spans="1:9" ht="15.75" thickBot="1" x14ac:dyDescent="0.3">
      <c r="A8" s="133" t="s">
        <v>143</v>
      </c>
      <c r="B8" s="134" t="s">
        <v>144</v>
      </c>
      <c r="C8" s="134" t="s">
        <v>19</v>
      </c>
      <c r="D8" s="135" t="s">
        <v>145</v>
      </c>
      <c r="E8" s="136" t="s">
        <v>146</v>
      </c>
      <c r="I8" s="6"/>
    </row>
    <row r="9" spans="1:9" ht="15.75" thickTop="1" x14ac:dyDescent="0.25">
      <c r="A9" s="137"/>
      <c r="B9" s="7"/>
      <c r="C9" s="7"/>
      <c r="D9" s="8"/>
      <c r="E9" s="141"/>
      <c r="I9" s="6"/>
    </row>
    <row r="10" spans="1:9" x14ac:dyDescent="0.25">
      <c r="A10" s="109"/>
      <c r="B10" s="10"/>
      <c r="C10" s="10"/>
      <c r="D10" s="11"/>
      <c r="E10" s="110"/>
      <c r="G10" s="41"/>
      <c r="I10" s="6"/>
    </row>
    <row r="11" spans="1:9" x14ac:dyDescent="0.25">
      <c r="A11" s="109"/>
      <c r="B11" s="10"/>
      <c r="C11" s="10"/>
      <c r="D11" s="11"/>
      <c r="E11" s="110"/>
      <c r="G11" s="41"/>
      <c r="I11" s="6"/>
    </row>
    <row r="12" spans="1:9" x14ac:dyDescent="0.25">
      <c r="A12" s="109"/>
      <c r="B12" s="10"/>
      <c r="C12" s="142"/>
      <c r="D12" s="11"/>
      <c r="E12" s="110"/>
      <c r="G12" s="41"/>
      <c r="I12" s="6"/>
    </row>
    <row r="13" spans="1:9" x14ac:dyDescent="0.25">
      <c r="A13" s="109"/>
      <c r="B13" s="10"/>
      <c r="C13" s="10"/>
      <c r="D13" s="11"/>
      <c r="E13" s="138"/>
      <c r="G13" s="41"/>
      <c r="I13" s="6"/>
    </row>
    <row r="14" spans="1:9" x14ac:dyDescent="0.25">
      <c r="A14" s="109"/>
      <c r="B14" s="10"/>
      <c r="C14" s="10"/>
      <c r="D14" s="11"/>
      <c r="E14" s="138"/>
      <c r="G14" s="41"/>
      <c r="I14" s="6"/>
    </row>
    <row r="15" spans="1:9" x14ac:dyDescent="0.25">
      <c r="A15" s="109"/>
      <c r="B15" s="10"/>
      <c r="C15" s="10"/>
      <c r="D15" s="11"/>
      <c r="E15" s="138"/>
      <c r="G15" s="41"/>
      <c r="I15" s="6"/>
    </row>
    <row r="16" spans="1:9" x14ac:dyDescent="0.25">
      <c r="A16" s="109"/>
      <c r="B16" s="10"/>
      <c r="C16" s="10"/>
      <c r="D16" s="11"/>
      <c r="E16" s="138"/>
      <c r="G16" s="41"/>
      <c r="I16" s="6"/>
    </row>
    <row r="17" spans="1:9" x14ac:dyDescent="0.25">
      <c r="A17" s="109"/>
      <c r="B17" s="10"/>
      <c r="C17" s="10"/>
      <c r="D17" s="11"/>
      <c r="E17" s="138"/>
      <c r="G17" s="41"/>
      <c r="I17" s="6"/>
    </row>
    <row r="18" spans="1:9" ht="15.75" thickBot="1" x14ac:dyDescent="0.3">
      <c r="A18" s="111"/>
      <c r="B18" s="112"/>
      <c r="C18" s="112"/>
      <c r="D18" s="113"/>
      <c r="E18" s="139"/>
      <c r="G18" s="41"/>
      <c r="I18" s="6"/>
    </row>
    <row r="19" spans="1:9" x14ac:dyDescent="0.25">
      <c r="H19" s="6"/>
      <c r="I19" s="6"/>
    </row>
    <row r="20" spans="1:9" x14ac:dyDescent="0.25">
      <c r="H20" s="6"/>
      <c r="I20" s="6"/>
    </row>
    <row r="21" spans="1:9" ht="15.75" thickBot="1" x14ac:dyDescent="0.3">
      <c r="H21" s="6"/>
      <c r="I21" s="6"/>
    </row>
    <row r="22" spans="1:9" x14ac:dyDescent="0.25">
      <c r="A22" s="217" t="s">
        <v>141</v>
      </c>
      <c r="B22" s="218"/>
      <c r="C22" s="218"/>
      <c r="D22" s="218"/>
      <c r="E22" s="218"/>
      <c r="F22" s="218"/>
      <c r="G22" s="218"/>
      <c r="H22" s="218"/>
      <c r="I22" s="219"/>
    </row>
    <row r="23" spans="1:9" ht="15.75" thickBot="1" x14ac:dyDescent="0.3">
      <c r="A23" s="63" t="s">
        <v>15</v>
      </c>
      <c r="B23" s="65" t="s">
        <v>16</v>
      </c>
      <c r="C23" s="58" t="s">
        <v>17</v>
      </c>
      <c r="D23" s="58" t="s">
        <v>19</v>
      </c>
      <c r="E23" s="58" t="s">
        <v>18</v>
      </c>
      <c r="F23" s="61" t="s">
        <v>176</v>
      </c>
      <c r="G23" s="66" t="s">
        <v>1245</v>
      </c>
      <c r="H23" s="29" t="s">
        <v>277</v>
      </c>
      <c r="I23" s="29" t="s">
        <v>1266</v>
      </c>
    </row>
    <row r="24" spans="1:9" ht="15.75" thickTop="1" x14ac:dyDescent="0.25">
      <c r="A24" s="17"/>
      <c r="B24" s="19"/>
      <c r="C24" s="18"/>
      <c r="D24" s="18"/>
      <c r="E24" s="20"/>
      <c r="F24" s="140"/>
      <c r="G24" s="19"/>
      <c r="H24" s="127" t="str">
        <f>CONCATENATE(People[[#This Row],[First Name]],IF(People[[#This Row],[Middle Name]]="",""," "),People[[#This Row],[Middle Name]]," ",People[[#This Row],[Last Name]])</f>
        <v xml:space="preserve"> </v>
      </c>
      <c r="I24" s="130" t="str">
        <f ca="1">IF(People[[#This Row],[Person OrcID]]&lt;&gt;"",MAX(INDIRECT(CONCATENATE("R",ROW(People[#Headers]),"C",COLUMN(),":R",ROW()-1,"C",COLUMN()),FALSE))+1,"")</f>
        <v/>
      </c>
    </row>
    <row r="25" spans="1:9" x14ac:dyDescent="0.25">
      <c r="A25" s="9"/>
      <c r="B25" s="21"/>
      <c r="C25" s="10"/>
      <c r="D25" s="18"/>
      <c r="E25" s="22"/>
      <c r="F25" s="140"/>
      <c r="G25" s="21"/>
      <c r="H25" s="126" t="str">
        <f>CONCATENATE(People[[#This Row],[First Name]],IF(People[[#This Row],[Middle Name]]="",""," "),People[[#This Row],[Middle Name]]," ",People[[#This Row],[Last Name]])</f>
        <v xml:space="preserve"> </v>
      </c>
      <c r="I25" s="131" t="str">
        <f ca="1">IF(People[[#This Row],[Person OrcID]]&lt;&gt;"",MAX(INDIRECT(CONCATENATE("R",ROW(People[#Headers]),"C",COLUMN(),":R",ROW()-1,"C",COLUMN()),FALSE))+1,"")</f>
        <v/>
      </c>
    </row>
    <row r="26" spans="1:9" x14ac:dyDescent="0.25">
      <c r="A26" s="9"/>
      <c r="B26" s="21"/>
      <c r="C26" s="10"/>
      <c r="D26" s="18"/>
      <c r="E26" s="22"/>
      <c r="F26" s="140"/>
      <c r="G26" s="21"/>
      <c r="H26" s="126" t="str">
        <f>CONCATENATE(People[[#This Row],[First Name]],IF(People[[#This Row],[Middle Name]]="",""," "),People[[#This Row],[Middle Name]]," ",People[[#This Row],[Last Name]])</f>
        <v xml:space="preserve"> </v>
      </c>
      <c r="I26" s="131" t="str">
        <f ca="1">IF(People[[#This Row],[Person OrcID]]&lt;&gt;"",MAX(INDIRECT(CONCATENATE("R",ROW(People[#Headers]),"C",COLUMN(),":R",ROW()-1,"C",COLUMN()),FALSE))+1,"")</f>
        <v/>
      </c>
    </row>
    <row r="27" spans="1:9" x14ac:dyDescent="0.25">
      <c r="A27" s="9"/>
      <c r="B27" s="21"/>
      <c r="C27" s="10"/>
      <c r="D27" s="10"/>
      <c r="E27" s="22"/>
      <c r="F27" s="125"/>
      <c r="G27" s="21"/>
      <c r="H27" s="126" t="str">
        <f>CONCATENATE(People[[#This Row],[First Name]],IF(People[[#This Row],[Middle Name]]="",""," "),People[[#This Row],[Middle Name]]," ",People[[#This Row],[Last Name]])</f>
        <v xml:space="preserve"> </v>
      </c>
      <c r="I27" s="131" t="str">
        <f ca="1">IF(People[[#This Row],[Person OrcID]]&lt;&gt;"",MAX(INDIRECT(CONCATENATE("R",ROW(People[#Headers]),"C",COLUMN(),":R",ROW()-1,"C",COLUMN()),FALSE))+1,"")</f>
        <v/>
      </c>
    </row>
    <row r="28" spans="1:9" x14ac:dyDescent="0.25">
      <c r="A28" s="9"/>
      <c r="B28" s="21"/>
      <c r="C28" s="10"/>
      <c r="D28" s="10"/>
      <c r="E28" s="22"/>
      <c r="F28" s="140"/>
      <c r="G28" s="21"/>
      <c r="H28" s="126" t="str">
        <f>CONCATENATE(People[[#This Row],[First Name]],IF(People[[#This Row],[Middle Name]]="",""," "),People[[#This Row],[Middle Name]]," ",People[[#This Row],[Last Name]])</f>
        <v xml:space="preserve"> </v>
      </c>
      <c r="I28" s="131" t="str">
        <f ca="1">IF(People[[#This Row],[Person OrcID]]&lt;&gt;"",MAX(INDIRECT(CONCATENATE("R",ROW(People[#Headers]),"C",COLUMN(),":R",ROW()-1,"C",COLUMN()),FALSE))+1,"")</f>
        <v/>
      </c>
    </row>
    <row r="29" spans="1:9" x14ac:dyDescent="0.25">
      <c r="A29" s="9"/>
      <c r="B29" s="21"/>
      <c r="C29" s="10"/>
      <c r="D29" s="10"/>
      <c r="E29" s="22"/>
      <c r="F29" s="140"/>
      <c r="G29" s="21"/>
      <c r="H29" s="126" t="str">
        <f>CONCATENATE(People[[#This Row],[First Name]],IF(People[[#This Row],[Middle Name]]="",""," "),People[[#This Row],[Middle Name]]," ",People[[#This Row],[Last Name]])</f>
        <v xml:space="preserve"> </v>
      </c>
      <c r="I29" s="131" t="str">
        <f ca="1">IF(People[[#This Row],[Person OrcID]]&lt;&gt;"",MAX(INDIRECT(CONCATENATE("R",ROW(People[#Headers]),"C",COLUMN(),":R",ROW()-1,"C",COLUMN()),FALSE))+1,"")</f>
        <v/>
      </c>
    </row>
    <row r="30" spans="1:9" x14ac:dyDescent="0.25">
      <c r="A30" s="9"/>
      <c r="B30" s="21"/>
      <c r="C30" s="10"/>
      <c r="D30" s="10"/>
      <c r="E30" s="22"/>
      <c r="F30" s="125"/>
      <c r="G30" s="21"/>
      <c r="H30" s="126" t="str">
        <f>CONCATENATE(People[[#This Row],[First Name]],IF(People[[#This Row],[Middle Name]]="",""," "),People[[#This Row],[Middle Name]]," ",People[[#This Row],[Last Name]])</f>
        <v xml:space="preserve"> </v>
      </c>
      <c r="I30" s="131" t="str">
        <f ca="1">IF(People[[#This Row],[Person OrcID]]&lt;&gt;"",MAX(INDIRECT(CONCATENATE("R",ROW(People[#Headers]),"C",COLUMN(),":R",ROW()-1,"C",COLUMN()),FALSE))+1,"")</f>
        <v/>
      </c>
    </row>
    <row r="31" spans="1:9" x14ac:dyDescent="0.25">
      <c r="A31" s="9"/>
      <c r="B31" s="21"/>
      <c r="C31" s="10"/>
      <c r="D31" s="10"/>
      <c r="E31" s="10"/>
      <c r="F31" s="23"/>
      <c r="G31" s="21"/>
      <c r="H31" s="126" t="str">
        <f>CONCATENATE(People[[#This Row],[First Name]],IF(People[[#This Row],[Middle Name]]="",""," "),People[[#This Row],[Middle Name]]," ",People[[#This Row],[Last Name]])</f>
        <v xml:space="preserve"> </v>
      </c>
      <c r="I31" s="131" t="str">
        <f ca="1">IF(People[[#This Row],[Person OrcID]]&lt;&gt;"",MAX(INDIRECT(CONCATENATE("R",ROW(People[#Headers]),"C",COLUMN(),":R",ROW()-1,"C",COLUMN()),FALSE))+1,"")</f>
        <v/>
      </c>
    </row>
    <row r="32" spans="1:9" x14ac:dyDescent="0.25">
      <c r="A32" s="9"/>
      <c r="B32" s="21"/>
      <c r="C32" s="10"/>
      <c r="D32" s="10"/>
      <c r="E32" s="10"/>
      <c r="F32" s="23"/>
      <c r="G32" s="21"/>
      <c r="H32" s="126" t="str">
        <f>CONCATENATE(People[[#This Row],[First Name]],IF(People[[#This Row],[Middle Name]]="",""," "),People[[#This Row],[Middle Name]]," ",People[[#This Row],[Last Name]])</f>
        <v xml:space="preserve"> </v>
      </c>
      <c r="I32" s="131" t="str">
        <f ca="1">IF(People[[#This Row],[Person OrcID]]&lt;&gt;"",MAX(INDIRECT(CONCATENATE("R",ROW(People[#Headers]),"C",COLUMN(),":R",ROW()-1,"C",COLUMN()),FALSE))+1,"")</f>
        <v/>
      </c>
    </row>
    <row r="33" spans="1:9" ht="15.75" thickBot="1" x14ac:dyDescent="0.3">
      <c r="A33" s="13"/>
      <c r="B33" s="24"/>
      <c r="C33" s="14"/>
      <c r="D33" s="14"/>
      <c r="E33" s="14"/>
      <c r="F33" s="25"/>
      <c r="G33" s="24"/>
      <c r="H33" s="128" t="str">
        <f>CONCATENATE(People[[#This Row],[First Name]],IF(People[[#This Row],[Middle Name]]="",""," "),People[[#This Row],[Middle Name]]," ",People[[#This Row],[Last Name]])</f>
        <v xml:space="preserve"> </v>
      </c>
      <c r="I33" s="132"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0" zoomScale="115" zoomScaleNormal="115" zoomScalePageLayoutView="150" workbookViewId="0">
      <selection activeCell="A28" sqref="A28"/>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20" t="s">
        <v>1314</v>
      </c>
      <c r="B6" s="221"/>
    </row>
    <row r="7" spans="1:4" ht="15.75" thickTop="1" x14ac:dyDescent="0.25">
      <c r="A7" s="37" t="s">
        <v>0</v>
      </c>
      <c r="B7" s="152"/>
    </row>
    <row r="8" spans="1:4" x14ac:dyDescent="0.25">
      <c r="A8" s="38" t="s">
        <v>3</v>
      </c>
      <c r="B8" s="30"/>
    </row>
    <row r="9" spans="1:4" x14ac:dyDescent="0.25">
      <c r="A9" s="38" t="s">
        <v>2</v>
      </c>
      <c r="B9" s="30"/>
    </row>
    <row r="10" spans="1:4" x14ac:dyDescent="0.25">
      <c r="A10" s="38" t="s">
        <v>1</v>
      </c>
      <c r="B10" s="30"/>
      <c r="D10" s="31"/>
    </row>
    <row r="11" spans="1:4" ht="15.75" thickBot="1" x14ac:dyDescent="0.3">
      <c r="A11" s="40" t="s">
        <v>4</v>
      </c>
      <c r="B11" s="153"/>
    </row>
    <row r="12" spans="1:4" ht="15.75" thickBot="1" x14ac:dyDescent="0.3">
      <c r="A12" s="5"/>
      <c r="B12" s="5"/>
    </row>
    <row r="13" spans="1:4" ht="15.75" thickBot="1" x14ac:dyDescent="0.3">
      <c r="A13" s="222" t="s">
        <v>1315</v>
      </c>
      <c r="B13" s="223"/>
    </row>
    <row r="14" spans="1:4" ht="15.75" thickTop="1" x14ac:dyDescent="0.25">
      <c r="A14" s="37" t="s">
        <v>180</v>
      </c>
      <c r="B14" s="152"/>
      <c r="D14" s="31"/>
    </row>
    <row r="15" spans="1:4" x14ac:dyDescent="0.25">
      <c r="A15" s="39" t="s">
        <v>173</v>
      </c>
      <c r="B15" s="138"/>
      <c r="D15" s="31"/>
    </row>
    <row r="16" spans="1:4" x14ac:dyDescent="0.25">
      <c r="A16" s="39" t="s">
        <v>168</v>
      </c>
      <c r="B16" s="138"/>
      <c r="D16" s="31"/>
    </row>
    <row r="17" spans="1:5" x14ac:dyDescent="0.25">
      <c r="A17" s="39" t="s">
        <v>6</v>
      </c>
      <c r="B17" s="138"/>
      <c r="D17" s="31"/>
    </row>
    <row r="18" spans="1:5" x14ac:dyDescent="0.25">
      <c r="A18" s="39" t="s">
        <v>179</v>
      </c>
      <c r="B18" s="138"/>
      <c r="D18" s="31"/>
    </row>
    <row r="19" spans="1:5" ht="15.75" thickBot="1" x14ac:dyDescent="0.3">
      <c r="A19" s="40" t="s">
        <v>5</v>
      </c>
      <c r="B19" s="114"/>
      <c r="D19" s="31"/>
    </row>
    <row r="20" spans="1:5" ht="15.75" thickBot="1" x14ac:dyDescent="0.3"/>
    <row r="21" spans="1:5" ht="15.75" thickBot="1" x14ac:dyDescent="0.3">
      <c r="A21" s="217" t="s">
        <v>1316</v>
      </c>
      <c r="B21" s="219"/>
      <c r="C21" s="32"/>
      <c r="D21" s="33"/>
      <c r="E21" s="33"/>
    </row>
    <row r="22" spans="1:5" ht="15.75" thickBot="1" x14ac:dyDescent="0.3">
      <c r="A22" s="63" t="s">
        <v>172</v>
      </c>
      <c r="B22" s="64" t="s">
        <v>278</v>
      </c>
      <c r="D22" s="27" t="s">
        <v>1198</v>
      </c>
      <c r="E22" s="28">
        <f>COUNTA(AuthorList[Author Name])</f>
        <v>0</v>
      </c>
    </row>
    <row r="23" spans="1:5" ht="15.75" thickTop="1" x14ac:dyDescent="0.25">
      <c r="A23" s="203" t="str">
        <f ca="1">IF(AuthorList[[#This Row],[Author Name]]&lt;&gt;"",MAX(INDIRECT(CONCATENATE("R",ROW(AuthorList[#Headers]),"C",COLUMN(),":R",ROW()-1,"C",COLUMN()),FALSE))+1,"")</f>
        <v/>
      </c>
      <c r="B23" s="46"/>
    </row>
    <row r="24" spans="1:5" x14ac:dyDescent="0.25">
      <c r="A24" s="203" t="str">
        <f ca="1">IF(AuthorList[[#This Row],[Author Name]]&lt;&gt;"",MAX(INDIRECT(CONCATENATE("R",ROW(AuthorList[#Headers]),"C",COLUMN(),":R",ROW()-1,"C",COLUMN()),FALSE))+1,"")</f>
        <v/>
      </c>
      <c r="B24" s="12"/>
    </row>
    <row r="25" spans="1:5" x14ac:dyDescent="0.25">
      <c r="A25" s="203" t="str">
        <f ca="1">IF(AuthorList[[#This Row],[Author Name]]&lt;&gt;"",MAX(INDIRECT(CONCATENATE("R",ROW(AuthorList[#Headers]),"C",COLUMN(),":R",ROW()-1,"C",COLUMN()),FALSE))+1,"")</f>
        <v/>
      </c>
      <c r="B25" s="12"/>
    </row>
    <row r="26" spans="1:5" x14ac:dyDescent="0.25">
      <c r="A26" s="203" t="str">
        <f ca="1">IF(AuthorList[[#This Row],[Author Name]]&lt;&gt;"",MAX(INDIRECT(CONCATENATE("R",ROW(AuthorList[#Headers]),"C",COLUMN(),":R",ROW()-1,"C",COLUMN()),FALSE))+1,"")</f>
        <v/>
      </c>
      <c r="B26" s="12"/>
    </row>
    <row r="27" spans="1:5" x14ac:dyDescent="0.25">
      <c r="A27" s="203" t="str">
        <f ca="1">IF(AuthorList[[#This Row],[Author Name]]&lt;&gt;"",MAX(INDIRECT(CONCATENATE("R",ROW(AuthorList[#Headers]),"C",COLUMN(),":R",ROW()-1,"C",COLUMN()),FALSE))+1,"")</f>
        <v/>
      </c>
      <c r="B27" s="12"/>
    </row>
    <row r="28" spans="1:5" x14ac:dyDescent="0.25">
      <c r="A28" s="203" t="str">
        <f ca="1">IF(AuthorList[[#This Row],[Author Name]]&lt;&gt;"",MAX(INDIRECT(CONCATENATE("R",ROW(AuthorList[#Headers]),"C",COLUMN(),":R",ROW()-1,"C",COLUMN()),FALSE))+1,"")</f>
        <v/>
      </c>
      <c r="B28" s="12"/>
    </row>
    <row r="29" spans="1:5" x14ac:dyDescent="0.25">
      <c r="A29" s="203" t="str">
        <f ca="1">IF(AuthorList[[#This Row],[Author Name]]&lt;&gt;"",MAX(INDIRECT(CONCATENATE("R",ROW(AuthorList[#Headers]),"C",COLUMN(),":R",ROW()-1,"C",COLUMN()),FALSE))+1,"")</f>
        <v/>
      </c>
      <c r="B29" s="12"/>
    </row>
    <row r="30" spans="1:5" x14ac:dyDescent="0.25">
      <c r="A30" s="203" t="str">
        <f ca="1">IF(AuthorList[[#This Row],[Author Name]]&lt;&gt;"",MAX(INDIRECT(CONCATENATE("R",ROW(AuthorList[#Headers]),"C",COLUMN(),":R",ROW()-1,"C",COLUMN()),FALSE))+1,"")</f>
        <v/>
      </c>
      <c r="B30" s="12"/>
    </row>
    <row r="31" spans="1:5" x14ac:dyDescent="0.25">
      <c r="A31" s="203" t="str">
        <f ca="1">IF(AuthorList[[#This Row],[Author Name]]&lt;&gt;"",MAX(INDIRECT(CONCATENATE("R",ROW(AuthorList[#Headers]),"C",COLUMN(),":R",ROW()-1,"C",COLUMN()),FALSE))+1,"")</f>
        <v/>
      </c>
      <c r="B31" s="12"/>
    </row>
    <row r="32" spans="1:5" x14ac:dyDescent="0.25">
      <c r="A32" s="203" t="str">
        <f ca="1">IF(AuthorList[[#This Row],[Author Name]]&lt;&gt;"",MAX(INDIRECT(CONCATENATE("R",ROW(AuthorList[#Headers]),"C",COLUMN(),":R",ROW()-1,"C",COLUMN()),FALSE))+1,"")</f>
        <v/>
      </c>
      <c r="B32" s="16"/>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topLeftCell="A9" zoomScaleNormal="100" zoomScalePageLayoutView="150" workbookViewId="0">
      <selection activeCell="R71" sqref="R7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1" bestFit="1" customWidth="1"/>
    <col min="10" max="10" width="3.7109375" style="6" customWidth="1"/>
    <col min="11" max="11" width="2.85546875" style="42" customWidth="1"/>
    <col min="12" max="12" width="3.7109375" style="6" customWidth="1"/>
    <col min="13" max="13" width="12.7109375" style="6" bestFit="1" customWidth="1"/>
    <col min="14" max="14" width="12.140625" style="41" bestFit="1" customWidth="1"/>
    <col min="15" max="15" width="12.140625" style="43"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s="26" customFormat="1" x14ac:dyDescent="0.25">
      <c r="A1" s="26" t="s">
        <v>1540</v>
      </c>
      <c r="I1" s="177"/>
      <c r="K1" s="204"/>
      <c r="N1" s="177"/>
      <c r="O1" s="205"/>
    </row>
    <row r="2" spans="1:20" s="26" customFormat="1" x14ac:dyDescent="0.25">
      <c r="A2" s="202" t="s">
        <v>1542</v>
      </c>
      <c r="I2" s="177"/>
      <c r="K2" s="204"/>
      <c r="N2" s="177"/>
      <c r="O2" s="205"/>
    </row>
    <row r="3" spans="1:20" s="26" customFormat="1" x14ac:dyDescent="0.25">
      <c r="A3" s="26" t="s">
        <v>1368</v>
      </c>
      <c r="I3" s="177"/>
      <c r="K3" s="204"/>
      <c r="N3" s="177"/>
      <c r="O3" s="205"/>
    </row>
    <row r="4" spans="1:20" s="26" customFormat="1" x14ac:dyDescent="0.25">
      <c r="A4" s="26" t="s">
        <v>1309</v>
      </c>
      <c r="I4" s="177"/>
      <c r="K4" s="204"/>
      <c r="N4" s="177"/>
      <c r="O4" s="205"/>
    </row>
    <row r="5" spans="1:20" s="26" customFormat="1" x14ac:dyDescent="0.25">
      <c r="A5" s="26" t="s">
        <v>1318</v>
      </c>
      <c r="I5" s="177"/>
      <c r="K5" s="204"/>
      <c r="N5" s="177"/>
      <c r="O5" s="205"/>
    </row>
    <row r="6" spans="1:20" s="26" customFormat="1" x14ac:dyDescent="0.25">
      <c r="A6" s="26" t="s">
        <v>275</v>
      </c>
      <c r="I6" s="177"/>
      <c r="K6" s="204"/>
      <c r="N6" s="177"/>
      <c r="O6" s="205"/>
    </row>
    <row r="7" spans="1:20" s="26" customFormat="1" ht="15.75" thickBot="1" x14ac:dyDescent="0.3">
      <c r="I7" s="177"/>
      <c r="K7" s="204"/>
      <c r="N7" s="177"/>
      <c r="O7" s="205"/>
    </row>
    <row r="8" spans="1:20" s="26" customFormat="1" ht="15.75" thickBot="1" x14ac:dyDescent="0.3">
      <c r="A8" s="224" t="s">
        <v>127</v>
      </c>
      <c r="B8" s="225"/>
      <c r="I8" s="177"/>
      <c r="K8" s="204"/>
      <c r="N8" s="177"/>
      <c r="O8" s="205"/>
    </row>
    <row r="9" spans="1:20" s="26" customFormat="1" ht="16.5" thickTop="1" thickBot="1" x14ac:dyDescent="0.3">
      <c r="A9" s="55" t="s">
        <v>25</v>
      </c>
      <c r="B9" s="206"/>
      <c r="D9" s="26" t="s">
        <v>274</v>
      </c>
      <c r="H9" s="27" t="s">
        <v>1197</v>
      </c>
      <c r="I9" s="54">
        <f>COUNTA(SamplingFeatures[Feature Code])</f>
        <v>0</v>
      </c>
      <c r="K9" s="204"/>
      <c r="M9" s="27" t="s">
        <v>1195</v>
      </c>
      <c r="N9" s="54">
        <f ca="1">MAX(Sites[SiteID])</f>
        <v>0</v>
      </c>
      <c r="O9" s="205"/>
      <c r="R9" s="27" t="s">
        <v>1369</v>
      </c>
      <c r="S9" s="28">
        <f ca="1">MAX(Specimens[SpecimenID])</f>
        <v>0</v>
      </c>
    </row>
    <row r="10" spans="1:20" s="26" customFormat="1" ht="15.75" thickBot="1" x14ac:dyDescent="0.3">
      <c r="A10" s="56" t="s">
        <v>126</v>
      </c>
      <c r="B10" s="207"/>
      <c r="D10" s="26" t="s">
        <v>1270</v>
      </c>
      <c r="H10" s="27" t="s">
        <v>1269</v>
      </c>
      <c r="I10" s="54">
        <f ca="1">MAX(SamplingFeatures[IGSNID])</f>
        <v>0</v>
      </c>
      <c r="K10" s="204"/>
      <c r="N10" s="177"/>
      <c r="O10" s="205"/>
    </row>
    <row r="11" spans="1:20" s="26" customFormat="1" ht="15.75" thickBot="1" x14ac:dyDescent="0.3">
      <c r="I11" s="177"/>
      <c r="K11" s="208"/>
      <c r="L11" s="226" t="s">
        <v>1317</v>
      </c>
      <c r="M11" s="226"/>
      <c r="N11" s="226"/>
      <c r="O11" s="226"/>
      <c r="Q11" s="226" t="s">
        <v>1370</v>
      </c>
      <c r="R11" s="226"/>
      <c r="S11" s="226"/>
      <c r="T11" s="226"/>
    </row>
    <row r="12" spans="1:20" s="26" customFormat="1" ht="15.75" thickBot="1" x14ac:dyDescent="0.3">
      <c r="A12" s="57" t="s">
        <v>20</v>
      </c>
      <c r="B12" s="58" t="s">
        <v>21</v>
      </c>
      <c r="C12" s="58" t="s">
        <v>125</v>
      </c>
      <c r="D12" s="58" t="s">
        <v>191</v>
      </c>
      <c r="E12" s="59" t="s">
        <v>189</v>
      </c>
      <c r="F12" s="60" t="s">
        <v>190</v>
      </c>
      <c r="G12" s="61" t="s">
        <v>192</v>
      </c>
      <c r="H12" s="61" t="s">
        <v>24</v>
      </c>
      <c r="I12" s="62" t="s">
        <v>1180</v>
      </c>
      <c r="J12" s="129" t="s">
        <v>1267</v>
      </c>
      <c r="K12" s="209"/>
      <c r="L12" s="52" t="s">
        <v>1136</v>
      </c>
      <c r="M12" s="63" t="s">
        <v>187</v>
      </c>
      <c r="N12" s="58" t="s">
        <v>22</v>
      </c>
      <c r="O12" s="64" t="s">
        <v>23</v>
      </c>
      <c r="Q12" s="52" t="s">
        <v>1371</v>
      </c>
      <c r="R12" s="63" t="s">
        <v>1372</v>
      </c>
      <c r="S12" s="58" t="s">
        <v>1373</v>
      </c>
      <c r="T12" s="64" t="s">
        <v>1374</v>
      </c>
    </row>
    <row r="13" spans="1:20" ht="15.75" thickTop="1" x14ac:dyDescent="0.25">
      <c r="A13" s="143"/>
      <c r="B13" s="18"/>
      <c r="C13" s="18"/>
      <c r="D13" s="18"/>
      <c r="E13" s="44"/>
      <c r="F13" s="45"/>
      <c r="G13" s="46"/>
      <c r="H13" s="46"/>
      <c r="I13" s="46"/>
      <c r="J13" s="131" t="str">
        <f ca="1">IF(SamplingFeatures[[#This Row],[Feature IGSN]]&lt;&gt;"",MAX(INDIRECT(CONCATENATE("R",ROW(SamplingFeatures[#Headers]),"C",COLUMN(),":R",ROW()-1,"C",COLUMN()),FALSE))+1,"")</f>
        <v/>
      </c>
      <c r="K13" s="43"/>
      <c r="L13" s="49" t="str">
        <f ca="1">IF(SamplingFeatures[[#This Row],[Sampling Feature Type]]="Site",MAX(INDIRECT(CONCATENATE("R",ROW(Sites[#Headers]),"C",COLUMN(),":R",ROW()-1,"C",COLUMN()),FALSE))+1,"")</f>
        <v/>
      </c>
      <c r="M13" s="17"/>
      <c r="N13" s="18"/>
      <c r="O13" s="34"/>
      <c r="Q13" s="49" t="str">
        <f ca="1">IF(SamplingFeatures[[#This Row],[Sampling Feature Type]]="Specimen",MAX(INDIRECT(CONCATENATE("R",ROW(Specimens[#Headers]),"C",COLUMN(),":R",ROW()-1,"C",COLUMN()),FALSE))+1,"")</f>
        <v/>
      </c>
      <c r="R13" s="9"/>
      <c r="S13" s="18"/>
      <c r="T13" s="34"/>
    </row>
    <row r="14" spans="1:20" x14ac:dyDescent="0.25">
      <c r="A14" s="144"/>
      <c r="B14" s="18"/>
      <c r="C14" s="18"/>
      <c r="D14" s="10"/>
      <c r="E14" s="11"/>
      <c r="F14" s="47"/>
      <c r="G14" s="12"/>
      <c r="H14" s="12"/>
      <c r="I14" s="12"/>
      <c r="J14" s="131" t="str">
        <f ca="1">IF(SamplingFeatures[[#This Row],[Feature IGSN]]&lt;&gt;"",MAX(INDIRECT(CONCATENATE("R",ROW(SamplingFeatures[#Headers]),"C",COLUMN(),":R",ROW()-1,"C",COLUMN()),FALSE))+1,"")</f>
        <v/>
      </c>
      <c r="K14" s="43"/>
      <c r="L14" s="50" t="str">
        <f ca="1">IF(SamplingFeatures[[#This Row],[Sampling Feature Type]]="Site",MAX(INDIRECT(CONCATENATE("R",ROW(Sites[#Headers]),"C",COLUMN(),":R",ROW()-1,"C",COLUMN()),FALSE))+1,"")</f>
        <v/>
      </c>
      <c r="M14" s="17"/>
      <c r="N14" s="10"/>
      <c r="O14" s="35"/>
      <c r="Q14" s="51" t="str">
        <f ca="1">IF(SamplingFeatures[[#This Row],[Sampling Feature Type]]="Specimen",MAX(INDIRECT(CONCATENATE("R",ROW(Specimens[#Headers]),"C",COLUMN(),":R",ROW()-1,"C",COLUMN()),FALSE))+1,"")</f>
        <v/>
      </c>
      <c r="R14" s="9"/>
      <c r="S14" s="10"/>
      <c r="T14" s="35"/>
    </row>
    <row r="15" spans="1:20" x14ac:dyDescent="0.25">
      <c r="A15" s="144"/>
      <c r="B15" s="18"/>
      <c r="C15" s="18"/>
      <c r="D15" s="10"/>
      <c r="E15" s="11"/>
      <c r="F15" s="47"/>
      <c r="G15" s="12"/>
      <c r="H15" s="12"/>
      <c r="I15" s="12"/>
      <c r="J15" s="131" t="str">
        <f ca="1">IF(SamplingFeatures[[#This Row],[Feature IGSN]]&lt;&gt;"",MAX(INDIRECT(CONCATENATE("R",ROW(SamplingFeatures[#Headers]),"C",COLUMN(),":R",ROW()-1,"C",COLUMN()),FALSE))+1,"")</f>
        <v/>
      </c>
      <c r="K15" s="43"/>
      <c r="L15" s="51" t="str">
        <f ca="1">IF(SamplingFeatures[[#This Row],[Sampling Feature Type]]="Site",MAX(INDIRECT(CONCATENATE("R",ROW(Sites[#Headers]),"C",COLUMN(),":R",ROW()-1,"C",COLUMN()),FALSE))+1,"")</f>
        <v/>
      </c>
      <c r="M15" s="17"/>
      <c r="N15" s="10"/>
      <c r="O15" s="35"/>
      <c r="Q15" s="51" t="str">
        <f ca="1">IF(SamplingFeatures[[#This Row],[Sampling Feature Type]]="Specimen",MAX(INDIRECT(CONCATENATE("R",ROW(Specimens[#Headers]),"C",COLUMN(),":R",ROW()-1,"C",COLUMN()),FALSE))+1,"")</f>
        <v/>
      </c>
      <c r="R15" s="9"/>
      <c r="S15" s="10"/>
      <c r="T15" s="35"/>
    </row>
    <row r="16" spans="1:20" ht="15" customHeight="1" x14ac:dyDescent="0.25">
      <c r="A16" s="144"/>
      <c r="B16" s="18"/>
      <c r="C16" s="18"/>
      <c r="D16" s="10"/>
      <c r="E16" s="11"/>
      <c r="F16" s="47"/>
      <c r="G16" s="12"/>
      <c r="H16" s="12"/>
      <c r="I16" s="12"/>
      <c r="J16" s="131" t="str">
        <f ca="1">IF(SamplingFeatures[[#This Row],[Feature IGSN]]&lt;&gt;"",MAX(INDIRECT(CONCATENATE("R",ROW(SamplingFeatures[#Headers]),"C",COLUMN(),":R",ROW()-1,"C",COLUMN()),FALSE))+1,"")</f>
        <v/>
      </c>
      <c r="K16" s="43"/>
      <c r="L16" s="51" t="str">
        <f ca="1">IF(SamplingFeatures[[#This Row],[Sampling Feature Type]]="Site",MAX(INDIRECT(CONCATENATE("R",ROW(Sites[#Headers]),"C",COLUMN(),":R",ROW()-1,"C",COLUMN()),FALSE))+1,"")</f>
        <v/>
      </c>
      <c r="M16" s="17"/>
      <c r="N16" s="10"/>
      <c r="O16" s="35"/>
      <c r="Q16" s="51" t="str">
        <f ca="1">IF(SamplingFeatures[[#This Row],[Sampling Feature Type]]="Specimen",MAX(INDIRECT(CONCATENATE("R",ROW(Specimens[#Headers]),"C",COLUMN(),":R",ROW()-1,"C",COLUMN()),FALSE))+1,"")</f>
        <v/>
      </c>
      <c r="R16" s="9"/>
      <c r="S16" s="10"/>
      <c r="T16" s="35"/>
    </row>
    <row r="17" spans="1:20" x14ac:dyDescent="0.25">
      <c r="A17" s="144"/>
      <c r="B17" s="18"/>
      <c r="C17" s="18"/>
      <c r="D17" s="10"/>
      <c r="E17" s="11"/>
      <c r="F17" s="47"/>
      <c r="G17" s="12"/>
      <c r="H17" s="12"/>
      <c r="I17" s="12"/>
      <c r="J17" s="131" t="str">
        <f ca="1">IF(SamplingFeatures[[#This Row],[Feature IGSN]]&lt;&gt;"",MAX(INDIRECT(CONCATENATE("R",ROW(SamplingFeatures[#Headers]),"C",COLUMN(),":R",ROW()-1,"C",COLUMN()),FALSE))+1,"")</f>
        <v/>
      </c>
      <c r="K17" s="43"/>
      <c r="L17" s="51" t="str">
        <f ca="1">IF(SamplingFeatures[[#This Row],[Sampling Feature Type]]="Site",MAX(INDIRECT(CONCATENATE("R",ROW(Sites[#Headers]),"C",COLUMN(),":R",ROW()-1,"C",COLUMN()),FALSE))+1,"")</f>
        <v/>
      </c>
      <c r="M17" s="17"/>
      <c r="N17" s="10"/>
      <c r="O17" s="35"/>
      <c r="Q17" s="51" t="str">
        <f ca="1">IF(SamplingFeatures[[#This Row],[Sampling Feature Type]]="Specimen",MAX(INDIRECT(CONCATENATE("R",ROW(Specimens[#Headers]),"C",COLUMN(),":R",ROW()-1,"C",COLUMN()),FALSE))+1,"")</f>
        <v/>
      </c>
      <c r="R17" s="9"/>
      <c r="S17" s="10"/>
      <c r="T17" s="35"/>
    </row>
    <row r="18" spans="1:20" ht="15" customHeight="1" x14ac:dyDescent="0.25">
      <c r="A18" s="144"/>
      <c r="B18" s="18"/>
      <c r="C18" s="18"/>
      <c r="D18" s="10"/>
      <c r="E18" s="11"/>
      <c r="F18" s="47"/>
      <c r="G18" s="12"/>
      <c r="H18" s="12"/>
      <c r="I18" s="12"/>
      <c r="J18" s="131" t="str">
        <f ca="1">IF(SamplingFeatures[[#This Row],[Feature IGSN]]&lt;&gt;"",MAX(INDIRECT(CONCATENATE("R",ROW(SamplingFeatures[#Headers]),"C",COLUMN(),":R",ROW()-1,"C",COLUMN()),FALSE))+1,"")</f>
        <v/>
      </c>
      <c r="K18" s="43"/>
      <c r="L18" s="51" t="str">
        <f ca="1">IF(SamplingFeatures[[#This Row],[Sampling Feature Type]]="Site",MAX(INDIRECT(CONCATENATE("R",ROW(Sites[#Headers]),"C",COLUMN(),":R",ROW()-1,"C",COLUMN()),FALSE))+1,"")</f>
        <v/>
      </c>
      <c r="M18" s="17"/>
      <c r="N18" s="10"/>
      <c r="O18" s="35"/>
      <c r="Q18" s="51" t="str">
        <f ca="1">IF(SamplingFeatures[[#This Row],[Sampling Feature Type]]="Specimen",MAX(INDIRECT(CONCATENATE("R",ROW(Specimens[#Headers]),"C",COLUMN(),":R",ROW()-1,"C",COLUMN()),FALSE))+1,"")</f>
        <v/>
      </c>
      <c r="R18" s="9"/>
      <c r="S18" s="10"/>
      <c r="T18" s="35"/>
    </row>
    <row r="19" spans="1:20" ht="15" customHeight="1" x14ac:dyDescent="0.25">
      <c r="A19" s="144"/>
      <c r="B19" s="18"/>
      <c r="C19" s="18"/>
      <c r="D19" s="10"/>
      <c r="E19" s="11"/>
      <c r="F19" s="47"/>
      <c r="G19" s="12"/>
      <c r="H19" s="12"/>
      <c r="I19" s="12"/>
      <c r="J19" s="131" t="str">
        <f ca="1">IF(SamplingFeatures[[#This Row],[Feature IGSN]]&lt;&gt;"",MAX(INDIRECT(CONCATENATE("R",ROW(SamplingFeatures[#Headers]),"C",COLUMN(),":R",ROW()-1,"C",COLUMN()),FALSE))+1,"")</f>
        <v/>
      </c>
      <c r="K19" s="43"/>
      <c r="L19" s="51" t="str">
        <f ca="1">IF(SamplingFeatures[[#This Row],[Sampling Feature Type]]="Site",MAX(INDIRECT(CONCATENATE("R",ROW(Sites[#Headers]),"C",COLUMN(),":R",ROW()-1,"C",COLUMN()),FALSE))+1,"")</f>
        <v/>
      </c>
      <c r="M19" s="17"/>
      <c r="N19" s="10"/>
      <c r="O19" s="35"/>
      <c r="Q19" s="51" t="str">
        <f ca="1">IF(SamplingFeatures[[#This Row],[Sampling Feature Type]]="Specimen",MAX(INDIRECT(CONCATENATE("R",ROW(Specimens[#Headers]),"C",COLUMN(),":R",ROW()-1,"C",COLUMN()),FALSE))+1,"")</f>
        <v/>
      </c>
      <c r="R19" s="9"/>
      <c r="S19" s="10"/>
      <c r="T19" s="35"/>
    </row>
    <row r="20" spans="1:20" x14ac:dyDescent="0.25">
      <c r="A20" s="144"/>
      <c r="B20" s="18"/>
      <c r="C20" s="18"/>
      <c r="D20" s="10"/>
      <c r="E20" s="11"/>
      <c r="F20" s="47"/>
      <c r="G20" s="12"/>
      <c r="H20" s="12"/>
      <c r="I20" s="12"/>
      <c r="J20" s="131" t="str">
        <f ca="1">IF(SamplingFeatures[[#This Row],[Feature IGSN]]&lt;&gt;"",MAX(INDIRECT(CONCATENATE("R",ROW(SamplingFeatures[#Headers]),"C",COLUMN(),":R",ROW()-1,"C",COLUMN()),FALSE))+1,"")</f>
        <v/>
      </c>
      <c r="K20" s="43"/>
      <c r="L20" s="51" t="str">
        <f ca="1">IF(SamplingFeatures[[#This Row],[Sampling Feature Type]]="Site",MAX(INDIRECT(CONCATENATE("R",ROW(Sites[#Headers]),"C",COLUMN(),":R",ROW()-1,"C",COLUMN()),FALSE))+1,"")</f>
        <v/>
      </c>
      <c r="M20" s="17"/>
      <c r="N20" s="10"/>
      <c r="O20" s="35"/>
      <c r="Q20" s="51" t="str">
        <f ca="1">IF(SamplingFeatures[[#This Row],[Sampling Feature Type]]="Specimen",MAX(INDIRECT(CONCATENATE("R",ROW(Specimens[#Headers]),"C",COLUMN(),":R",ROW()-1,"C",COLUMN()),FALSE))+1,"")</f>
        <v/>
      </c>
      <c r="R20" s="9"/>
      <c r="S20" s="10"/>
      <c r="T20" s="35"/>
    </row>
    <row r="21" spans="1:20" x14ac:dyDescent="0.25">
      <c r="A21" s="144"/>
      <c r="B21" s="18"/>
      <c r="C21" s="18"/>
      <c r="D21" s="10"/>
      <c r="E21" s="11"/>
      <c r="F21" s="47"/>
      <c r="G21" s="12"/>
      <c r="H21" s="12"/>
      <c r="I21" s="12"/>
      <c r="J21" s="131" t="str">
        <f ca="1">IF(SamplingFeatures[[#This Row],[Feature IGSN]]&lt;&gt;"",MAX(INDIRECT(CONCATENATE("R",ROW(SamplingFeatures[#Headers]),"C",COLUMN(),":R",ROW()-1,"C",COLUMN()),FALSE))+1,"")</f>
        <v/>
      </c>
      <c r="K21" s="43"/>
      <c r="L21" s="51" t="str">
        <f ca="1">IF(SamplingFeatures[[#This Row],[Sampling Feature Type]]="Site",MAX(INDIRECT(CONCATENATE("R",ROW(Sites[#Headers]),"C",COLUMN(),":R",ROW()-1,"C",COLUMN()),FALSE))+1,"")</f>
        <v/>
      </c>
      <c r="M21" s="17"/>
      <c r="N21" s="10"/>
      <c r="O21" s="35"/>
      <c r="Q21" s="51" t="str">
        <f ca="1">IF(SamplingFeatures[[#This Row],[Sampling Feature Type]]="Specimen",MAX(INDIRECT(CONCATENATE("R",ROW(Specimens[#Headers]),"C",COLUMN(),":R",ROW()-1,"C",COLUMN()),FALSE))+1,"")</f>
        <v/>
      </c>
      <c r="R21" s="9"/>
      <c r="S21" s="10"/>
      <c r="T21" s="35"/>
    </row>
    <row r="22" spans="1:20" x14ac:dyDescent="0.25">
      <c r="A22" s="144"/>
      <c r="B22" s="18"/>
      <c r="C22" s="18"/>
      <c r="D22" s="10"/>
      <c r="E22" s="11"/>
      <c r="F22" s="47"/>
      <c r="G22" s="12"/>
      <c r="H22" s="12"/>
      <c r="I22" s="12"/>
      <c r="J22" s="131" t="str">
        <f ca="1">IF(SamplingFeatures[[#This Row],[Feature IGSN]]&lt;&gt;"",MAX(INDIRECT(CONCATENATE("R",ROW(SamplingFeatures[#Headers]),"C",COLUMN(),":R",ROW()-1,"C",COLUMN()),FALSE))+1,"")</f>
        <v/>
      </c>
      <c r="K22" s="43"/>
      <c r="L22" s="51" t="str">
        <f ca="1">IF(SamplingFeatures[[#This Row],[Sampling Feature Type]]="Site",MAX(INDIRECT(CONCATENATE("R",ROW(Sites[#Headers]),"C",COLUMN(),":R",ROW()-1,"C",COLUMN()),FALSE))+1,"")</f>
        <v/>
      </c>
      <c r="M22" s="17"/>
      <c r="N22" s="10"/>
      <c r="O22" s="35"/>
      <c r="Q22" s="51" t="str">
        <f ca="1">IF(SamplingFeatures[[#This Row],[Sampling Feature Type]]="Specimen",MAX(INDIRECT(CONCATENATE("R",ROW(Specimens[#Headers]),"C",COLUMN(),":R",ROW()-1,"C",COLUMN()),FALSE))+1,"")</f>
        <v/>
      </c>
      <c r="R22" s="9"/>
      <c r="S22" s="10"/>
      <c r="T22" s="35"/>
    </row>
    <row r="23" spans="1:20" x14ac:dyDescent="0.25">
      <c r="A23" s="144"/>
      <c r="B23" s="18"/>
      <c r="C23" s="10"/>
      <c r="D23" s="10"/>
      <c r="E23" s="11"/>
      <c r="F23" s="47"/>
      <c r="G23" s="12"/>
      <c r="H23" s="12"/>
      <c r="I23" s="12"/>
      <c r="J23" s="131" t="str">
        <f ca="1">IF(SamplingFeatures[[#This Row],[Feature IGSN]]&lt;&gt;"",MAX(INDIRECT(CONCATENATE("R",ROW(SamplingFeatures[#Headers]),"C",COLUMN(),":R",ROW()-1,"C",COLUMN()),FALSE))+1,"")</f>
        <v/>
      </c>
      <c r="K23" s="43"/>
      <c r="L23" s="51" t="str">
        <f ca="1">IF(SamplingFeatures[[#This Row],[Sampling Feature Type]]="Site",MAX(INDIRECT(CONCATENATE("R",ROW(Sites[#Headers]),"C",COLUMN(),":R",ROW()-1,"C",COLUMN()),FALSE))+1,"")</f>
        <v/>
      </c>
      <c r="M23" s="17"/>
      <c r="N23" s="10"/>
      <c r="O23" s="35"/>
      <c r="Q23" s="51" t="str">
        <f ca="1">IF(SamplingFeatures[[#This Row],[Sampling Feature Type]]="Specimen",MAX(INDIRECT(CONCATENATE("R",ROW(Specimens[#Headers]),"C",COLUMN(),":R",ROW()-1,"C",COLUMN()),FALSE))+1,"")</f>
        <v/>
      </c>
      <c r="R23" s="9"/>
      <c r="S23" s="10"/>
      <c r="T23" s="35"/>
    </row>
    <row r="24" spans="1:20" x14ac:dyDescent="0.25">
      <c r="A24" s="144"/>
      <c r="B24" s="10"/>
      <c r="C24" s="10"/>
      <c r="D24" s="10"/>
      <c r="E24" s="11"/>
      <c r="F24" s="47"/>
      <c r="G24" s="12"/>
      <c r="H24" s="12"/>
      <c r="I24" s="12"/>
      <c r="J24" s="131" t="str">
        <f ca="1">IF(SamplingFeatures[[#This Row],[Feature IGSN]]&lt;&gt;"",MAX(INDIRECT(CONCATENATE("R",ROW(SamplingFeatures[#Headers]),"C",COLUMN(),":R",ROW()-1,"C",COLUMN()),FALSE))+1,"")</f>
        <v/>
      </c>
      <c r="K24" s="43"/>
      <c r="L24" s="51" t="str">
        <f ca="1">IF(SamplingFeatures[[#This Row],[Sampling Feature Type]]="Site",MAX(INDIRECT(CONCATENATE("R",ROW(Sites[#Headers]),"C",COLUMN(),":R",ROW()-1,"C",COLUMN()),FALSE))+1,"")</f>
        <v/>
      </c>
      <c r="M24" s="17"/>
      <c r="N24" s="10"/>
      <c r="O24" s="35"/>
      <c r="Q24" s="51" t="str">
        <f ca="1">IF(SamplingFeatures[[#This Row],[Sampling Feature Type]]="Specimen",MAX(INDIRECT(CONCATENATE("R",ROW(Specimens[#Headers]),"C",COLUMN(),":R",ROW()-1,"C",COLUMN()),FALSE))+1,"")</f>
        <v/>
      </c>
      <c r="R24" s="9"/>
      <c r="S24" s="10"/>
      <c r="T24" s="35"/>
    </row>
    <row r="25" spans="1:20" x14ac:dyDescent="0.25">
      <c r="A25" s="144"/>
      <c r="B25" s="10"/>
      <c r="C25" s="10"/>
      <c r="D25" s="10"/>
      <c r="E25" s="11"/>
      <c r="F25" s="47"/>
      <c r="G25" s="12"/>
      <c r="H25" s="12"/>
      <c r="I25" s="12"/>
      <c r="J25" s="131" t="str">
        <f ca="1">IF(SamplingFeatures[[#This Row],[Feature IGSN]]&lt;&gt;"",MAX(INDIRECT(CONCATENATE("R",ROW(SamplingFeatures[#Headers]),"C",COLUMN(),":R",ROW()-1,"C",COLUMN()),FALSE))+1,"")</f>
        <v/>
      </c>
      <c r="K25" s="43"/>
      <c r="L25" s="51" t="str">
        <f ca="1">IF(SamplingFeatures[[#This Row],[Sampling Feature Type]]="Site",MAX(INDIRECT(CONCATENATE("R",ROW(Sites[#Headers]),"C",COLUMN(),":R",ROW()-1,"C",COLUMN()),FALSE))+1,"")</f>
        <v/>
      </c>
      <c r="M25" s="17"/>
      <c r="N25" s="10"/>
      <c r="O25" s="35"/>
      <c r="Q25" s="51" t="str">
        <f ca="1">IF(SamplingFeatures[[#This Row],[Sampling Feature Type]]="Specimen",MAX(INDIRECT(CONCATENATE("R",ROW(Specimens[#Headers]),"C",COLUMN(),":R",ROW()-1,"C",COLUMN()),FALSE))+1,"")</f>
        <v/>
      </c>
      <c r="R25" s="9"/>
      <c r="S25" s="10"/>
      <c r="T25" s="35"/>
    </row>
    <row r="26" spans="1:20" x14ac:dyDescent="0.25">
      <c r="A26" s="144"/>
      <c r="B26" s="10"/>
      <c r="C26" s="10"/>
      <c r="D26" s="10"/>
      <c r="E26" s="11"/>
      <c r="F26" s="47"/>
      <c r="G26" s="12"/>
      <c r="H26" s="12"/>
      <c r="I26" s="12"/>
      <c r="J26" s="131" t="str">
        <f ca="1">IF(SamplingFeatures[[#This Row],[Feature IGSN]]&lt;&gt;"",MAX(INDIRECT(CONCATENATE("R",ROW(SamplingFeatures[#Headers]),"C",COLUMN(),":R",ROW()-1,"C",COLUMN()),FALSE))+1,"")</f>
        <v/>
      </c>
      <c r="K26" s="43"/>
      <c r="L26" s="51" t="str">
        <f ca="1">IF(SamplingFeatures[[#This Row],[Sampling Feature Type]]="Site",MAX(INDIRECT(CONCATENATE("R",ROW(Sites[#Headers]),"C",COLUMN(),":R",ROW()-1,"C",COLUMN()),FALSE))+1,"")</f>
        <v/>
      </c>
      <c r="M26" s="17"/>
      <c r="N26" s="10"/>
      <c r="O26" s="35"/>
      <c r="Q26" s="51" t="str">
        <f ca="1">IF(SamplingFeatures[[#This Row],[Sampling Feature Type]]="Specimen",MAX(INDIRECT(CONCATENATE("R",ROW(Specimens[#Headers]),"C",COLUMN(),":R",ROW()-1,"C",COLUMN()),FALSE))+1,"")</f>
        <v/>
      </c>
      <c r="R26" s="9"/>
      <c r="S26" s="10"/>
      <c r="T26" s="35"/>
    </row>
    <row r="27" spans="1:20" x14ac:dyDescent="0.25">
      <c r="A27" s="144"/>
      <c r="B27" s="10"/>
      <c r="C27" s="10"/>
      <c r="D27" s="10"/>
      <c r="E27" s="11"/>
      <c r="F27" s="47"/>
      <c r="G27" s="12"/>
      <c r="H27" s="12"/>
      <c r="I27" s="12"/>
      <c r="J27" s="131" t="str">
        <f ca="1">IF(SamplingFeatures[[#This Row],[Feature IGSN]]&lt;&gt;"",MAX(INDIRECT(CONCATENATE("R",ROW(SamplingFeatures[#Headers]),"C",COLUMN(),":R",ROW()-1,"C",COLUMN()),FALSE))+1,"")</f>
        <v/>
      </c>
      <c r="K27" s="43"/>
      <c r="L27" s="51" t="str">
        <f ca="1">IF(SamplingFeatures[[#This Row],[Sampling Feature Type]]="Site",MAX(INDIRECT(CONCATENATE("R",ROW(Sites[#Headers]),"C",COLUMN(),":R",ROW()-1,"C",COLUMN()),FALSE))+1,"")</f>
        <v/>
      </c>
      <c r="M27" s="17"/>
      <c r="N27" s="10"/>
      <c r="O27" s="35"/>
      <c r="Q27" s="51" t="str">
        <f ca="1">IF(SamplingFeatures[[#This Row],[Sampling Feature Type]]="Specimen",MAX(INDIRECT(CONCATENATE("R",ROW(Specimens[#Headers]),"C",COLUMN(),":R",ROW()-1,"C",COLUMN()),FALSE))+1,"")</f>
        <v/>
      </c>
      <c r="R27" s="9"/>
      <c r="S27" s="10"/>
      <c r="T27" s="35"/>
    </row>
    <row r="28" spans="1:20" x14ac:dyDescent="0.25">
      <c r="A28" s="144"/>
      <c r="B28" s="10"/>
      <c r="C28" s="10"/>
      <c r="D28" s="10"/>
      <c r="E28" s="11"/>
      <c r="F28" s="47"/>
      <c r="G28" s="12"/>
      <c r="H28" s="12"/>
      <c r="I28" s="12"/>
      <c r="J28" s="131" t="str">
        <f ca="1">IF(SamplingFeatures[[#This Row],[Feature IGSN]]&lt;&gt;"",MAX(INDIRECT(CONCATENATE("R",ROW(SamplingFeatures[#Headers]),"C",COLUMN(),":R",ROW()-1,"C",COLUMN()),FALSE))+1,"")</f>
        <v/>
      </c>
      <c r="K28" s="43"/>
      <c r="L28" s="51" t="str">
        <f ca="1">IF(SamplingFeatures[[#This Row],[Sampling Feature Type]]="Site",MAX(INDIRECT(CONCATENATE("R",ROW(Sites[#Headers]),"C",COLUMN(),":R",ROW()-1,"C",COLUMN()),FALSE))+1,"")</f>
        <v/>
      </c>
      <c r="M28" s="17"/>
      <c r="N28" s="10"/>
      <c r="O28" s="35"/>
      <c r="Q28" s="51" t="str">
        <f ca="1">IF(SamplingFeatures[[#This Row],[Sampling Feature Type]]="Specimen",MAX(INDIRECT(CONCATENATE("R",ROW(Specimens[#Headers]),"C",COLUMN(),":R",ROW()-1,"C",COLUMN()),FALSE))+1,"")</f>
        <v/>
      </c>
      <c r="R28" s="9"/>
      <c r="S28" s="10"/>
      <c r="T28" s="35"/>
    </row>
    <row r="29" spans="1:20" x14ac:dyDescent="0.25">
      <c r="A29" s="144"/>
      <c r="B29" s="10"/>
      <c r="C29" s="10"/>
      <c r="D29" s="10"/>
      <c r="E29" s="11"/>
      <c r="F29" s="47"/>
      <c r="G29" s="12"/>
      <c r="H29" s="12"/>
      <c r="I29" s="12"/>
      <c r="J29" s="131" t="str">
        <f ca="1">IF(SamplingFeatures[[#This Row],[Feature IGSN]]&lt;&gt;"",MAX(INDIRECT(CONCATENATE("R",ROW(SamplingFeatures[#Headers]),"C",COLUMN(),":R",ROW()-1,"C",COLUMN()),FALSE))+1,"")</f>
        <v/>
      </c>
      <c r="K29" s="43"/>
      <c r="L29" s="51" t="str">
        <f ca="1">IF(SamplingFeatures[[#This Row],[Sampling Feature Type]]="Site",MAX(INDIRECT(CONCATENATE("R",ROW(Sites[#Headers]),"C",COLUMN(),":R",ROW()-1,"C",COLUMN()),FALSE))+1,"")</f>
        <v/>
      </c>
      <c r="M29" s="17"/>
      <c r="N29" s="10"/>
      <c r="O29" s="35"/>
      <c r="Q29" s="51" t="str">
        <f ca="1">IF(SamplingFeatures[[#This Row],[Sampling Feature Type]]="Specimen",MAX(INDIRECT(CONCATENATE("R",ROW(Specimens[#Headers]),"C",COLUMN(),":R",ROW()-1,"C",COLUMN()),FALSE))+1,"")</f>
        <v/>
      </c>
      <c r="R29" s="9"/>
      <c r="S29" s="10"/>
      <c r="T29" s="35"/>
    </row>
    <row r="30" spans="1:20" x14ac:dyDescent="0.25">
      <c r="A30" s="144"/>
      <c r="B30" s="10"/>
      <c r="C30" s="10"/>
      <c r="D30" s="10"/>
      <c r="E30" s="11"/>
      <c r="F30" s="47"/>
      <c r="G30" s="12"/>
      <c r="H30" s="12"/>
      <c r="I30" s="12"/>
      <c r="J30" s="131" t="str">
        <f ca="1">IF(SamplingFeatures[[#This Row],[Feature IGSN]]&lt;&gt;"",MAX(INDIRECT(CONCATENATE("R",ROW(SamplingFeatures[#Headers]),"C",COLUMN(),":R",ROW()-1,"C",COLUMN()),FALSE))+1,"")</f>
        <v/>
      </c>
      <c r="K30" s="43"/>
      <c r="L30" s="51" t="str">
        <f ca="1">IF(SamplingFeatures[[#This Row],[Sampling Feature Type]]="Site",MAX(INDIRECT(CONCATENATE("R",ROW(Sites[#Headers]),"C",COLUMN(),":R",ROW()-1,"C",COLUMN()),FALSE))+1,"")</f>
        <v/>
      </c>
      <c r="M30" s="17"/>
      <c r="N30" s="10"/>
      <c r="O30" s="35"/>
      <c r="Q30" s="51" t="str">
        <f ca="1">IF(SamplingFeatures[[#This Row],[Sampling Feature Type]]="Specimen",MAX(INDIRECT(CONCATENATE("R",ROW(Specimens[#Headers]),"C",COLUMN(),":R",ROW()-1,"C",COLUMN()),FALSE))+1,"")</f>
        <v/>
      </c>
      <c r="R30" s="9"/>
      <c r="S30" s="10"/>
      <c r="T30" s="35"/>
    </row>
    <row r="31" spans="1:20" x14ac:dyDescent="0.25">
      <c r="A31" s="144"/>
      <c r="B31" s="10"/>
      <c r="C31" s="10"/>
      <c r="D31" s="10"/>
      <c r="E31" s="11"/>
      <c r="F31" s="47"/>
      <c r="G31" s="12"/>
      <c r="H31" s="12"/>
      <c r="I31" s="12"/>
      <c r="J31" s="131" t="str">
        <f ca="1">IF(SamplingFeatures[[#This Row],[Feature IGSN]]&lt;&gt;"",MAX(INDIRECT(CONCATENATE("R",ROW(SamplingFeatures[#Headers]),"C",COLUMN(),":R",ROW()-1,"C",COLUMN()),FALSE))+1,"")</f>
        <v/>
      </c>
      <c r="K31" s="43"/>
      <c r="L31" s="51" t="str">
        <f ca="1">IF(SamplingFeatures[[#This Row],[Sampling Feature Type]]="Site",MAX(INDIRECT(CONCATENATE("R",ROW(Sites[#Headers]),"C",COLUMN(),":R",ROW()-1,"C",COLUMN()),FALSE))+1,"")</f>
        <v/>
      </c>
      <c r="M31" s="17"/>
      <c r="N31" s="10"/>
      <c r="O31" s="35"/>
      <c r="Q31" s="51" t="str">
        <f ca="1">IF(SamplingFeatures[[#This Row],[Sampling Feature Type]]="Specimen",MAX(INDIRECT(CONCATENATE("R",ROW(Specimens[#Headers]),"C",COLUMN(),":R",ROW()-1,"C",COLUMN()),FALSE))+1,"")</f>
        <v/>
      </c>
      <c r="R31" s="9"/>
      <c r="S31" s="10"/>
      <c r="T31" s="35"/>
    </row>
    <row r="32" spans="1:20" x14ac:dyDescent="0.25">
      <c r="A32" s="144"/>
      <c r="B32" s="10"/>
      <c r="C32" s="10"/>
      <c r="D32" s="10"/>
      <c r="E32" s="11"/>
      <c r="F32" s="47"/>
      <c r="G32" s="12"/>
      <c r="H32" s="12"/>
      <c r="I32" s="12"/>
      <c r="J32" s="131" t="str">
        <f ca="1">IF(SamplingFeatures[[#This Row],[Feature IGSN]]&lt;&gt;"",MAX(INDIRECT(CONCATENATE("R",ROW(SamplingFeatures[#Headers]),"C",COLUMN(),":R",ROW()-1,"C",COLUMN()),FALSE))+1,"")</f>
        <v/>
      </c>
      <c r="K32" s="43"/>
      <c r="L32" s="51" t="str">
        <f ca="1">IF(SamplingFeatures[[#This Row],[Sampling Feature Type]]="Site",MAX(INDIRECT(CONCATENATE("R",ROW(Sites[#Headers]),"C",COLUMN(),":R",ROW()-1,"C",COLUMN()),FALSE))+1,"")</f>
        <v/>
      </c>
      <c r="M32" s="17"/>
      <c r="N32" s="10"/>
      <c r="O32" s="35"/>
      <c r="Q32" s="51" t="str">
        <f ca="1">IF(SamplingFeatures[[#This Row],[Sampling Feature Type]]="Specimen",MAX(INDIRECT(CONCATENATE("R",ROW(Specimens[#Headers]),"C",COLUMN(),":R",ROW()-1,"C",COLUMN()),FALSE))+1,"")</f>
        <v/>
      </c>
      <c r="R32" s="9"/>
      <c r="S32" s="10"/>
      <c r="T32" s="35"/>
    </row>
    <row r="33" spans="1:20" x14ac:dyDescent="0.25">
      <c r="A33" s="144"/>
      <c r="B33" s="10"/>
      <c r="C33" s="10"/>
      <c r="D33" s="10"/>
      <c r="E33" s="11"/>
      <c r="F33" s="47"/>
      <c r="G33" s="12"/>
      <c r="H33" s="12"/>
      <c r="I33" s="12"/>
      <c r="J33" s="131" t="str">
        <f ca="1">IF(SamplingFeatures[[#This Row],[Feature IGSN]]&lt;&gt;"",MAX(INDIRECT(CONCATENATE("R",ROW(SamplingFeatures[#Headers]),"C",COLUMN(),":R",ROW()-1,"C",COLUMN()),FALSE))+1,"")</f>
        <v/>
      </c>
      <c r="K33" s="43"/>
      <c r="L33" s="51" t="str">
        <f ca="1">IF(SamplingFeatures[[#This Row],[Sampling Feature Type]]="Site",MAX(INDIRECT(CONCATENATE("R",ROW(Sites[#Headers]),"C",COLUMN(),":R",ROW()-1,"C",COLUMN()),FALSE))+1,"")</f>
        <v/>
      </c>
      <c r="M33" s="17"/>
      <c r="N33" s="10"/>
      <c r="O33" s="35"/>
      <c r="Q33" s="51" t="str">
        <f ca="1">IF(SamplingFeatures[[#This Row],[Sampling Feature Type]]="Specimen",MAX(INDIRECT(CONCATENATE("R",ROW(Specimens[#Headers]),"C",COLUMN(),":R",ROW()-1,"C",COLUMN()),FALSE))+1,"")</f>
        <v/>
      </c>
      <c r="R33" s="9"/>
      <c r="S33" s="10"/>
      <c r="T33" s="35"/>
    </row>
    <row r="34" spans="1:20" x14ac:dyDescent="0.25">
      <c r="A34" s="144"/>
      <c r="B34" s="10"/>
      <c r="C34" s="10"/>
      <c r="D34" s="10"/>
      <c r="E34" s="11"/>
      <c r="F34" s="47"/>
      <c r="G34" s="12"/>
      <c r="H34" s="12"/>
      <c r="I34" s="12"/>
      <c r="J34" s="131" t="str">
        <f ca="1">IF(SamplingFeatures[[#This Row],[Feature IGSN]]&lt;&gt;"",MAX(INDIRECT(CONCATENATE("R",ROW(SamplingFeatures[#Headers]),"C",COLUMN(),":R",ROW()-1,"C",COLUMN()),FALSE))+1,"")</f>
        <v/>
      </c>
      <c r="K34" s="43"/>
      <c r="L34" s="51" t="str">
        <f ca="1">IF(SamplingFeatures[[#This Row],[Sampling Feature Type]]="Site",MAX(INDIRECT(CONCATENATE("R",ROW(Sites[#Headers]),"C",COLUMN(),":R",ROW()-1,"C",COLUMN()),FALSE))+1,"")</f>
        <v/>
      </c>
      <c r="M34" s="17"/>
      <c r="N34" s="10"/>
      <c r="O34" s="35"/>
      <c r="Q34" s="51" t="str">
        <f ca="1">IF(SamplingFeatures[[#This Row],[Sampling Feature Type]]="Specimen",MAX(INDIRECT(CONCATENATE("R",ROW(Specimens[#Headers]),"C",COLUMN(),":R",ROW()-1,"C",COLUMN()),FALSE))+1,"")</f>
        <v/>
      </c>
      <c r="R34" s="9"/>
      <c r="S34" s="10"/>
      <c r="T34" s="35"/>
    </row>
    <row r="35" spans="1:20" x14ac:dyDescent="0.25">
      <c r="A35" s="144"/>
      <c r="B35" s="10"/>
      <c r="C35" s="10"/>
      <c r="D35" s="10"/>
      <c r="E35" s="11"/>
      <c r="F35" s="47"/>
      <c r="G35" s="12"/>
      <c r="H35" s="12"/>
      <c r="I35" s="12"/>
      <c r="J35" s="131" t="str">
        <f ca="1">IF(SamplingFeatures[[#This Row],[Feature IGSN]]&lt;&gt;"",MAX(INDIRECT(CONCATENATE("R",ROW(SamplingFeatures[#Headers]),"C",COLUMN(),":R",ROW()-1,"C",COLUMN()),FALSE))+1,"")</f>
        <v/>
      </c>
      <c r="K35" s="43"/>
      <c r="L35" s="51" t="str">
        <f ca="1">IF(SamplingFeatures[[#This Row],[Sampling Feature Type]]="Site",MAX(INDIRECT(CONCATENATE("R",ROW(Sites[#Headers]),"C",COLUMN(),":R",ROW()-1,"C",COLUMN()),FALSE))+1,"")</f>
        <v/>
      </c>
      <c r="M35" s="17"/>
      <c r="N35" s="10"/>
      <c r="O35" s="35"/>
      <c r="Q35" s="51" t="str">
        <f ca="1">IF(SamplingFeatures[[#This Row],[Sampling Feature Type]]="Specimen",MAX(INDIRECT(CONCATENATE("R",ROW(Specimens[#Headers]),"C",COLUMN(),":R",ROW()-1,"C",COLUMN()),FALSE))+1,"")</f>
        <v/>
      </c>
      <c r="R35" s="9"/>
      <c r="S35" s="10"/>
      <c r="T35" s="35"/>
    </row>
    <row r="36" spans="1:20" x14ac:dyDescent="0.25">
      <c r="A36" s="144"/>
      <c r="B36" s="10"/>
      <c r="C36" s="10"/>
      <c r="D36" s="10"/>
      <c r="E36" s="11"/>
      <c r="F36" s="47"/>
      <c r="G36" s="12"/>
      <c r="H36" s="12"/>
      <c r="I36" s="12"/>
      <c r="J36" s="131" t="str">
        <f ca="1">IF(SamplingFeatures[[#This Row],[Feature IGSN]]&lt;&gt;"",MAX(INDIRECT(CONCATENATE("R",ROW(SamplingFeatures[#Headers]),"C",COLUMN(),":R",ROW()-1,"C",COLUMN()),FALSE))+1,"")</f>
        <v/>
      </c>
      <c r="K36" s="43"/>
      <c r="L36" s="51" t="str">
        <f ca="1">IF(SamplingFeatures[[#This Row],[Sampling Feature Type]]="Site",MAX(INDIRECT(CONCATENATE("R",ROW(Sites[#Headers]),"C",COLUMN(),":R",ROW()-1,"C",COLUMN()),FALSE))+1,"")</f>
        <v/>
      </c>
      <c r="M36" s="17"/>
      <c r="N36" s="10"/>
      <c r="O36" s="35"/>
      <c r="Q36" s="51" t="str">
        <f ca="1">IF(SamplingFeatures[[#This Row],[Sampling Feature Type]]="Specimen",MAX(INDIRECT(CONCATENATE("R",ROW(Specimens[#Headers]),"C",COLUMN(),":R",ROW()-1,"C",COLUMN()),FALSE))+1,"")</f>
        <v/>
      </c>
      <c r="R36" s="9"/>
      <c r="S36" s="10"/>
      <c r="T36" s="35"/>
    </row>
    <row r="37" spans="1:20" x14ac:dyDescent="0.25">
      <c r="A37" s="144"/>
      <c r="B37" s="10"/>
      <c r="C37" s="10"/>
      <c r="D37" s="10"/>
      <c r="E37" s="11"/>
      <c r="F37" s="47"/>
      <c r="G37" s="12"/>
      <c r="H37" s="12"/>
      <c r="I37" s="12"/>
      <c r="J37" s="131" t="str">
        <f ca="1">IF(SamplingFeatures[[#This Row],[Feature IGSN]]&lt;&gt;"",MAX(INDIRECT(CONCATENATE("R",ROW(SamplingFeatures[#Headers]),"C",COLUMN(),":R",ROW()-1,"C",COLUMN()),FALSE))+1,"")</f>
        <v/>
      </c>
      <c r="K37" s="43"/>
      <c r="L37" s="51" t="str">
        <f ca="1">IF(SamplingFeatures[[#This Row],[Sampling Feature Type]]="Site",MAX(INDIRECT(CONCATENATE("R",ROW(Sites[#Headers]),"C",COLUMN(),":R",ROW()-1,"C",COLUMN()),FALSE))+1,"")</f>
        <v/>
      </c>
      <c r="M37" s="17"/>
      <c r="N37" s="10"/>
      <c r="O37" s="35"/>
      <c r="Q37" s="51" t="str">
        <f ca="1">IF(SamplingFeatures[[#This Row],[Sampling Feature Type]]="Specimen",MAX(INDIRECT(CONCATENATE("R",ROW(Specimens[#Headers]),"C",COLUMN(),":R",ROW()-1,"C",COLUMN()),FALSE))+1,"")</f>
        <v/>
      </c>
      <c r="R37" s="9"/>
      <c r="S37" s="10"/>
      <c r="T37" s="35"/>
    </row>
    <row r="38" spans="1:20" x14ac:dyDescent="0.25">
      <c r="A38" s="144"/>
      <c r="B38" s="10"/>
      <c r="C38" s="10"/>
      <c r="D38" s="10"/>
      <c r="E38" s="11"/>
      <c r="F38" s="47"/>
      <c r="G38" s="12"/>
      <c r="H38" s="12"/>
      <c r="I38" s="12"/>
      <c r="J38" s="131" t="str">
        <f ca="1">IF(SamplingFeatures[[#This Row],[Feature IGSN]]&lt;&gt;"",MAX(INDIRECT(CONCATENATE("R",ROW(SamplingFeatures[#Headers]),"C",COLUMN(),":R",ROW()-1,"C",COLUMN()),FALSE))+1,"")</f>
        <v/>
      </c>
      <c r="K38" s="43"/>
      <c r="L38" s="51" t="str">
        <f ca="1">IF(SamplingFeatures[[#This Row],[Sampling Feature Type]]="Site",MAX(INDIRECT(CONCATENATE("R",ROW(Sites[#Headers]),"C",COLUMN(),":R",ROW()-1,"C",COLUMN()),FALSE))+1,"")</f>
        <v/>
      </c>
      <c r="M38" s="17"/>
      <c r="N38" s="10"/>
      <c r="O38" s="35"/>
      <c r="Q38" s="51" t="str">
        <f ca="1">IF(SamplingFeatures[[#This Row],[Sampling Feature Type]]="Specimen",MAX(INDIRECT(CONCATENATE("R",ROW(Specimens[#Headers]),"C",COLUMN(),":R",ROW()-1,"C",COLUMN()),FALSE))+1,"")</f>
        <v/>
      </c>
      <c r="R38" s="9"/>
      <c r="S38" s="10"/>
      <c r="T38" s="35"/>
    </row>
    <row r="39" spans="1:20" x14ac:dyDescent="0.25">
      <c r="A39" s="144"/>
      <c r="B39" s="10"/>
      <c r="C39" s="10"/>
      <c r="D39" s="10"/>
      <c r="E39" s="11"/>
      <c r="F39" s="47"/>
      <c r="G39" s="12"/>
      <c r="H39" s="12"/>
      <c r="I39" s="12"/>
      <c r="J39" s="131" t="str">
        <f ca="1">IF(SamplingFeatures[[#This Row],[Feature IGSN]]&lt;&gt;"",MAX(INDIRECT(CONCATENATE("R",ROW(SamplingFeatures[#Headers]),"C",COLUMN(),":R",ROW()-1,"C",COLUMN()),FALSE))+1,"")</f>
        <v/>
      </c>
      <c r="K39" s="43"/>
      <c r="L39" s="51" t="str">
        <f ca="1">IF(SamplingFeatures[[#This Row],[Sampling Feature Type]]="Site",MAX(INDIRECT(CONCATENATE("R",ROW(Sites[#Headers]),"C",COLUMN(),":R",ROW()-1,"C",COLUMN()),FALSE))+1,"")</f>
        <v/>
      </c>
      <c r="M39" s="17"/>
      <c r="N39" s="10"/>
      <c r="O39" s="35"/>
      <c r="Q39" s="51" t="str">
        <f ca="1">IF(SamplingFeatures[[#This Row],[Sampling Feature Type]]="Specimen",MAX(INDIRECT(CONCATENATE("R",ROW(Specimens[#Headers]),"C",COLUMN(),":R",ROW()-1,"C",COLUMN()),FALSE))+1,"")</f>
        <v/>
      </c>
      <c r="R39" s="9"/>
      <c r="S39" s="10"/>
      <c r="T39" s="35"/>
    </row>
    <row r="40" spans="1:20" x14ac:dyDescent="0.25">
      <c r="A40" s="144"/>
      <c r="B40" s="10"/>
      <c r="C40" s="10"/>
      <c r="D40" s="10"/>
      <c r="E40" s="11"/>
      <c r="F40" s="47"/>
      <c r="G40" s="12"/>
      <c r="H40" s="12"/>
      <c r="I40" s="12"/>
      <c r="J40" s="131" t="str">
        <f ca="1">IF(SamplingFeatures[[#This Row],[Feature IGSN]]&lt;&gt;"",MAX(INDIRECT(CONCATENATE("R",ROW(SamplingFeatures[#Headers]),"C",COLUMN(),":R",ROW()-1,"C",COLUMN()),FALSE))+1,"")</f>
        <v/>
      </c>
      <c r="K40" s="43"/>
      <c r="L40" s="51" t="str">
        <f ca="1">IF(SamplingFeatures[[#This Row],[Sampling Feature Type]]="Site",MAX(INDIRECT(CONCATENATE("R",ROW(Sites[#Headers]),"C",COLUMN(),":R",ROW()-1,"C",COLUMN()),FALSE))+1,"")</f>
        <v/>
      </c>
      <c r="M40" s="17"/>
      <c r="N40" s="10"/>
      <c r="O40" s="35"/>
      <c r="Q40" s="51" t="str">
        <f ca="1">IF(SamplingFeatures[[#This Row],[Sampling Feature Type]]="Specimen",MAX(INDIRECT(CONCATENATE("R",ROW(Specimens[#Headers]),"C",COLUMN(),":R",ROW()-1,"C",COLUMN()),FALSE))+1,"")</f>
        <v/>
      </c>
      <c r="R40" s="9"/>
      <c r="S40" s="10"/>
      <c r="T40" s="35"/>
    </row>
    <row r="41" spans="1:20" x14ac:dyDescent="0.25">
      <c r="A41" s="144"/>
      <c r="B41" s="10"/>
      <c r="C41" s="10"/>
      <c r="D41" s="10"/>
      <c r="E41" s="11"/>
      <c r="F41" s="47"/>
      <c r="G41" s="12"/>
      <c r="H41" s="12"/>
      <c r="I41" s="12"/>
      <c r="J41" s="131" t="str">
        <f ca="1">IF(SamplingFeatures[[#This Row],[Feature IGSN]]&lt;&gt;"",MAX(INDIRECT(CONCATENATE("R",ROW(SamplingFeatures[#Headers]),"C",COLUMN(),":R",ROW()-1,"C",COLUMN()),FALSE))+1,"")</f>
        <v/>
      </c>
      <c r="K41" s="43"/>
      <c r="L41" s="51" t="str">
        <f ca="1">IF(SamplingFeatures[[#This Row],[Sampling Feature Type]]="Site",MAX(INDIRECT(CONCATENATE("R",ROW(Sites[#Headers]),"C",COLUMN(),":R",ROW()-1,"C",COLUMN()),FALSE))+1,"")</f>
        <v/>
      </c>
      <c r="M41" s="17"/>
      <c r="N41" s="10"/>
      <c r="O41" s="35"/>
      <c r="Q41" s="51" t="str">
        <f ca="1">IF(SamplingFeatures[[#This Row],[Sampling Feature Type]]="Specimen",MAX(INDIRECT(CONCATENATE("R",ROW(Specimens[#Headers]),"C",COLUMN(),":R",ROW()-1,"C",COLUMN()),FALSE))+1,"")</f>
        <v/>
      </c>
      <c r="R41" s="9"/>
      <c r="S41" s="10"/>
      <c r="T41" s="35"/>
    </row>
    <row r="42" spans="1:20" x14ac:dyDescent="0.25">
      <c r="A42" s="144"/>
      <c r="B42" s="10"/>
      <c r="C42" s="10"/>
      <c r="D42" s="10"/>
      <c r="E42" s="11"/>
      <c r="F42" s="47"/>
      <c r="G42" s="12"/>
      <c r="H42" s="12"/>
      <c r="I42" s="12"/>
      <c r="J42" s="131" t="str">
        <f ca="1">IF(SamplingFeatures[[#This Row],[Feature IGSN]]&lt;&gt;"",MAX(INDIRECT(CONCATENATE("R",ROW(SamplingFeatures[#Headers]),"C",COLUMN(),":R",ROW()-1,"C",COLUMN()),FALSE))+1,"")</f>
        <v/>
      </c>
      <c r="K42" s="43"/>
      <c r="L42" s="51" t="str">
        <f ca="1">IF(SamplingFeatures[[#This Row],[Sampling Feature Type]]="Site",MAX(INDIRECT(CONCATENATE("R",ROW(Sites[#Headers]),"C",COLUMN(),":R",ROW()-1,"C",COLUMN()),FALSE))+1,"")</f>
        <v/>
      </c>
      <c r="M42" s="17"/>
      <c r="N42" s="10"/>
      <c r="O42" s="35"/>
      <c r="Q42" s="51" t="str">
        <f ca="1">IF(SamplingFeatures[[#This Row],[Sampling Feature Type]]="Specimen",MAX(INDIRECT(CONCATENATE("R",ROW(Specimens[#Headers]),"C",COLUMN(),":R",ROW()-1,"C",COLUMN()),FALSE))+1,"")</f>
        <v/>
      </c>
      <c r="R42" s="9"/>
      <c r="S42" s="10"/>
      <c r="T42" s="35"/>
    </row>
    <row r="43" spans="1:20" x14ac:dyDescent="0.25">
      <c r="A43" s="144"/>
      <c r="B43" s="10"/>
      <c r="C43" s="10"/>
      <c r="D43" s="10"/>
      <c r="E43" s="11"/>
      <c r="F43" s="47"/>
      <c r="G43" s="12"/>
      <c r="H43" s="12"/>
      <c r="I43" s="12"/>
      <c r="J43" s="131" t="str">
        <f ca="1">IF(SamplingFeatures[[#This Row],[Feature IGSN]]&lt;&gt;"",MAX(INDIRECT(CONCATENATE("R",ROW(SamplingFeatures[#Headers]),"C",COLUMN(),":R",ROW()-1,"C",COLUMN()),FALSE))+1,"")</f>
        <v/>
      </c>
      <c r="K43" s="43"/>
      <c r="L43" s="51" t="str">
        <f ca="1">IF(SamplingFeatures[[#This Row],[Sampling Feature Type]]="Site",MAX(INDIRECT(CONCATENATE("R",ROW(Sites[#Headers]),"C",COLUMN(),":R",ROW()-1,"C",COLUMN()),FALSE))+1,"")</f>
        <v/>
      </c>
      <c r="M43" s="17"/>
      <c r="N43" s="10"/>
      <c r="O43" s="35"/>
      <c r="Q43" s="51" t="str">
        <f ca="1">IF(SamplingFeatures[[#This Row],[Sampling Feature Type]]="Specimen",MAX(INDIRECT(CONCATENATE("R",ROW(Specimens[#Headers]),"C",COLUMN(),":R",ROW()-1,"C",COLUMN()),FALSE))+1,"")</f>
        <v/>
      </c>
      <c r="R43" s="9"/>
      <c r="S43" s="10"/>
      <c r="T43" s="35"/>
    </row>
    <row r="44" spans="1:20" x14ac:dyDescent="0.25">
      <c r="A44" s="144"/>
      <c r="B44" s="10"/>
      <c r="C44" s="10"/>
      <c r="D44" s="10"/>
      <c r="E44" s="11"/>
      <c r="F44" s="47"/>
      <c r="G44" s="12"/>
      <c r="H44" s="12"/>
      <c r="I44" s="12"/>
      <c r="J44" s="131" t="str">
        <f ca="1">IF(SamplingFeatures[[#This Row],[Feature IGSN]]&lt;&gt;"",MAX(INDIRECT(CONCATENATE("R",ROW(SamplingFeatures[#Headers]),"C",COLUMN(),":R",ROW()-1,"C",COLUMN()),FALSE))+1,"")</f>
        <v/>
      </c>
      <c r="K44" s="43"/>
      <c r="L44" s="51" t="str">
        <f ca="1">IF(SamplingFeatures[[#This Row],[Sampling Feature Type]]="Site",MAX(INDIRECT(CONCATENATE("R",ROW(Sites[#Headers]),"C",COLUMN(),":R",ROW()-1,"C",COLUMN()),FALSE))+1,"")</f>
        <v/>
      </c>
      <c r="M44" s="17"/>
      <c r="N44" s="10"/>
      <c r="O44" s="35"/>
      <c r="Q44" s="51" t="str">
        <f ca="1">IF(SamplingFeatures[[#This Row],[Sampling Feature Type]]="Specimen",MAX(INDIRECT(CONCATENATE("R",ROW(Specimens[#Headers]),"C",COLUMN(),":R",ROW()-1,"C",COLUMN()),FALSE))+1,"")</f>
        <v/>
      </c>
      <c r="R44" s="9"/>
      <c r="S44" s="10"/>
      <c r="T44" s="35"/>
    </row>
    <row r="45" spans="1:20" x14ac:dyDescent="0.25">
      <c r="A45" s="144"/>
      <c r="B45" s="10"/>
      <c r="C45" s="10"/>
      <c r="D45" s="10"/>
      <c r="E45" s="11"/>
      <c r="F45" s="47"/>
      <c r="G45" s="12"/>
      <c r="H45" s="12"/>
      <c r="I45" s="12"/>
      <c r="J45" s="131" t="str">
        <f ca="1">IF(SamplingFeatures[[#This Row],[Feature IGSN]]&lt;&gt;"",MAX(INDIRECT(CONCATENATE("R",ROW(SamplingFeatures[#Headers]),"C",COLUMN(),":R",ROW()-1,"C",COLUMN()),FALSE))+1,"")</f>
        <v/>
      </c>
      <c r="K45" s="43"/>
      <c r="L45" s="51" t="str">
        <f ca="1">IF(SamplingFeatures[[#This Row],[Sampling Feature Type]]="Site",MAX(INDIRECT(CONCATENATE("R",ROW(Sites[#Headers]),"C",COLUMN(),":R",ROW()-1,"C",COLUMN()),FALSE))+1,"")</f>
        <v/>
      </c>
      <c r="M45" s="17"/>
      <c r="N45" s="10"/>
      <c r="O45" s="35"/>
      <c r="Q45" s="51" t="str">
        <f ca="1">IF(SamplingFeatures[[#This Row],[Sampling Feature Type]]="Specimen",MAX(INDIRECT(CONCATENATE("R",ROW(Specimens[#Headers]),"C",COLUMN(),":R",ROW()-1,"C",COLUMN()),FALSE))+1,"")</f>
        <v/>
      </c>
      <c r="R45" s="9"/>
      <c r="S45" s="10"/>
      <c r="T45" s="35"/>
    </row>
    <row r="46" spans="1:20" x14ac:dyDescent="0.25">
      <c r="A46" s="144"/>
      <c r="B46" s="10"/>
      <c r="C46" s="10"/>
      <c r="D46" s="10"/>
      <c r="E46" s="11"/>
      <c r="F46" s="47"/>
      <c r="G46" s="12"/>
      <c r="H46" s="12"/>
      <c r="I46" s="12"/>
      <c r="J46" s="131" t="str">
        <f ca="1">IF(SamplingFeatures[[#This Row],[Feature IGSN]]&lt;&gt;"",MAX(INDIRECT(CONCATENATE("R",ROW(SamplingFeatures[#Headers]),"C",COLUMN(),":R",ROW()-1,"C",COLUMN()),FALSE))+1,"")</f>
        <v/>
      </c>
      <c r="K46" s="43"/>
      <c r="L46" s="51" t="str">
        <f ca="1">IF(SamplingFeatures[[#This Row],[Sampling Feature Type]]="Site",MAX(INDIRECT(CONCATENATE("R",ROW(Sites[#Headers]),"C",COLUMN(),":R",ROW()-1,"C",COLUMN()),FALSE))+1,"")</f>
        <v/>
      </c>
      <c r="M46" s="17"/>
      <c r="N46" s="10"/>
      <c r="O46" s="35"/>
      <c r="Q46" s="51" t="str">
        <f ca="1">IF(SamplingFeatures[[#This Row],[Sampling Feature Type]]="Specimen",MAX(INDIRECT(CONCATENATE("R",ROW(Specimens[#Headers]),"C",COLUMN(),":R",ROW()-1,"C",COLUMN()),FALSE))+1,"")</f>
        <v/>
      </c>
      <c r="R46" s="9"/>
      <c r="S46" s="10"/>
      <c r="T46" s="35"/>
    </row>
    <row r="47" spans="1:20" x14ac:dyDescent="0.25">
      <c r="A47" s="144"/>
      <c r="B47" s="10"/>
      <c r="C47" s="10"/>
      <c r="D47" s="10"/>
      <c r="E47" s="11"/>
      <c r="F47" s="47"/>
      <c r="G47" s="12"/>
      <c r="H47" s="12"/>
      <c r="I47" s="12"/>
      <c r="J47" s="131" t="str">
        <f ca="1">IF(SamplingFeatures[[#This Row],[Feature IGSN]]&lt;&gt;"",MAX(INDIRECT(CONCATENATE("R",ROW(SamplingFeatures[#Headers]),"C",COLUMN(),":R",ROW()-1,"C",COLUMN()),FALSE))+1,"")</f>
        <v/>
      </c>
      <c r="K47" s="43"/>
      <c r="L47" s="51" t="str">
        <f ca="1">IF(SamplingFeatures[[#This Row],[Sampling Feature Type]]="Site",MAX(INDIRECT(CONCATENATE("R",ROW(Sites[#Headers]),"C",COLUMN(),":R",ROW()-1,"C",COLUMN()),FALSE))+1,"")</f>
        <v/>
      </c>
      <c r="M47" s="17"/>
      <c r="N47" s="10"/>
      <c r="O47" s="35"/>
      <c r="Q47" s="51" t="str">
        <f ca="1">IF(SamplingFeatures[[#This Row],[Sampling Feature Type]]="Specimen",MAX(INDIRECT(CONCATENATE("R",ROW(Specimens[#Headers]),"C",COLUMN(),":R",ROW()-1,"C",COLUMN()),FALSE))+1,"")</f>
        <v/>
      </c>
      <c r="R47" s="9"/>
      <c r="S47" s="10"/>
      <c r="T47" s="35"/>
    </row>
    <row r="48" spans="1:20" x14ac:dyDescent="0.25">
      <c r="A48" s="144"/>
      <c r="B48" s="10"/>
      <c r="C48" s="10"/>
      <c r="D48" s="10"/>
      <c r="E48" s="11"/>
      <c r="F48" s="47"/>
      <c r="G48" s="12"/>
      <c r="H48" s="12"/>
      <c r="I48" s="12"/>
      <c r="J48" s="131" t="str">
        <f ca="1">IF(SamplingFeatures[[#This Row],[Feature IGSN]]&lt;&gt;"",MAX(INDIRECT(CONCATENATE("R",ROW(SamplingFeatures[#Headers]),"C",COLUMN(),":R",ROW()-1,"C",COLUMN()),FALSE))+1,"")</f>
        <v/>
      </c>
      <c r="K48" s="43"/>
      <c r="L48" s="51" t="str">
        <f ca="1">IF(SamplingFeatures[[#This Row],[Sampling Feature Type]]="Site",MAX(INDIRECT(CONCATENATE("R",ROW(Sites[#Headers]),"C",COLUMN(),":R",ROW()-1,"C",COLUMN()),FALSE))+1,"")</f>
        <v/>
      </c>
      <c r="M48" s="17"/>
      <c r="N48" s="10"/>
      <c r="O48" s="35"/>
      <c r="Q48" s="51" t="str">
        <f ca="1">IF(SamplingFeatures[[#This Row],[Sampling Feature Type]]="Specimen",MAX(INDIRECT(CONCATENATE("R",ROW(Specimens[#Headers]),"C",COLUMN(),":R",ROW()-1,"C",COLUMN()),FALSE))+1,"")</f>
        <v/>
      </c>
      <c r="R48" s="9"/>
      <c r="S48" s="10"/>
      <c r="T48" s="35"/>
    </row>
    <row r="49" spans="1:20" x14ac:dyDescent="0.25">
      <c r="A49" s="144"/>
      <c r="B49" s="10"/>
      <c r="C49" s="10"/>
      <c r="D49" s="10"/>
      <c r="E49" s="11"/>
      <c r="F49" s="47"/>
      <c r="G49" s="12"/>
      <c r="H49" s="12"/>
      <c r="I49" s="12"/>
      <c r="J49" s="131" t="str">
        <f ca="1">IF(SamplingFeatures[[#This Row],[Feature IGSN]]&lt;&gt;"",MAX(INDIRECT(CONCATENATE("R",ROW(SamplingFeatures[#Headers]),"C",COLUMN(),":R",ROW()-1,"C",COLUMN()),FALSE))+1,"")</f>
        <v/>
      </c>
      <c r="K49" s="43"/>
      <c r="L49" s="51" t="str">
        <f ca="1">IF(SamplingFeatures[[#This Row],[Sampling Feature Type]]="Site",MAX(INDIRECT(CONCATENATE("R",ROW(Sites[#Headers]),"C",COLUMN(),":R",ROW()-1,"C",COLUMN()),FALSE))+1,"")</f>
        <v/>
      </c>
      <c r="M49" s="17"/>
      <c r="N49" s="10"/>
      <c r="O49" s="35"/>
      <c r="Q49" s="51" t="str">
        <f ca="1">IF(SamplingFeatures[[#This Row],[Sampling Feature Type]]="Specimen",MAX(INDIRECT(CONCATENATE("R",ROW(Specimens[#Headers]),"C",COLUMN(),":R",ROW()-1,"C",COLUMN()),FALSE))+1,"")</f>
        <v/>
      </c>
      <c r="R49" s="9"/>
      <c r="S49" s="10"/>
      <c r="T49" s="35"/>
    </row>
    <row r="50" spans="1:20" x14ac:dyDescent="0.25">
      <c r="A50" s="144"/>
      <c r="B50" s="10"/>
      <c r="C50" s="10"/>
      <c r="D50" s="10"/>
      <c r="E50" s="11"/>
      <c r="F50" s="47"/>
      <c r="G50" s="12"/>
      <c r="H50" s="12"/>
      <c r="I50" s="12"/>
      <c r="J50" s="131" t="str">
        <f ca="1">IF(SamplingFeatures[[#This Row],[Feature IGSN]]&lt;&gt;"",MAX(INDIRECT(CONCATENATE("R",ROW(SamplingFeatures[#Headers]),"C",COLUMN(),":R",ROW()-1,"C",COLUMN()),FALSE))+1,"")</f>
        <v/>
      </c>
      <c r="K50" s="43"/>
      <c r="L50" s="51" t="str">
        <f ca="1">IF(SamplingFeatures[[#This Row],[Sampling Feature Type]]="Site",MAX(INDIRECT(CONCATENATE("R",ROW(Sites[#Headers]),"C",COLUMN(),":R",ROW()-1,"C",COLUMN()),FALSE))+1,"")</f>
        <v/>
      </c>
      <c r="M50" s="17"/>
      <c r="N50" s="10"/>
      <c r="O50" s="35"/>
      <c r="Q50" s="51" t="str">
        <f ca="1">IF(SamplingFeatures[[#This Row],[Sampling Feature Type]]="Specimen",MAX(INDIRECT(CONCATENATE("R",ROW(Specimens[#Headers]),"C",COLUMN(),":R",ROW()-1,"C",COLUMN()),FALSE))+1,"")</f>
        <v/>
      </c>
      <c r="R50" s="9"/>
      <c r="S50" s="10"/>
      <c r="T50" s="35"/>
    </row>
    <row r="51" spans="1:20" x14ac:dyDescent="0.25">
      <c r="A51" s="144"/>
      <c r="B51" s="10"/>
      <c r="C51" s="10"/>
      <c r="D51" s="10"/>
      <c r="E51" s="11"/>
      <c r="F51" s="47"/>
      <c r="G51" s="12"/>
      <c r="H51" s="12"/>
      <c r="I51" s="12"/>
      <c r="J51" s="131" t="str">
        <f ca="1">IF(SamplingFeatures[[#This Row],[Feature IGSN]]&lt;&gt;"",MAX(INDIRECT(CONCATENATE("R",ROW(SamplingFeatures[#Headers]),"C",COLUMN(),":R",ROW()-1,"C",COLUMN()),FALSE))+1,"")</f>
        <v/>
      </c>
      <c r="K51" s="43"/>
      <c r="L51" s="51" t="str">
        <f ca="1">IF(SamplingFeatures[[#This Row],[Sampling Feature Type]]="Site",MAX(INDIRECT(CONCATENATE("R",ROW(Sites[#Headers]),"C",COLUMN(),":R",ROW()-1,"C",COLUMN()),FALSE))+1,"")</f>
        <v/>
      </c>
      <c r="M51" s="17"/>
      <c r="N51" s="10"/>
      <c r="O51" s="35"/>
      <c r="Q51" s="51" t="str">
        <f ca="1">IF(SamplingFeatures[[#This Row],[Sampling Feature Type]]="Specimen",MAX(INDIRECT(CONCATENATE("R",ROW(Specimens[#Headers]),"C",COLUMN(),":R",ROW()-1,"C",COLUMN()),FALSE))+1,"")</f>
        <v/>
      </c>
      <c r="R51" s="9"/>
      <c r="S51" s="10"/>
      <c r="T51" s="35"/>
    </row>
    <row r="52" spans="1:20" x14ac:dyDescent="0.25">
      <c r="A52" s="144"/>
      <c r="B52" s="10"/>
      <c r="C52" s="10"/>
      <c r="D52" s="10"/>
      <c r="E52" s="11"/>
      <c r="F52" s="47"/>
      <c r="G52" s="12"/>
      <c r="H52" s="12"/>
      <c r="I52" s="12"/>
      <c r="J52" s="131" t="str">
        <f ca="1">IF(SamplingFeatures[[#This Row],[Feature IGSN]]&lt;&gt;"",MAX(INDIRECT(CONCATENATE("R",ROW(SamplingFeatures[#Headers]),"C",COLUMN(),":R",ROW()-1,"C",COLUMN()),FALSE))+1,"")</f>
        <v/>
      </c>
      <c r="K52" s="43"/>
      <c r="L52" s="51" t="str">
        <f ca="1">IF(SamplingFeatures[[#This Row],[Sampling Feature Type]]="Site",MAX(INDIRECT(CONCATENATE("R",ROW(Sites[#Headers]),"C",COLUMN(),":R",ROW()-1,"C",COLUMN()),FALSE))+1,"")</f>
        <v/>
      </c>
      <c r="M52" s="17"/>
      <c r="N52" s="10"/>
      <c r="O52" s="35"/>
      <c r="Q52" s="51" t="str">
        <f ca="1">IF(SamplingFeatures[[#This Row],[Sampling Feature Type]]="Specimen",MAX(INDIRECT(CONCATENATE("R",ROW(Specimens[#Headers]),"C",COLUMN(),":R",ROW()-1,"C",COLUMN()),FALSE))+1,"")</f>
        <v/>
      </c>
      <c r="R52" s="9"/>
      <c r="S52" s="10"/>
      <c r="T52" s="35"/>
    </row>
    <row r="53" spans="1:20" x14ac:dyDescent="0.25">
      <c r="A53" s="144"/>
      <c r="B53" s="10"/>
      <c r="C53" s="10"/>
      <c r="D53" s="10"/>
      <c r="E53" s="11"/>
      <c r="F53" s="47"/>
      <c r="G53" s="12"/>
      <c r="H53" s="12"/>
      <c r="I53" s="12"/>
      <c r="J53" s="131" t="str">
        <f ca="1">IF(SamplingFeatures[[#This Row],[Feature IGSN]]&lt;&gt;"",MAX(INDIRECT(CONCATENATE("R",ROW(SamplingFeatures[#Headers]),"C",COLUMN(),":R",ROW()-1,"C",COLUMN()),FALSE))+1,"")</f>
        <v/>
      </c>
      <c r="K53" s="43"/>
      <c r="L53" s="51" t="str">
        <f ca="1">IF(SamplingFeatures[[#This Row],[Sampling Feature Type]]="Site",MAX(INDIRECT(CONCATENATE("R",ROW(Sites[#Headers]),"C",COLUMN(),":R",ROW()-1,"C",COLUMN()),FALSE))+1,"")</f>
        <v/>
      </c>
      <c r="M53" s="17"/>
      <c r="N53" s="10"/>
      <c r="O53" s="35"/>
      <c r="Q53" s="51" t="str">
        <f ca="1">IF(SamplingFeatures[[#This Row],[Sampling Feature Type]]="Specimen",MAX(INDIRECT(CONCATENATE("R",ROW(Specimens[#Headers]),"C",COLUMN(),":R",ROW()-1,"C",COLUMN()),FALSE))+1,"")</f>
        <v/>
      </c>
      <c r="R53" s="9"/>
      <c r="S53" s="10"/>
      <c r="T53" s="35"/>
    </row>
    <row r="54" spans="1:20" x14ac:dyDescent="0.25">
      <c r="A54" s="144"/>
      <c r="B54" s="10"/>
      <c r="C54" s="10"/>
      <c r="D54" s="10"/>
      <c r="E54" s="11"/>
      <c r="F54" s="47"/>
      <c r="G54" s="12"/>
      <c r="H54" s="12"/>
      <c r="I54" s="12"/>
      <c r="J54" s="131" t="str">
        <f ca="1">IF(SamplingFeatures[[#This Row],[Feature IGSN]]&lt;&gt;"",MAX(INDIRECT(CONCATENATE("R",ROW(SamplingFeatures[#Headers]),"C",COLUMN(),":R",ROW()-1,"C",COLUMN()),FALSE))+1,"")</f>
        <v/>
      </c>
      <c r="K54" s="43"/>
      <c r="L54" s="51" t="str">
        <f ca="1">IF(SamplingFeatures[[#This Row],[Sampling Feature Type]]="Site",MAX(INDIRECT(CONCATENATE("R",ROW(Sites[#Headers]),"C",COLUMN(),":R",ROW()-1,"C",COLUMN()),FALSE))+1,"")</f>
        <v/>
      </c>
      <c r="M54" s="17"/>
      <c r="N54" s="10"/>
      <c r="O54" s="35"/>
      <c r="Q54" s="51" t="str">
        <f ca="1">IF(SamplingFeatures[[#This Row],[Sampling Feature Type]]="Specimen",MAX(INDIRECT(CONCATENATE("R",ROW(Specimens[#Headers]),"C",COLUMN(),":R",ROW()-1,"C",COLUMN()),FALSE))+1,"")</f>
        <v/>
      </c>
      <c r="R54" s="9"/>
      <c r="S54" s="10"/>
      <c r="T54" s="35"/>
    </row>
    <row r="55" spans="1:20" x14ac:dyDescent="0.25">
      <c r="A55" s="144"/>
      <c r="B55" s="10"/>
      <c r="C55" s="10"/>
      <c r="D55" s="10"/>
      <c r="E55" s="11"/>
      <c r="F55" s="47"/>
      <c r="G55" s="12"/>
      <c r="H55" s="12"/>
      <c r="I55" s="12"/>
      <c r="J55" s="131" t="str">
        <f ca="1">IF(SamplingFeatures[[#This Row],[Feature IGSN]]&lt;&gt;"",MAX(INDIRECT(CONCATENATE("R",ROW(SamplingFeatures[#Headers]),"C",COLUMN(),":R",ROW()-1,"C",COLUMN()),FALSE))+1,"")</f>
        <v/>
      </c>
      <c r="K55" s="43"/>
      <c r="L55" s="51" t="str">
        <f ca="1">IF(SamplingFeatures[[#This Row],[Sampling Feature Type]]="Site",MAX(INDIRECT(CONCATENATE("R",ROW(Sites[#Headers]),"C",COLUMN(),":R",ROW()-1,"C",COLUMN()),FALSE))+1,"")</f>
        <v/>
      </c>
      <c r="M55" s="17"/>
      <c r="N55" s="10"/>
      <c r="O55" s="35"/>
      <c r="Q55" s="51" t="str">
        <f ca="1">IF(SamplingFeatures[[#This Row],[Sampling Feature Type]]="Specimen",MAX(INDIRECT(CONCATENATE("R",ROW(Specimens[#Headers]),"C",COLUMN(),":R",ROW()-1,"C",COLUMN()),FALSE))+1,"")</f>
        <v/>
      </c>
      <c r="R55" s="9"/>
      <c r="S55" s="10"/>
      <c r="T55" s="35"/>
    </row>
    <row r="56" spans="1:20" x14ac:dyDescent="0.25">
      <c r="A56" s="144"/>
      <c r="B56" s="10"/>
      <c r="C56" s="10"/>
      <c r="D56" s="10"/>
      <c r="E56" s="11"/>
      <c r="F56" s="47"/>
      <c r="G56" s="12"/>
      <c r="H56" s="12"/>
      <c r="I56" s="12"/>
      <c r="J56" s="131" t="str">
        <f ca="1">IF(SamplingFeatures[[#This Row],[Feature IGSN]]&lt;&gt;"",MAX(INDIRECT(CONCATENATE("R",ROW(SamplingFeatures[#Headers]),"C",COLUMN(),":R",ROW()-1,"C",COLUMN()),FALSE))+1,"")</f>
        <v/>
      </c>
      <c r="K56" s="43"/>
      <c r="L56" s="51" t="str">
        <f ca="1">IF(SamplingFeatures[[#This Row],[Sampling Feature Type]]="Site",MAX(INDIRECT(CONCATENATE("R",ROW(Sites[#Headers]),"C",COLUMN(),":R",ROW()-1,"C",COLUMN()),FALSE))+1,"")</f>
        <v/>
      </c>
      <c r="M56" s="17"/>
      <c r="N56" s="10"/>
      <c r="O56" s="35"/>
      <c r="Q56" s="51" t="str">
        <f ca="1">IF(SamplingFeatures[[#This Row],[Sampling Feature Type]]="Specimen",MAX(INDIRECT(CONCATENATE("R",ROW(Specimens[#Headers]),"C",COLUMN(),":R",ROW()-1,"C",COLUMN()),FALSE))+1,"")</f>
        <v/>
      </c>
      <c r="R56" s="9"/>
      <c r="S56" s="10"/>
      <c r="T56" s="35"/>
    </row>
    <row r="57" spans="1:20" x14ac:dyDescent="0.25">
      <c r="A57" s="144"/>
      <c r="B57" s="10"/>
      <c r="C57" s="10"/>
      <c r="D57" s="10"/>
      <c r="E57" s="11"/>
      <c r="F57" s="47"/>
      <c r="G57" s="12"/>
      <c r="H57" s="12"/>
      <c r="I57" s="12"/>
      <c r="J57" s="131" t="str">
        <f ca="1">IF(SamplingFeatures[[#This Row],[Feature IGSN]]&lt;&gt;"",MAX(INDIRECT(CONCATENATE("R",ROW(SamplingFeatures[#Headers]),"C",COLUMN(),":R",ROW()-1,"C",COLUMN()),FALSE))+1,"")</f>
        <v/>
      </c>
      <c r="K57" s="43"/>
      <c r="L57" s="51" t="str">
        <f ca="1">IF(SamplingFeatures[[#This Row],[Sampling Feature Type]]="Site",MAX(INDIRECT(CONCATENATE("R",ROW(Sites[#Headers]),"C",COLUMN(),":R",ROW()-1,"C",COLUMN()),FALSE))+1,"")</f>
        <v/>
      </c>
      <c r="M57" s="17"/>
      <c r="N57" s="10"/>
      <c r="O57" s="35"/>
      <c r="Q57" s="51" t="str">
        <f ca="1">IF(SamplingFeatures[[#This Row],[Sampling Feature Type]]="Specimen",MAX(INDIRECT(CONCATENATE("R",ROW(Specimens[#Headers]),"C",COLUMN(),":R",ROW()-1,"C",COLUMN()),FALSE))+1,"")</f>
        <v/>
      </c>
      <c r="R57" s="9"/>
      <c r="S57" s="10"/>
      <c r="T57" s="35"/>
    </row>
    <row r="58" spans="1:20" x14ac:dyDescent="0.25">
      <c r="A58" s="144"/>
      <c r="B58" s="10"/>
      <c r="C58" s="10"/>
      <c r="D58" s="10"/>
      <c r="E58" s="11"/>
      <c r="F58" s="47"/>
      <c r="G58" s="12"/>
      <c r="H58" s="12"/>
      <c r="I58" s="12"/>
      <c r="J58" s="131" t="str">
        <f ca="1">IF(SamplingFeatures[[#This Row],[Feature IGSN]]&lt;&gt;"",MAX(INDIRECT(CONCATENATE("R",ROW(SamplingFeatures[#Headers]),"C",COLUMN(),":R",ROW()-1,"C",COLUMN()),FALSE))+1,"")</f>
        <v/>
      </c>
      <c r="K58" s="43"/>
      <c r="L58" s="51" t="str">
        <f ca="1">IF(SamplingFeatures[[#This Row],[Sampling Feature Type]]="Site",MAX(INDIRECT(CONCATENATE("R",ROW(Sites[#Headers]),"C",COLUMN(),":R",ROW()-1,"C",COLUMN()),FALSE))+1,"")</f>
        <v/>
      </c>
      <c r="M58" s="17"/>
      <c r="N58" s="10"/>
      <c r="O58" s="35"/>
      <c r="Q58" s="51" t="str">
        <f ca="1">IF(SamplingFeatures[[#This Row],[Sampling Feature Type]]="Specimen",MAX(INDIRECT(CONCATENATE("R",ROW(Specimens[#Headers]),"C",COLUMN(),":R",ROW()-1,"C",COLUMN()),FALSE))+1,"")</f>
        <v/>
      </c>
      <c r="R58" s="9"/>
      <c r="S58" s="10"/>
      <c r="T58" s="35"/>
    </row>
    <row r="59" spans="1:20" x14ac:dyDescent="0.25">
      <c r="A59" s="144"/>
      <c r="B59" s="10"/>
      <c r="C59" s="10"/>
      <c r="D59" s="10"/>
      <c r="E59" s="11"/>
      <c r="F59" s="47"/>
      <c r="G59" s="12"/>
      <c r="H59" s="12"/>
      <c r="I59" s="12"/>
      <c r="J59" s="131" t="str">
        <f ca="1">IF(SamplingFeatures[[#This Row],[Feature IGSN]]&lt;&gt;"",MAX(INDIRECT(CONCATENATE("R",ROW(SamplingFeatures[#Headers]),"C",COLUMN(),":R",ROW()-1,"C",COLUMN()),FALSE))+1,"")</f>
        <v/>
      </c>
      <c r="K59" s="43"/>
      <c r="L59" s="51" t="str">
        <f ca="1">IF(SamplingFeatures[[#This Row],[Sampling Feature Type]]="Site",MAX(INDIRECT(CONCATENATE("R",ROW(Sites[#Headers]),"C",COLUMN(),":R",ROW()-1,"C",COLUMN()),FALSE))+1,"")</f>
        <v/>
      </c>
      <c r="M59" s="17"/>
      <c r="N59" s="10"/>
      <c r="O59" s="35"/>
      <c r="Q59" s="51" t="str">
        <f ca="1">IF(SamplingFeatures[[#This Row],[Sampling Feature Type]]="Specimen",MAX(INDIRECT(CONCATENATE("R",ROW(Specimens[#Headers]),"C",COLUMN(),":R",ROW()-1,"C",COLUMN()),FALSE))+1,"")</f>
        <v/>
      </c>
      <c r="R59" s="9"/>
      <c r="S59" s="10"/>
      <c r="T59" s="35"/>
    </row>
    <row r="60" spans="1:20" x14ac:dyDescent="0.25">
      <c r="A60" s="144"/>
      <c r="B60" s="10"/>
      <c r="C60" s="10"/>
      <c r="D60" s="10"/>
      <c r="E60" s="11"/>
      <c r="F60" s="47"/>
      <c r="G60" s="12"/>
      <c r="H60" s="12"/>
      <c r="I60" s="12"/>
      <c r="J60" s="131" t="str">
        <f ca="1">IF(SamplingFeatures[[#This Row],[Feature IGSN]]&lt;&gt;"",MAX(INDIRECT(CONCATENATE("R",ROW(SamplingFeatures[#Headers]),"C",COLUMN(),":R",ROW()-1,"C",COLUMN()),FALSE))+1,"")</f>
        <v/>
      </c>
      <c r="K60" s="43"/>
      <c r="L60" s="51" t="str">
        <f ca="1">IF(SamplingFeatures[[#This Row],[Sampling Feature Type]]="Site",MAX(INDIRECT(CONCATENATE("R",ROW(Sites[#Headers]),"C",COLUMN(),":R",ROW()-1,"C",COLUMN()),FALSE))+1,"")</f>
        <v/>
      </c>
      <c r="M60" s="17"/>
      <c r="N60" s="10"/>
      <c r="O60" s="35"/>
      <c r="Q60" s="51" t="str">
        <f ca="1">IF(SamplingFeatures[[#This Row],[Sampling Feature Type]]="Specimen",MAX(INDIRECT(CONCATENATE("R",ROW(Specimens[#Headers]),"C",COLUMN(),":R",ROW()-1,"C",COLUMN()),FALSE))+1,"")</f>
        <v/>
      </c>
      <c r="R60" s="9"/>
      <c r="S60" s="10"/>
      <c r="T60" s="35"/>
    </row>
    <row r="61" spans="1:20" x14ac:dyDescent="0.25">
      <c r="A61" s="144"/>
      <c r="B61" s="10"/>
      <c r="C61" s="10"/>
      <c r="D61" s="18"/>
      <c r="E61" s="11"/>
      <c r="F61" s="47"/>
      <c r="G61" s="12"/>
      <c r="H61" s="12"/>
      <c r="I61" s="12"/>
      <c r="J61" s="131" t="str">
        <f ca="1">IF(SamplingFeatures[[#This Row],[Feature IGSN]]&lt;&gt;"",MAX(INDIRECT(CONCATENATE("R",ROW(SamplingFeatures[#Headers]),"C",COLUMN(),":R",ROW()-1,"C",COLUMN()),FALSE))+1,"")</f>
        <v/>
      </c>
      <c r="K61" s="43"/>
      <c r="L61" s="51" t="str">
        <f ca="1">IF(SamplingFeatures[[#This Row],[Sampling Feature Type]]="Site",MAX(INDIRECT(CONCATENATE("R",ROW(Sites[#Headers]),"C",COLUMN(),":R",ROW()-1,"C",COLUMN()),FALSE))+1,"")</f>
        <v/>
      </c>
      <c r="M61" s="17"/>
      <c r="N61" s="10"/>
      <c r="O61" s="35"/>
      <c r="Q61" s="51" t="str">
        <f ca="1">IF(SamplingFeatures[[#This Row],[Sampling Feature Type]]="Specimen",MAX(INDIRECT(CONCATENATE("R",ROW(Specimens[#Headers]),"C",COLUMN(),":R",ROW()-1,"C",COLUMN()),FALSE))+1,"")</f>
        <v/>
      </c>
      <c r="R61" s="9"/>
      <c r="S61" s="10"/>
      <c r="T61" s="35"/>
    </row>
    <row r="62" spans="1:20" ht="15.75" thickBot="1" x14ac:dyDescent="0.3">
      <c r="A62" s="145"/>
      <c r="B62" s="14"/>
      <c r="C62" s="14"/>
      <c r="D62" s="10"/>
      <c r="E62" s="15"/>
      <c r="F62" s="48"/>
      <c r="G62" s="16"/>
      <c r="H62" s="16"/>
      <c r="I62" s="16"/>
      <c r="J62" s="132" t="str">
        <f ca="1">IF(SamplingFeatures[[#This Row],[Feature IGSN]]&lt;&gt;"",MAX(INDIRECT(CONCATENATE("R",ROW(SamplingFeatures[#Headers]),"C",COLUMN(),":R",ROW()-1,"C",COLUMN()),FALSE))+1,"")</f>
        <v/>
      </c>
      <c r="K62" s="43"/>
      <c r="L62" s="51" t="str">
        <f ca="1">IF(SamplingFeatures[[#This Row],[Sampling Feature Type]]="Site",MAX(INDIRECT(CONCATENATE("R",ROW(Sites[#Headers]),"C",COLUMN(),":R",ROW()-1,"C",COLUMN()),FALSE))+1,"")</f>
        <v/>
      </c>
      <c r="M62" s="13"/>
      <c r="N62" s="14"/>
      <c r="O62" s="36"/>
      <c r="Q62" s="53" t="str">
        <f ca="1">IF(SamplingFeatures[[#This Row],[Sampling Feature Type]]="Specimen",MAX(INDIRECT(CONCATENATE("R",ROW(Specimens[#Headers]),"C",COLUMN(),":R",ROW()-1,"C",COLUMN()),FALSE))+1,"")</f>
        <v/>
      </c>
      <c r="R62" s="13"/>
      <c r="S62" s="14"/>
      <c r="T62" s="36"/>
    </row>
  </sheetData>
  <sheetProtection password="CA31" sheet="1" objects="1" scenarios="1" formatColumns="0" insertRows="0" insertHyperlinks="0" deleteRows="0"/>
  <mergeCells count="3">
    <mergeCell ref="A8:B8"/>
    <mergeCell ref="L11:O11"/>
    <mergeCell ref="Q11:T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N13:O62">
    <cfRule type="expression" dxfId="48" priority="12">
      <formula>ISTEXT(N13)</formula>
    </cfRule>
  </conditionalFormatting>
  <conditionalFormatting sqref="M13:M62">
    <cfRule type="expression" dxfId="47" priority="11">
      <formula>AND(COUNTIF(SiteTypeCV,$M13)=0,$M13&lt;&gt;"")</formula>
    </cfRule>
  </conditionalFormatting>
  <conditionalFormatting sqref="M13:O62">
    <cfRule type="expression" dxfId="46" priority="9">
      <formula>AND($B13&lt;&gt;"Site",M13&lt;&gt;"")</formula>
    </cfRule>
    <cfRule type="expression" dxfId="45" priority="10">
      <formula>AND($B13="Site",M13="")</formula>
    </cfRule>
  </conditionalFormatting>
  <conditionalFormatting sqref="R13:R62">
    <cfRule type="expression" dxfId="44" priority="6">
      <formula>AND(COUNTIF(SpecimenTypeCV,$R13)=0,$R13&lt;&gt;"")</formula>
    </cfRule>
  </conditionalFormatting>
  <conditionalFormatting sqref="S13:S62">
    <cfRule type="expression" dxfId="43" priority="5">
      <formula>AND(COUNTIF(SampledMediumCV,$S13)=0,$S13&lt;&gt;"")</formula>
    </cfRule>
  </conditionalFormatting>
  <conditionalFormatting sqref="T13:T62">
    <cfRule type="expression" dxfId="42" priority="4">
      <formula>AND(COUNTIF(Boolean,$T13)=0,$T13&lt;&gt;"")</formula>
    </cfRule>
  </conditionalFormatting>
  <conditionalFormatting sqref="R13:T62">
    <cfRule type="expression" dxfId="41" priority="50">
      <formula>AND($B13&lt;&gt;"Specimen",R13&lt;&gt;"")</formula>
    </cfRule>
    <cfRule type="expression" dxfId="40" priority="51">
      <formula>AND($B13="Specimen",R13="")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Q13 L13:L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R13: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193" t="s">
        <v>1366</v>
      </c>
      <c r="B7" s="194" t="s">
        <v>227</v>
      </c>
      <c r="C7" s="194" t="s">
        <v>228</v>
      </c>
      <c r="D7" s="194" t="s">
        <v>229</v>
      </c>
      <c r="E7" s="194" t="s">
        <v>230</v>
      </c>
      <c r="F7" s="194" t="s">
        <v>231</v>
      </c>
      <c r="G7" s="194" t="s">
        <v>232</v>
      </c>
      <c r="H7" s="195" t="s">
        <v>233</v>
      </c>
    </row>
    <row r="8" spans="1:8" ht="15.75" thickTop="1" x14ac:dyDescent="0.25">
      <c r="A8" s="184"/>
      <c r="B8" s="185"/>
      <c r="C8" s="185"/>
      <c r="D8" s="185"/>
      <c r="E8" s="186"/>
      <c r="F8" s="186"/>
      <c r="G8" s="186"/>
      <c r="H8" s="187"/>
    </row>
    <row r="9" spans="1:8" x14ac:dyDescent="0.25">
      <c r="A9" s="188"/>
      <c r="B9" s="185"/>
      <c r="C9" s="185"/>
      <c r="D9" s="185"/>
      <c r="E9" s="186"/>
      <c r="F9" s="186"/>
      <c r="G9" s="186"/>
      <c r="H9" s="187"/>
    </row>
    <row r="10" spans="1:8" x14ac:dyDescent="0.25">
      <c r="A10" s="188"/>
      <c r="B10" s="185"/>
      <c r="C10" s="185"/>
      <c r="D10" s="185"/>
      <c r="E10" s="186"/>
      <c r="F10" s="186"/>
      <c r="G10" s="186"/>
      <c r="H10" s="187"/>
    </row>
    <row r="11" spans="1:8" x14ac:dyDescent="0.25">
      <c r="A11" s="188"/>
      <c r="B11" s="185"/>
      <c r="C11" s="185"/>
      <c r="D11" s="185"/>
      <c r="E11" s="186"/>
      <c r="F11" s="186"/>
      <c r="G11" s="186"/>
      <c r="H11" s="187"/>
    </row>
    <row r="12" spans="1:8" x14ac:dyDescent="0.25">
      <c r="A12" s="188"/>
      <c r="B12" s="185"/>
      <c r="C12" s="185"/>
      <c r="D12" s="185"/>
      <c r="E12" s="186"/>
      <c r="F12" s="186"/>
      <c r="G12" s="186"/>
      <c r="H12" s="187"/>
    </row>
    <row r="13" spans="1:8" x14ac:dyDescent="0.25">
      <c r="A13" s="188"/>
      <c r="B13" s="185"/>
      <c r="C13" s="185"/>
      <c r="D13" s="185"/>
      <c r="E13" s="186"/>
      <c r="F13" s="186"/>
      <c r="G13" s="186"/>
      <c r="H13" s="187"/>
    </row>
    <row r="14" spans="1:8" x14ac:dyDescent="0.25">
      <c r="A14" s="188"/>
      <c r="B14" s="185"/>
      <c r="C14" s="185"/>
      <c r="D14" s="185"/>
      <c r="E14" s="186"/>
      <c r="F14" s="186"/>
      <c r="G14" s="186"/>
      <c r="H14" s="187"/>
    </row>
    <row r="15" spans="1:8" x14ac:dyDescent="0.25">
      <c r="A15" s="188"/>
      <c r="B15" s="185"/>
      <c r="C15" s="185"/>
      <c r="D15" s="185"/>
      <c r="E15" s="186"/>
      <c r="F15" s="186"/>
      <c r="G15" s="186"/>
      <c r="H15" s="187"/>
    </row>
    <row r="16" spans="1:8" x14ac:dyDescent="0.25">
      <c r="A16" s="188"/>
      <c r="B16" s="185"/>
      <c r="C16" s="185"/>
      <c r="D16" s="185"/>
      <c r="E16" s="186"/>
      <c r="F16" s="186"/>
      <c r="G16" s="186"/>
      <c r="H16" s="187"/>
    </row>
    <row r="17" spans="1:8" x14ac:dyDescent="0.25">
      <c r="A17" s="188"/>
      <c r="B17" s="185"/>
      <c r="C17" s="185"/>
      <c r="D17" s="185"/>
      <c r="E17" s="186"/>
      <c r="F17" s="186"/>
      <c r="G17" s="186"/>
      <c r="H17" s="187"/>
    </row>
    <row r="18" spans="1:8" x14ac:dyDescent="0.25">
      <c r="A18" s="188"/>
      <c r="B18" s="185"/>
      <c r="C18" s="185"/>
      <c r="D18" s="185"/>
      <c r="E18" s="186"/>
      <c r="F18" s="186"/>
      <c r="G18" s="186"/>
      <c r="H18" s="187"/>
    </row>
    <row r="19" spans="1:8" x14ac:dyDescent="0.25">
      <c r="A19" s="188"/>
      <c r="B19" s="185"/>
      <c r="C19" s="185"/>
      <c r="D19" s="185"/>
      <c r="E19" s="186"/>
      <c r="F19" s="186"/>
      <c r="G19" s="186"/>
      <c r="H19" s="187"/>
    </row>
    <row r="20" spans="1:8" x14ac:dyDescent="0.25">
      <c r="A20" s="188"/>
      <c r="B20" s="185"/>
      <c r="C20" s="185"/>
      <c r="D20" s="185"/>
      <c r="E20" s="186"/>
      <c r="F20" s="186"/>
      <c r="G20" s="186"/>
      <c r="H20" s="187"/>
    </row>
    <row r="21" spans="1:8" x14ac:dyDescent="0.25">
      <c r="A21" s="188"/>
      <c r="B21" s="185"/>
      <c r="C21" s="185"/>
      <c r="D21" s="185"/>
      <c r="E21" s="186"/>
      <c r="F21" s="186"/>
      <c r="G21" s="186"/>
      <c r="H21" s="187"/>
    </row>
    <row r="22" spans="1:8" x14ac:dyDescent="0.25">
      <c r="A22" s="188"/>
      <c r="B22" s="185"/>
      <c r="C22" s="185"/>
      <c r="D22" s="185"/>
      <c r="E22" s="186"/>
      <c r="F22" s="186"/>
      <c r="G22" s="186"/>
      <c r="H22" s="187"/>
    </row>
    <row r="23" spans="1:8" x14ac:dyDescent="0.25">
      <c r="A23" s="188"/>
      <c r="B23" s="185"/>
      <c r="C23" s="185"/>
      <c r="D23" s="185"/>
      <c r="E23" s="186"/>
      <c r="F23" s="186"/>
      <c r="G23" s="186"/>
      <c r="H23" s="187"/>
    </row>
    <row r="24" spans="1:8" x14ac:dyDescent="0.25">
      <c r="A24" s="188"/>
      <c r="B24" s="185"/>
      <c r="C24" s="185"/>
      <c r="D24" s="185"/>
      <c r="E24" s="186"/>
      <c r="F24" s="186"/>
      <c r="G24" s="186"/>
      <c r="H24" s="187"/>
    </row>
    <row r="25" spans="1:8" x14ac:dyDescent="0.25">
      <c r="A25" s="188"/>
      <c r="B25" s="185"/>
      <c r="C25" s="185"/>
      <c r="D25" s="185"/>
      <c r="E25" s="186"/>
      <c r="F25" s="186"/>
      <c r="G25" s="186"/>
      <c r="H25" s="187"/>
    </row>
    <row r="26" spans="1:8" x14ac:dyDescent="0.25">
      <c r="A26" s="188"/>
      <c r="B26" s="185"/>
      <c r="C26" s="185"/>
      <c r="D26" s="185"/>
      <c r="E26" s="186"/>
      <c r="F26" s="186"/>
      <c r="G26" s="186"/>
      <c r="H26" s="187"/>
    </row>
    <row r="27" spans="1:8" x14ac:dyDescent="0.25">
      <c r="A27" s="188"/>
      <c r="B27" s="185"/>
      <c r="C27" s="185"/>
      <c r="D27" s="185"/>
      <c r="E27" s="186"/>
      <c r="F27" s="186"/>
      <c r="G27" s="186"/>
      <c r="H27" s="187"/>
    </row>
    <row r="28" spans="1:8" x14ac:dyDescent="0.25">
      <c r="A28" s="188"/>
      <c r="B28" s="185"/>
      <c r="C28" s="185"/>
      <c r="D28" s="185"/>
      <c r="E28" s="186"/>
      <c r="F28" s="186"/>
      <c r="G28" s="186"/>
      <c r="H28" s="187"/>
    </row>
    <row r="29" spans="1:8" x14ac:dyDescent="0.25">
      <c r="A29" s="188"/>
      <c r="B29" s="185"/>
      <c r="C29" s="185"/>
      <c r="D29" s="185"/>
      <c r="E29" s="186"/>
      <c r="F29" s="186"/>
      <c r="G29" s="186"/>
      <c r="H29" s="187"/>
    </row>
    <row r="30" spans="1:8" x14ac:dyDescent="0.25">
      <c r="A30" s="188"/>
      <c r="B30" s="185"/>
      <c r="C30" s="185"/>
      <c r="D30" s="185"/>
      <c r="E30" s="186"/>
      <c r="F30" s="186"/>
      <c r="G30" s="186"/>
      <c r="H30" s="187"/>
    </row>
    <row r="31" spans="1:8" x14ac:dyDescent="0.25">
      <c r="A31" s="188"/>
      <c r="B31" s="185"/>
      <c r="C31" s="185"/>
      <c r="D31" s="185"/>
      <c r="E31" s="186"/>
      <c r="F31" s="186"/>
      <c r="G31" s="186"/>
      <c r="H31" s="187"/>
    </row>
    <row r="32" spans="1:8" x14ac:dyDescent="0.25">
      <c r="A32" s="188"/>
      <c r="B32" s="185"/>
      <c r="C32" s="185"/>
      <c r="D32" s="185"/>
      <c r="E32" s="186"/>
      <c r="F32" s="186"/>
      <c r="G32" s="186"/>
      <c r="H32" s="187"/>
    </row>
    <row r="33" spans="1:8" x14ac:dyDescent="0.25">
      <c r="A33" s="188"/>
      <c r="B33" s="185"/>
      <c r="C33" s="185"/>
      <c r="D33" s="185"/>
      <c r="E33" s="186"/>
      <c r="F33" s="186"/>
      <c r="G33" s="186"/>
      <c r="H33" s="187"/>
    </row>
    <row r="34" spans="1:8" x14ac:dyDescent="0.25">
      <c r="A34" s="188"/>
      <c r="B34" s="185"/>
      <c r="C34" s="185"/>
      <c r="D34" s="185"/>
      <c r="E34" s="186"/>
      <c r="F34" s="186"/>
      <c r="G34" s="186"/>
      <c r="H34" s="187"/>
    </row>
    <row r="35" spans="1:8" x14ac:dyDescent="0.25">
      <c r="A35" s="188"/>
      <c r="B35" s="185"/>
      <c r="C35" s="185"/>
      <c r="D35" s="185"/>
      <c r="E35" s="186"/>
      <c r="F35" s="186"/>
      <c r="G35" s="186"/>
      <c r="H35" s="187"/>
    </row>
    <row r="36" spans="1:8" x14ac:dyDescent="0.25">
      <c r="A36" s="188"/>
      <c r="B36" s="185"/>
      <c r="C36" s="185"/>
      <c r="D36" s="185"/>
      <c r="E36" s="186"/>
      <c r="F36" s="186"/>
      <c r="G36" s="186"/>
      <c r="H36" s="187"/>
    </row>
    <row r="37" spans="1:8" x14ac:dyDescent="0.25">
      <c r="A37" s="188"/>
      <c r="B37" s="185"/>
      <c r="C37" s="185"/>
      <c r="D37" s="185"/>
      <c r="E37" s="186"/>
      <c r="F37" s="186"/>
      <c r="G37" s="186"/>
      <c r="H37" s="187"/>
    </row>
    <row r="38" spans="1:8" x14ac:dyDescent="0.25">
      <c r="A38" s="188"/>
      <c r="B38" s="185"/>
      <c r="C38" s="185"/>
      <c r="D38" s="185"/>
      <c r="E38" s="186"/>
      <c r="F38" s="186"/>
      <c r="G38" s="186"/>
      <c r="H38" s="187"/>
    </row>
    <row r="39" spans="1:8" x14ac:dyDescent="0.25">
      <c r="A39" s="189"/>
      <c r="B39" s="190"/>
      <c r="C39" s="190"/>
      <c r="D39" s="190"/>
      <c r="E39" s="191"/>
      <c r="F39" s="191"/>
      <c r="G39" s="191"/>
      <c r="H39" s="192"/>
    </row>
  </sheetData>
  <sheetProtection password="CA31" sheet="1" objects="1" scenarios="1" formatColumn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1319</v>
      </c>
    </row>
    <row r="2" spans="1:7" x14ac:dyDescent="0.25">
      <c r="A2" s="26" t="s">
        <v>1367</v>
      </c>
    </row>
    <row r="3" spans="1:7" ht="15.75" thickBot="1" x14ac:dyDescent="0.3">
      <c r="A3" s="6" t="s">
        <v>1308</v>
      </c>
    </row>
    <row r="4" spans="1:7" ht="15.75" thickBot="1" x14ac:dyDescent="0.3">
      <c r="A4" s="26" t="s">
        <v>1309</v>
      </c>
      <c r="E4" s="27" t="s">
        <v>1196</v>
      </c>
      <c r="F4" s="28">
        <f>COUNTA(RelatedFeatures[First Sampling Feature Code])</f>
        <v>0</v>
      </c>
    </row>
    <row r="5" spans="1:7" x14ac:dyDescent="0.25">
      <c r="A5" s="26" t="s">
        <v>1320</v>
      </c>
      <c r="E5" s="154"/>
      <c r="F5" s="154"/>
    </row>
    <row r="6" spans="1:7" ht="15.75" thickBot="1" x14ac:dyDescent="0.3">
      <c r="E6"/>
      <c r="F6"/>
      <c r="G6"/>
    </row>
    <row r="7" spans="1:7" x14ac:dyDescent="0.25">
      <c r="A7" s="227" t="s">
        <v>242</v>
      </c>
      <c r="B7" s="228"/>
      <c r="C7" s="228"/>
      <c r="D7" s="229"/>
      <c r="E7"/>
      <c r="F7"/>
      <c r="G7"/>
    </row>
    <row r="8" spans="1:7" ht="15.75" thickBot="1" x14ac:dyDescent="0.3">
      <c r="A8" s="74" t="s">
        <v>239</v>
      </c>
      <c r="B8" s="58" t="s">
        <v>240</v>
      </c>
      <c r="C8" s="58" t="s">
        <v>241</v>
      </c>
      <c r="D8" s="75" t="s">
        <v>1366</v>
      </c>
      <c r="E8"/>
      <c r="F8"/>
      <c r="G8"/>
    </row>
    <row r="9" spans="1:7" ht="15.75" thickTop="1" x14ac:dyDescent="0.25">
      <c r="A9" s="67"/>
      <c r="B9" s="68"/>
      <c r="C9" s="68"/>
      <c r="D9" s="70"/>
      <c r="E9"/>
      <c r="F9"/>
      <c r="G9"/>
    </row>
    <row r="10" spans="1:7" x14ac:dyDescent="0.25">
      <c r="A10" s="67"/>
      <c r="B10" s="68"/>
      <c r="C10" s="68"/>
      <c r="D10" s="70"/>
    </row>
    <row r="11" spans="1:7" x14ac:dyDescent="0.25">
      <c r="A11" s="67"/>
      <c r="B11" s="68"/>
      <c r="C11" s="68"/>
      <c r="D11" s="70"/>
    </row>
    <row r="12" spans="1:7" x14ac:dyDescent="0.25">
      <c r="A12" s="67"/>
      <c r="B12" s="68"/>
      <c r="C12" s="68"/>
      <c r="D12" s="70"/>
    </row>
    <row r="13" spans="1:7" x14ac:dyDescent="0.25">
      <c r="A13" s="67"/>
      <c r="B13" s="68"/>
      <c r="C13" s="68"/>
      <c r="D13" s="70"/>
    </row>
    <row r="14" spans="1:7" x14ac:dyDescent="0.25">
      <c r="A14" s="67"/>
      <c r="B14" s="68"/>
      <c r="C14" s="68"/>
      <c r="D14" s="70"/>
    </row>
    <row r="15" spans="1:7" x14ac:dyDescent="0.25">
      <c r="A15" s="67"/>
      <c r="B15" s="68"/>
      <c r="C15" s="68"/>
      <c r="D15" s="70"/>
    </row>
    <row r="16" spans="1:7" x14ac:dyDescent="0.25">
      <c r="A16" s="67"/>
      <c r="B16" s="68"/>
      <c r="C16" s="68"/>
      <c r="D16" s="70"/>
    </row>
    <row r="17" spans="1:4" x14ac:dyDescent="0.25">
      <c r="A17" s="67"/>
      <c r="B17" s="68"/>
      <c r="C17" s="68"/>
      <c r="D17" s="70"/>
    </row>
    <row r="18" spans="1:4" x14ac:dyDescent="0.25">
      <c r="A18" s="67"/>
      <c r="B18" s="68"/>
      <c r="C18" s="68"/>
      <c r="D18" s="70"/>
    </row>
    <row r="19" spans="1:4" x14ac:dyDescent="0.25">
      <c r="A19" s="67"/>
      <c r="B19" s="68"/>
      <c r="C19" s="68"/>
      <c r="D19" s="70"/>
    </row>
    <row r="20" spans="1:4" x14ac:dyDescent="0.25">
      <c r="A20" s="67"/>
      <c r="B20" s="68"/>
      <c r="C20" s="68"/>
      <c r="D20" s="70"/>
    </row>
    <row r="21" spans="1:4" x14ac:dyDescent="0.25">
      <c r="A21" s="67"/>
      <c r="B21" s="68"/>
      <c r="C21" s="68"/>
      <c r="D21" s="70"/>
    </row>
    <row r="22" spans="1:4" x14ac:dyDescent="0.25">
      <c r="A22" s="67"/>
      <c r="B22" s="68"/>
      <c r="C22" s="68"/>
      <c r="D22" s="70"/>
    </row>
    <row r="23" spans="1:4" x14ac:dyDescent="0.25">
      <c r="A23" s="67"/>
      <c r="B23" s="68"/>
      <c r="C23" s="68"/>
      <c r="D23" s="70"/>
    </row>
    <row r="24" spans="1:4" x14ac:dyDescent="0.25">
      <c r="A24" s="67"/>
      <c r="B24" s="68"/>
      <c r="C24" s="68"/>
      <c r="D24" s="70"/>
    </row>
    <row r="25" spans="1:4" x14ac:dyDescent="0.25">
      <c r="A25" s="67"/>
      <c r="B25" s="68"/>
      <c r="C25" s="68"/>
      <c r="D25" s="70"/>
    </row>
    <row r="26" spans="1:4" x14ac:dyDescent="0.25">
      <c r="A26" s="67"/>
      <c r="B26" s="68"/>
      <c r="C26" s="68"/>
      <c r="D26" s="70"/>
    </row>
    <row r="27" spans="1:4" x14ac:dyDescent="0.25">
      <c r="A27" s="67"/>
      <c r="B27" s="68"/>
      <c r="C27" s="68"/>
      <c r="D27" s="70"/>
    </row>
    <row r="28" spans="1:4" x14ac:dyDescent="0.25">
      <c r="A28" s="67"/>
      <c r="B28" s="68"/>
      <c r="C28" s="68"/>
      <c r="D28" s="70"/>
    </row>
    <row r="29" spans="1:4" x14ac:dyDescent="0.25">
      <c r="A29" s="67"/>
      <c r="B29" s="68"/>
      <c r="C29" s="68"/>
      <c r="D29" s="70"/>
    </row>
    <row r="30" spans="1:4" x14ac:dyDescent="0.25">
      <c r="A30" s="67"/>
      <c r="B30" s="68"/>
      <c r="C30" s="68"/>
      <c r="D30" s="70"/>
    </row>
    <row r="31" spans="1:4" x14ac:dyDescent="0.25">
      <c r="A31" s="67"/>
      <c r="B31" s="68"/>
      <c r="C31" s="68"/>
      <c r="D31" s="70"/>
    </row>
    <row r="32" spans="1:4" x14ac:dyDescent="0.25">
      <c r="A32" s="67"/>
      <c r="B32" s="68"/>
      <c r="C32" s="68"/>
      <c r="D32" s="70"/>
    </row>
    <row r="33" spans="1:4" x14ac:dyDescent="0.25">
      <c r="A33" s="67"/>
      <c r="B33" s="68"/>
      <c r="C33" s="68"/>
      <c r="D33" s="70"/>
    </row>
    <row r="34" spans="1:4" x14ac:dyDescent="0.25">
      <c r="A34" s="67"/>
      <c r="B34" s="68"/>
      <c r="C34" s="68"/>
      <c r="D34" s="70"/>
    </row>
    <row r="35" spans="1:4" x14ac:dyDescent="0.25">
      <c r="A35" s="67"/>
      <c r="B35" s="68"/>
      <c r="C35" s="68"/>
      <c r="D35" s="70"/>
    </row>
    <row r="36" spans="1:4" x14ac:dyDescent="0.25">
      <c r="A36" s="67"/>
      <c r="B36" s="68"/>
      <c r="C36" s="68"/>
      <c r="D36" s="70"/>
    </row>
    <row r="37" spans="1:4" x14ac:dyDescent="0.25">
      <c r="A37" s="67"/>
      <c r="B37" s="68"/>
      <c r="C37" s="68"/>
      <c r="D37" s="70"/>
    </row>
    <row r="38" spans="1:4" x14ac:dyDescent="0.25">
      <c r="A38" s="67"/>
      <c r="B38" s="68"/>
      <c r="C38" s="68"/>
      <c r="D38" s="70"/>
    </row>
    <row r="39" spans="1:4" x14ac:dyDescent="0.25">
      <c r="A39" s="67"/>
      <c r="B39" s="68"/>
      <c r="C39" s="68"/>
      <c r="D39" s="70"/>
    </row>
    <row r="40" spans="1:4" ht="15.75" thickBot="1" x14ac:dyDescent="0.3">
      <c r="A40" s="71"/>
      <c r="B40" s="72"/>
      <c r="C40" s="72"/>
      <c r="D40" s="73"/>
    </row>
  </sheetData>
  <sheetProtection password="CA31" sheet="1" objects="1" scenarios="1" formatColumn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30" t="s">
        <v>249</v>
      </c>
      <c r="B8" s="231"/>
      <c r="C8" s="231"/>
      <c r="D8" s="231"/>
      <c r="E8" s="231"/>
      <c r="F8" s="232"/>
    </row>
    <row r="9" spans="1:6" ht="15.75" thickBot="1" x14ac:dyDescent="0.3">
      <c r="A9" s="63" t="s">
        <v>246</v>
      </c>
      <c r="B9" s="58" t="s">
        <v>139</v>
      </c>
      <c r="C9" s="58" t="s">
        <v>138</v>
      </c>
      <c r="D9" s="65" t="s">
        <v>140</v>
      </c>
      <c r="E9" s="65" t="s">
        <v>247</v>
      </c>
      <c r="F9" s="61" t="s">
        <v>19</v>
      </c>
    </row>
    <row r="10" spans="1:6" ht="15.75" thickTop="1" x14ac:dyDescent="0.25">
      <c r="A10" s="76"/>
      <c r="B10" s="68"/>
      <c r="C10" s="77"/>
      <c r="D10" s="78"/>
      <c r="E10" s="79"/>
      <c r="F10" s="80"/>
    </row>
    <row r="11" spans="1:6" x14ac:dyDescent="0.25">
      <c r="A11" s="76"/>
      <c r="B11" s="68"/>
      <c r="C11" s="77"/>
      <c r="D11" s="78"/>
      <c r="E11" s="79"/>
      <c r="F11" s="80"/>
    </row>
    <row r="12" spans="1:6" x14ac:dyDescent="0.25">
      <c r="A12" s="76"/>
      <c r="B12" s="68"/>
      <c r="C12" s="77"/>
      <c r="D12" s="78"/>
      <c r="E12" s="79"/>
      <c r="F12" s="80"/>
    </row>
    <row r="13" spans="1:6" x14ac:dyDescent="0.25">
      <c r="A13" s="76"/>
      <c r="B13" s="68"/>
      <c r="C13" s="77"/>
      <c r="D13" s="78"/>
      <c r="E13" s="79"/>
      <c r="F13" s="80"/>
    </row>
    <row r="14" spans="1:6" x14ac:dyDescent="0.25">
      <c r="A14" s="76"/>
      <c r="B14" s="68"/>
      <c r="C14" s="68"/>
      <c r="D14" s="78"/>
      <c r="E14" s="79"/>
      <c r="F14" s="80"/>
    </row>
    <row r="15" spans="1:6" x14ac:dyDescent="0.25">
      <c r="A15" s="76"/>
      <c r="B15" s="68"/>
      <c r="C15" s="68"/>
      <c r="D15" s="78"/>
      <c r="E15" s="69"/>
      <c r="F15" s="80"/>
    </row>
    <row r="16" spans="1:6" x14ac:dyDescent="0.25">
      <c r="A16" s="76"/>
      <c r="B16" s="68"/>
      <c r="C16" s="77"/>
      <c r="D16" s="78"/>
      <c r="E16" s="69"/>
      <c r="F16" s="80"/>
    </row>
    <row r="17" spans="1:6" x14ac:dyDescent="0.25">
      <c r="A17" s="76"/>
      <c r="B17" s="68"/>
      <c r="C17" s="77"/>
      <c r="D17" s="78"/>
      <c r="E17" s="69"/>
      <c r="F17" s="80"/>
    </row>
    <row r="18" spans="1:6" x14ac:dyDescent="0.25">
      <c r="A18" s="76"/>
      <c r="B18" s="68"/>
      <c r="C18" s="77"/>
      <c r="D18" s="78"/>
      <c r="E18" s="69"/>
      <c r="F18" s="80"/>
    </row>
    <row r="19" spans="1:6" x14ac:dyDescent="0.25">
      <c r="A19" s="76"/>
      <c r="B19" s="68"/>
      <c r="C19" s="77"/>
      <c r="D19" s="78"/>
      <c r="E19" s="69"/>
      <c r="F19" s="80"/>
    </row>
    <row r="20" spans="1:6" x14ac:dyDescent="0.25">
      <c r="A20" s="76"/>
      <c r="B20" s="68"/>
      <c r="C20" s="77"/>
      <c r="D20" s="78"/>
      <c r="E20" s="69"/>
      <c r="F20" s="80"/>
    </row>
    <row r="21" spans="1:6" x14ac:dyDescent="0.25">
      <c r="A21" s="76"/>
      <c r="B21" s="68"/>
      <c r="C21" s="77"/>
      <c r="D21" s="78"/>
      <c r="E21" s="69"/>
      <c r="F21" s="80"/>
    </row>
    <row r="22" spans="1:6" x14ac:dyDescent="0.25">
      <c r="A22" s="76"/>
      <c r="B22" s="68"/>
      <c r="C22" s="77"/>
      <c r="D22" s="78"/>
      <c r="E22" s="69"/>
      <c r="F22" s="80"/>
    </row>
    <row r="23" spans="1:6" x14ac:dyDescent="0.25">
      <c r="A23" s="76"/>
      <c r="B23" s="68"/>
      <c r="C23" s="77"/>
      <c r="D23" s="78"/>
      <c r="E23" s="69"/>
      <c r="F23" s="80"/>
    </row>
    <row r="24" spans="1:6" x14ac:dyDescent="0.25">
      <c r="A24" s="76"/>
      <c r="B24" s="68"/>
      <c r="C24" s="77"/>
      <c r="D24" s="78"/>
      <c r="E24" s="69"/>
      <c r="F24" s="80"/>
    </row>
    <row r="25" spans="1:6" x14ac:dyDescent="0.25">
      <c r="A25" s="76"/>
      <c r="B25" s="68"/>
      <c r="C25" s="77"/>
      <c r="D25" s="78"/>
      <c r="E25" s="69"/>
      <c r="F25" s="80"/>
    </row>
    <row r="26" spans="1:6" x14ac:dyDescent="0.25">
      <c r="A26" s="76"/>
      <c r="B26" s="68"/>
      <c r="C26" s="77"/>
      <c r="D26" s="78"/>
      <c r="E26" s="69"/>
      <c r="F26" s="80"/>
    </row>
    <row r="27" spans="1:6" x14ac:dyDescent="0.25">
      <c r="A27" s="76"/>
      <c r="B27" s="68"/>
      <c r="C27" s="77"/>
      <c r="D27" s="78"/>
      <c r="E27" s="69"/>
      <c r="F27" s="80"/>
    </row>
    <row r="28" spans="1:6" x14ac:dyDescent="0.25">
      <c r="A28" s="76"/>
      <c r="B28" s="68"/>
      <c r="C28" s="77"/>
      <c r="D28" s="78"/>
      <c r="E28" s="69"/>
      <c r="F28" s="80"/>
    </row>
    <row r="29" spans="1:6" x14ac:dyDescent="0.25">
      <c r="A29" s="76"/>
      <c r="B29" s="68"/>
      <c r="C29" s="77"/>
      <c r="D29" s="78"/>
      <c r="E29" s="69"/>
      <c r="F29" s="80"/>
    </row>
    <row r="30" spans="1:6" x14ac:dyDescent="0.25">
      <c r="A30" s="76"/>
      <c r="B30" s="68"/>
      <c r="C30" s="77"/>
      <c r="D30" s="78"/>
      <c r="E30" s="69"/>
      <c r="F30" s="80"/>
    </row>
  </sheetData>
  <sheetProtection password="CA31" sheet="1" objects="1" scenarios="1" formatColumn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I8" sqref="I8"/>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30" t="s">
        <v>285</v>
      </c>
      <c r="B7" s="231"/>
      <c r="C7" s="231"/>
      <c r="D7" s="231"/>
      <c r="E7" s="231"/>
      <c r="F7" s="232"/>
    </row>
    <row r="8" spans="1:6" ht="15.75" thickBot="1" x14ac:dyDescent="0.3">
      <c r="A8" s="63" t="s">
        <v>281</v>
      </c>
      <c r="B8" s="58" t="s">
        <v>137</v>
      </c>
      <c r="C8" s="58" t="s">
        <v>136</v>
      </c>
      <c r="D8" s="65" t="s">
        <v>282</v>
      </c>
      <c r="E8" s="65" t="s">
        <v>283</v>
      </c>
      <c r="F8" s="64" t="s">
        <v>284</v>
      </c>
    </row>
    <row r="9" spans="1:6" ht="15.75" thickTop="1" x14ac:dyDescent="0.25">
      <c r="A9" s="76"/>
      <c r="B9" s="68"/>
      <c r="C9" s="68"/>
      <c r="D9" s="69"/>
      <c r="E9" s="69"/>
      <c r="F9" s="81"/>
    </row>
    <row r="10" spans="1:6" x14ac:dyDescent="0.25">
      <c r="A10" s="76"/>
      <c r="B10" s="68"/>
      <c r="C10" s="68"/>
      <c r="D10" s="69"/>
      <c r="E10" s="69"/>
      <c r="F10" s="81"/>
    </row>
    <row r="11" spans="1:6" x14ac:dyDescent="0.25">
      <c r="A11" s="76"/>
      <c r="B11" s="68"/>
      <c r="C11" s="68"/>
      <c r="D11" s="69"/>
      <c r="E11" s="69"/>
      <c r="F11" s="81"/>
    </row>
    <row r="12" spans="1:6" x14ac:dyDescent="0.25">
      <c r="A12" s="76"/>
      <c r="B12" s="68"/>
      <c r="C12" s="68"/>
      <c r="D12" s="69"/>
      <c r="E12" s="69"/>
      <c r="F12" s="81"/>
    </row>
    <row r="13" spans="1:6" x14ac:dyDescent="0.25">
      <c r="A13" s="76"/>
      <c r="B13" s="68"/>
      <c r="C13" s="68"/>
      <c r="D13" s="69"/>
      <c r="E13" s="69"/>
      <c r="F13" s="81"/>
    </row>
    <row r="14" spans="1:6" x14ac:dyDescent="0.25">
      <c r="A14" s="76"/>
      <c r="B14" s="68"/>
      <c r="C14" s="68"/>
      <c r="D14" s="69"/>
      <c r="E14" s="69"/>
      <c r="F14" s="81"/>
    </row>
    <row r="15" spans="1:6" x14ac:dyDescent="0.25">
      <c r="A15" s="76"/>
      <c r="B15" s="68"/>
      <c r="C15" s="68"/>
      <c r="D15" s="69"/>
      <c r="E15" s="69"/>
      <c r="F15" s="81"/>
    </row>
    <row r="16" spans="1:6" x14ac:dyDescent="0.25">
      <c r="A16" s="76"/>
      <c r="B16" s="68"/>
      <c r="C16" s="68"/>
      <c r="D16" s="69"/>
      <c r="E16" s="69"/>
      <c r="F16" s="81"/>
    </row>
    <row r="17" spans="1:6" x14ac:dyDescent="0.25">
      <c r="A17" s="76"/>
      <c r="B17" s="68"/>
      <c r="C17" s="68"/>
      <c r="D17" s="69"/>
      <c r="E17" s="69"/>
      <c r="F17" s="81"/>
    </row>
    <row r="18" spans="1:6" x14ac:dyDescent="0.25">
      <c r="A18" s="76"/>
      <c r="B18" s="68"/>
      <c r="C18" s="68"/>
      <c r="D18" s="69"/>
      <c r="E18" s="69"/>
      <c r="F18" s="81"/>
    </row>
    <row r="19" spans="1:6" x14ac:dyDescent="0.25">
      <c r="A19" s="76"/>
      <c r="B19" s="68"/>
      <c r="C19" s="68"/>
      <c r="D19" s="69"/>
      <c r="E19" s="69"/>
      <c r="F19" s="81"/>
    </row>
    <row r="20" spans="1:6" x14ac:dyDescent="0.25">
      <c r="A20" s="76"/>
      <c r="B20" s="68"/>
      <c r="C20" s="68"/>
      <c r="D20" s="69"/>
      <c r="E20" s="69"/>
      <c r="F20" s="81"/>
    </row>
    <row r="21" spans="1:6" x14ac:dyDescent="0.25">
      <c r="A21" s="76"/>
      <c r="B21" s="68"/>
      <c r="C21" s="68"/>
      <c r="D21" s="69"/>
      <c r="E21" s="69"/>
      <c r="F21" s="81"/>
    </row>
    <row r="22" spans="1:6" x14ac:dyDescent="0.25">
      <c r="A22" s="76"/>
      <c r="B22" s="68"/>
      <c r="C22" s="68"/>
      <c r="D22" s="69"/>
      <c r="E22" s="69"/>
      <c r="F22" s="81"/>
    </row>
    <row r="23" spans="1:6" x14ac:dyDescent="0.25">
      <c r="A23" s="76"/>
      <c r="B23" s="68"/>
      <c r="C23" s="68"/>
      <c r="D23" s="69"/>
      <c r="E23" s="69"/>
      <c r="F23" s="81"/>
    </row>
    <row r="24" spans="1:6" x14ac:dyDescent="0.25">
      <c r="A24" s="76"/>
      <c r="B24" s="68"/>
      <c r="C24" s="68"/>
      <c r="D24" s="69"/>
      <c r="E24" s="69"/>
      <c r="F24" s="81"/>
    </row>
    <row r="25" spans="1:6" x14ac:dyDescent="0.25">
      <c r="A25" s="76"/>
      <c r="B25" s="68"/>
      <c r="C25" s="68"/>
      <c r="D25" s="69"/>
      <c r="E25" s="69"/>
      <c r="F25" s="81"/>
    </row>
    <row r="26" spans="1:6" x14ac:dyDescent="0.25">
      <c r="A26" s="76"/>
      <c r="B26" s="68"/>
      <c r="C26" s="68"/>
      <c r="D26" s="69"/>
      <c r="E26" s="69"/>
      <c r="F26" s="81"/>
    </row>
    <row r="27" spans="1:6" x14ac:dyDescent="0.25">
      <c r="A27" s="76"/>
      <c r="B27" s="68"/>
      <c r="C27" s="68"/>
      <c r="D27" s="69"/>
      <c r="E27" s="69"/>
      <c r="F27" s="81"/>
    </row>
  </sheetData>
  <sheetProtection password="CA31" sheet="1" objects="1" scenarios="1" formatColumns="0" insertRows="0" insertHyperlinks="0" deleteRows="0"/>
  <mergeCells count="1">
    <mergeCell ref="A7:F7"/>
  </mergeCells>
  <conditionalFormatting sqref="A9:A27">
    <cfRule type="expression" dxfId="20" priority="5">
      <formula>AND(COUNTIF(VariableTypeCV,$A11)=0,$A11&lt;&gt;"")</formula>
    </cfRule>
  </conditionalFormatting>
  <conditionalFormatting sqref="C9:C27">
    <cfRule type="expression" dxfId="19" priority="4">
      <formula>AND(COUNTIF(VariableNameCV,$C11)=0,$C11&lt;&gt;"")</formula>
    </cfRule>
  </conditionalFormatting>
  <conditionalFormatting sqref="A9:C27 F9:F27">
    <cfRule type="expression" dxfId="18" priority="3">
      <formula>AND(COUNTA($A11:$F11)&gt;0,$A11="")</formula>
    </cfRule>
  </conditionalFormatting>
  <conditionalFormatting sqref="A10:F27">
    <cfRule type="expression" dxfId="17" priority="2">
      <formula>AND(COUNTA($A11:$F11)=0,A12&lt;&gt;"")</formula>
    </cfRule>
  </conditionalFormatting>
  <conditionalFormatting sqref="E9:E27">
    <cfRule type="expression" dxfId="16"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2"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27" t="s">
        <v>1176</v>
      </c>
      <c r="B9" s="228"/>
      <c r="C9" s="229"/>
    </row>
    <row r="10" spans="1:5" ht="15.75" thickBot="1" x14ac:dyDescent="0.3">
      <c r="A10" s="63" t="s">
        <v>1174</v>
      </c>
      <c r="B10" s="58" t="s">
        <v>1175</v>
      </c>
      <c r="C10" s="87" t="s">
        <v>1177</v>
      </c>
    </row>
    <row r="11" spans="1:5" ht="15.75" thickTop="1" x14ac:dyDescent="0.25">
      <c r="A11" s="83"/>
      <c r="B11" s="84"/>
      <c r="C11" s="85"/>
    </row>
    <row r="12" spans="1:5" x14ac:dyDescent="0.25">
      <c r="A12" s="76"/>
      <c r="B12" s="69"/>
      <c r="C12" s="86"/>
    </row>
    <row r="13" spans="1:5" x14ac:dyDescent="0.25">
      <c r="A13" s="76"/>
      <c r="B13" s="69"/>
      <c r="C13" s="86"/>
    </row>
    <row r="14" spans="1:5" x14ac:dyDescent="0.25">
      <c r="A14" s="76"/>
      <c r="B14" s="69"/>
      <c r="C14" s="86"/>
    </row>
    <row r="15" spans="1:5" x14ac:dyDescent="0.25">
      <c r="A15" s="76"/>
      <c r="B15" s="69"/>
      <c r="C15" s="86"/>
    </row>
    <row r="16" spans="1:5" x14ac:dyDescent="0.25">
      <c r="A16" s="76"/>
      <c r="B16" s="69"/>
      <c r="C16" s="86"/>
    </row>
    <row r="17" spans="1:3" x14ac:dyDescent="0.25">
      <c r="A17" s="76"/>
      <c r="B17" s="69"/>
      <c r="C17" s="86"/>
    </row>
    <row r="18" spans="1:3" x14ac:dyDescent="0.25">
      <c r="A18" s="76"/>
      <c r="B18" s="69"/>
      <c r="C18" s="86"/>
    </row>
    <row r="19" spans="1:3" x14ac:dyDescent="0.25">
      <c r="A19" s="76"/>
      <c r="B19" s="69"/>
      <c r="C19" s="86"/>
    </row>
    <row r="20" spans="1:3" x14ac:dyDescent="0.25">
      <c r="A20" s="76"/>
      <c r="B20" s="69"/>
      <c r="C20" s="86"/>
    </row>
    <row r="21" spans="1:3" x14ac:dyDescent="0.25">
      <c r="A21" s="76"/>
      <c r="B21" s="69"/>
      <c r="C21" s="86"/>
    </row>
    <row r="22" spans="1:3" x14ac:dyDescent="0.25">
      <c r="A22" s="76"/>
      <c r="B22" s="69"/>
      <c r="C22" s="86"/>
    </row>
    <row r="23" spans="1:3" x14ac:dyDescent="0.25">
      <c r="A23" s="76"/>
      <c r="B23" s="69"/>
      <c r="C23" s="86"/>
    </row>
    <row r="24" spans="1:3" x14ac:dyDescent="0.25">
      <c r="A24" s="76"/>
      <c r="B24" s="69"/>
      <c r="C24" s="86"/>
    </row>
    <row r="25" spans="1:3" x14ac:dyDescent="0.25">
      <c r="A25" s="76"/>
      <c r="B25" s="69"/>
      <c r="C25" s="86"/>
    </row>
    <row r="26" spans="1:3" x14ac:dyDescent="0.25">
      <c r="A26" s="76"/>
      <c r="B26" s="69"/>
      <c r="C26" s="86"/>
    </row>
    <row r="27" spans="1:3" x14ac:dyDescent="0.25">
      <c r="A27" s="76"/>
      <c r="B27" s="69"/>
      <c r="C27" s="86"/>
    </row>
    <row r="28" spans="1:3" x14ac:dyDescent="0.25">
      <c r="A28" s="76"/>
      <c r="B28" s="69"/>
      <c r="C28" s="86"/>
    </row>
  </sheetData>
  <sheetProtection password="CA31" sheet="1" objects="1" scenarios="1" formatColumn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82"/>
    </row>
    <row r="2" spans="1:5" s="6" customFormat="1" x14ac:dyDescent="0.25">
      <c r="A2" s="26" t="s">
        <v>1283</v>
      </c>
      <c r="C2" s="82"/>
    </row>
    <row r="3" spans="1:5" s="6" customFormat="1" ht="15.75" thickBot="1" x14ac:dyDescent="0.3">
      <c r="A3" s="26" t="s">
        <v>1395</v>
      </c>
      <c r="C3" s="82"/>
    </row>
    <row r="4" spans="1:5" s="6" customFormat="1" ht="15.75" thickBot="1" x14ac:dyDescent="0.3">
      <c r="A4" s="26" t="s">
        <v>1284</v>
      </c>
      <c r="C4" s="82"/>
      <c r="D4" s="27" t="s">
        <v>1285</v>
      </c>
      <c r="E4" s="28">
        <f>COUNTA(TaxClassifiers)</f>
        <v>0</v>
      </c>
    </row>
    <row r="5" spans="1:5" ht="15.75" thickBot="1" x14ac:dyDescent="0.3"/>
    <row r="6" spans="1:5" x14ac:dyDescent="0.25">
      <c r="A6" s="233" t="s">
        <v>1290</v>
      </c>
      <c r="B6" s="234"/>
      <c r="C6" s="234"/>
      <c r="D6" s="235"/>
    </row>
    <row r="7" spans="1:5" ht="15.75" thickBot="1" x14ac:dyDescent="0.3">
      <c r="A7" s="91" t="s">
        <v>1286</v>
      </c>
      <c r="B7" s="92" t="s">
        <v>1287</v>
      </c>
      <c r="C7" s="149" t="s">
        <v>1288</v>
      </c>
      <c r="D7" s="150" t="s">
        <v>1289</v>
      </c>
    </row>
    <row r="8" spans="1:5" ht="15.75" thickTop="1" x14ac:dyDescent="0.25">
      <c r="A8" s="17"/>
      <c r="B8" s="18"/>
      <c r="C8" s="19"/>
      <c r="D8" s="46"/>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formatColumn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6" sqref="D6"/>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41" customWidth="1"/>
    <col min="30" max="30" width="12.85546875" style="6" customWidth="1"/>
    <col min="31" max="56" width="12.140625" style="6" customWidth="1"/>
    <col min="57" max="16384" width="8.85546875" style="6"/>
  </cols>
  <sheetData>
    <row r="1" spans="1:29" s="26" customFormat="1" x14ac:dyDescent="0.25">
      <c r="A1" s="26" t="s">
        <v>135</v>
      </c>
      <c r="AC1" s="177"/>
    </row>
    <row r="2" spans="1:29" s="26" customFormat="1" ht="15.75" thickBot="1" x14ac:dyDescent="0.3">
      <c r="A2" s="26" t="s">
        <v>1506</v>
      </c>
      <c r="AC2" s="177"/>
    </row>
    <row r="3" spans="1:29" s="26" customFormat="1" ht="15.75" thickBot="1" x14ac:dyDescent="0.3">
      <c r="A3" s="26" t="s">
        <v>1192</v>
      </c>
      <c r="N3" s="168"/>
      <c r="U3" s="89" t="s">
        <v>1194</v>
      </c>
      <c r="V3" s="28">
        <f ca="1">MAX(DataColumns[Col'#])</f>
        <v>0</v>
      </c>
      <c r="AC3" s="177"/>
    </row>
    <row r="4" spans="1:29" s="26" customFormat="1" ht="15.75" thickBot="1" x14ac:dyDescent="0.3">
      <c r="A4" s="26" t="s">
        <v>1220</v>
      </c>
      <c r="N4" s="168"/>
      <c r="U4" s="89" t="s">
        <v>1303</v>
      </c>
      <c r="V4" s="28" t="e">
        <f>INDEX(DataColumns[Col'#],MATCH("SpecimenCode",DataColumns[ColumnType],0))</f>
        <v>#N/A</v>
      </c>
      <c r="AC4" s="177"/>
    </row>
    <row r="5" spans="1:29" s="26" customFormat="1" ht="15.75" thickBot="1" x14ac:dyDescent="0.3">
      <c r="A5" s="26" t="s">
        <v>1193</v>
      </c>
      <c r="N5" s="168"/>
      <c r="U5" s="89" t="s">
        <v>1302</v>
      </c>
      <c r="V5" s="28">
        <f ca="1">COUNTA(INDIRECT(CONCATENATE("'Data Values'!R2C",SpecimenColumnNumber,":R96129C",SpecimenColumnNumber),FALSE))</f>
        <v>1</v>
      </c>
      <c r="AC5" s="177"/>
    </row>
    <row r="6" spans="1:29" s="26" customFormat="1" ht="15.75" thickBot="1" x14ac:dyDescent="0.3">
      <c r="A6" s="26" t="s">
        <v>1448</v>
      </c>
      <c r="N6" s="168"/>
      <c r="U6" s="89" t="s">
        <v>1306</v>
      </c>
      <c r="V6" s="28">
        <f>COUNTIF(DataColumns[ColumnType],"ResultValue")</f>
        <v>0</v>
      </c>
      <c r="AC6" s="177"/>
    </row>
    <row r="7" spans="1:29" s="26" customFormat="1" x14ac:dyDescent="0.25">
      <c r="A7" s="26" t="s">
        <v>1497</v>
      </c>
      <c r="N7" s="168"/>
      <c r="AC7" s="177"/>
    </row>
    <row r="8" spans="1:29" s="26" customFormat="1" x14ac:dyDescent="0.25">
      <c r="A8" s="26" t="s">
        <v>1300</v>
      </c>
      <c r="N8" s="168"/>
      <c r="AC8" s="177"/>
    </row>
    <row r="9" spans="1:29" s="26" customFormat="1" ht="15.75" thickBot="1" x14ac:dyDescent="0.3">
      <c r="AC9" s="177"/>
    </row>
    <row r="10" spans="1:29" s="26" customFormat="1" x14ac:dyDescent="0.25">
      <c r="A10" s="236" t="s">
        <v>1361</v>
      </c>
      <c r="B10" s="237"/>
      <c r="C10" s="237"/>
      <c r="D10" s="238"/>
      <c r="E10" s="236" t="s">
        <v>1362</v>
      </c>
      <c r="F10" s="237"/>
      <c r="G10" s="237"/>
      <c r="H10" s="237"/>
      <c r="I10" s="237"/>
      <c r="J10" s="237"/>
      <c r="K10" s="237"/>
      <c r="L10" s="237"/>
      <c r="M10" s="238"/>
      <c r="N10" s="236" t="s">
        <v>1363</v>
      </c>
      <c r="O10" s="237"/>
      <c r="P10" s="237"/>
      <c r="Q10" s="237"/>
      <c r="R10" s="237"/>
      <c r="S10" s="237"/>
      <c r="T10" s="237"/>
      <c r="U10" s="237"/>
      <c r="V10" s="237"/>
      <c r="W10" s="237"/>
      <c r="X10" s="237"/>
      <c r="Y10" s="237"/>
      <c r="Z10" s="237"/>
      <c r="AA10" s="237"/>
      <c r="AB10" s="237"/>
      <c r="AC10" s="238"/>
    </row>
    <row r="11" spans="1:29" s="174" customFormat="1" ht="12.75" x14ac:dyDescent="0.2">
      <c r="A11" s="169"/>
      <c r="B11" s="170" t="s">
        <v>1299</v>
      </c>
      <c r="C11" s="170" t="s">
        <v>1299</v>
      </c>
      <c r="D11" s="171" t="s">
        <v>1299</v>
      </c>
      <c r="E11" s="169" t="str">
        <f ca="1">IF(ISERROR(MATCH(INDIRECT(CONCATENATE("R",ROW()+1,"C",COLUMN()),FALSE),DataColumns[ColumnType],0)),INDEX(SpecimenColumnFinder[REQUIRED],MATCH(INDIRECT(CONCATENATE("R",ROW()+1,"C",COLUMN()),FALSE),SpecimenColumnFinder[DataType],0)),2)</f>
        <v>Optional</v>
      </c>
      <c r="F11" s="170" t="str">
        <f ca="1">IF(ISERROR(MATCH(INDIRECT(CONCATENATE("R",ROW()+1,"C",COLUMN()),FALSE),DataColumns[ColumnType],0)),INDEX(SpecimenColumnFinder[REQUIRED],MATCH(INDIRECT(CONCATENATE("R",ROW()+1,"C",COLUMN()),FALSE),SpecimenColumnFinder[DataType],0)),2)</f>
        <v>Optional</v>
      </c>
      <c r="G11" s="170" t="str">
        <f ca="1">IF(ISERROR(MATCH(INDIRECT(CONCATENATE("R",ROW()+1,"C",COLUMN()),FALSE),DataColumns[ColumnType],0)),INDEX(SpecimenColumnFinder[REQUIRED],MATCH(INDIRECT(CONCATENATE("R",ROW()+1,"C",COLUMN()),FALSE),SpecimenColumnFinder[DataType],0)),2)</f>
        <v>REQUIRED</v>
      </c>
      <c r="H11" s="170" t="str">
        <f ca="1">IF(ISERROR(MATCH(INDIRECT(CONCATENATE("R",ROW()+1,"C",COLUMN()),FALSE),DataColumns[ColumnType],0)),INDEX(SpecimenColumnFinder[REQUIRED],MATCH(INDIRECT(CONCATENATE("R",ROW()+1,"C",COLUMN()),FALSE),SpecimenColumnFinder[DataType],0)),2)</f>
        <v>Optional</v>
      </c>
      <c r="I11" s="170" t="str">
        <f ca="1">IF(ISERROR(MATCH(INDIRECT(CONCATENATE("R",ROW()+1,"C",COLUMN()),FALSE),DataColumns[ColumnType],0)),INDEX(SpecimenColumnFinder[REQUIRED],MATCH(INDIRECT(CONCATENATE("R",ROW()+1,"C",COLUMN()),FALSE),SpecimenColumnFinder[DataType],0)),2)</f>
        <v>REQUIRED</v>
      </c>
      <c r="J11" s="170" t="str">
        <f ca="1">IF(ISERROR(MATCH(INDIRECT(CONCATENATE("R",ROW()+1,"C",COLUMN()),FALSE),DataColumns[ColumnType],0)),INDEX(SpecimenColumnFinder[REQUIRED],MATCH(INDIRECT(CONCATENATE("R",ROW()+1,"C",COLUMN()),FALSE),SpecimenColumnFinder[DataType],0)),2)</f>
        <v>REQUIRED</v>
      </c>
      <c r="K11" s="170" t="str">
        <f ca="1">IF(ISERROR(MATCH(INDIRECT(CONCATENATE("R",ROW()+1,"C",COLUMN()),FALSE),DataColumns[ColumnType],0)),INDEX(SpecimenColumnFinder[REQUIRED],MATCH(INDIRECT(CONCATENATE("R",ROW()+1,"C",COLUMN()),FALSE),SpecimenColumnFinder[DataType],0)),2)</f>
        <v>REQUIRED</v>
      </c>
      <c r="L11" s="170" t="str">
        <f ca="1">IF(ISERROR(MATCH(INDIRECT(CONCATENATE("R",ROW()+1,"C",COLUMN()),FALSE),DataColumns[ColumnType],0)),INDEX(SpecimenColumnFinder[REQUIRED],MATCH(INDIRECT(CONCATENATE("R",ROW()+1,"C",COLUMN()),FALSE),SpecimenColumnFinder[DataType],0)),2)</f>
        <v>REQUIRED</v>
      </c>
      <c r="M11" s="171" t="str">
        <f ca="1">IF(ISERROR(MATCH(INDIRECT(CONCATENATE("R",ROW()+1,"C",COLUMN()),FALSE),DataColumns[ColumnType],0)),INDEX(SpecimenColumnFinder[REQUIRED],MATCH(INDIRECT(CONCATENATE("R",ROW()+1,"C",COLUMN()),FALSE),SpecimenColumnFinder[DataType],0)),2)</f>
        <v>Optional</v>
      </c>
      <c r="N11" s="169" t="str">
        <f ca="1">IF(ISERROR(MATCH(INDIRECT(CONCATENATE("R",ROW()+1,"C",COLUMN()),FALSE),DataColumns[ColumnType],0)),INDEX(ResultColumnFinder[REQUIRED],MATCH(INDIRECT(CONCATENATE("R",ROW()+1,"C",COLUMN()),FALSE),ResultColumnFinder[DataType],0)),2)</f>
        <v>REQUIRED</v>
      </c>
      <c r="O11" s="170" t="str">
        <f ca="1">IF(ISERROR(MATCH(INDIRECT(CONCATENATE("R",ROW()+1,"C",COLUMN()),FALSE),DataColumns[ColumnType],0)),INDEX(ResultColumnFinder[REQUIRED],MATCH(INDIRECT(CONCATENATE("R",ROW()+1,"C",COLUMN()),FALSE),ResultColumnFinder[DataType],0)),2)</f>
        <v>REQUIRED</v>
      </c>
      <c r="P11" s="170" t="str">
        <f ca="1">IF(ISERROR(MATCH(INDIRECT(CONCATENATE("R",ROW()+1,"C",COLUMN()),FALSE),DataColumns[ColumnType],0)),INDEX(ResultColumnFinder[REQUIRED],MATCH(INDIRECT(CONCATENATE("R",ROW()+1,"C",COLUMN()),FALSE),ResultColumnFinder[DataType],0)),2)</f>
        <v>REQUIRED</v>
      </c>
      <c r="Q11" s="170" t="str">
        <f ca="1">IF(ISERROR(MATCH(INDIRECT(CONCATENATE("R",ROW()+1,"C",COLUMN()),FALSE),DataColumns[ColumnType],0)),INDEX(ResultColumnFinder[REQUIRED],MATCH(INDIRECT(CONCATENATE("R",ROW()+1,"C",COLUMN()),FALSE),ResultColumnFinder[DataType],0)),2)</f>
        <v>REQUIRED</v>
      </c>
      <c r="R11" s="170" t="str">
        <f ca="1">IF(ISERROR(MATCH(INDIRECT(CONCATENATE("R",ROW()+1,"C",COLUMN()),FALSE),DataColumns[ColumnType],0)),INDEX(ResultColumnFinder[REQUIRED],MATCH(INDIRECT(CONCATENATE("R",ROW()+1,"C",COLUMN()),FALSE),ResultColumnFinder[DataType],0)),2)</f>
        <v>Optional</v>
      </c>
      <c r="S11" s="170" t="str">
        <f ca="1">IF(ISERROR(MATCH(INDIRECT(CONCATENATE("R",ROW()+1,"C",COLUMN()),FALSE),DataColumns[ColumnType],0)),INDEX(ResultColumnFinder[REQUIRED],MATCH(INDIRECT(CONCATENATE("R",ROW()+1,"C",COLUMN()),FALSE),ResultColumnFinder[DataType],0)),2)</f>
        <v>Optional</v>
      </c>
      <c r="T11" s="170" t="str">
        <f ca="1">IF(ISERROR(MATCH(INDIRECT(CONCATENATE("R",ROW()+1,"C",COLUMN()),FALSE),DataColumns[ColumnType],0)),INDEX(ResultColumnFinder[REQUIRED],MATCH(INDIRECT(CONCATENATE("R",ROW()+1,"C",COLUMN()),FALSE),ResultColumnFinder[DataType],0)),2)</f>
        <v>REQUIRED</v>
      </c>
      <c r="U11" s="170" t="str">
        <f ca="1">IF(ISERROR(MATCH(INDIRECT(CONCATENATE("R",ROW()+1,"C",COLUMN()),FALSE),DataColumns[ColumnType],0)),INDEX(ResultColumnFinder[REQUIRED],MATCH(INDIRECT(CONCATENATE("R",ROW()+1,"C",COLUMN()),FALSE),ResultColumnFinder[DataType],0)),2)</f>
        <v>REQUIRED</v>
      </c>
      <c r="V11" s="170" t="str">
        <f ca="1">IF(ISERROR(MATCH(INDIRECT(CONCATENATE("R",ROW()+1,"C",COLUMN()),FALSE),DataColumns[ColumnType],0)),INDEX(ResultColumnFinder[REQUIRED],MATCH(INDIRECT(CONCATENATE("R",ROW()+1,"C",COLUMN()),FALSE),ResultColumnFinder[DataType],0)),2)</f>
        <v>REQUIRED</v>
      </c>
      <c r="W11" s="170" t="str">
        <f ca="1">IF(ISERROR(MATCH(INDIRECT(CONCATENATE("R",ROW()+1,"C",COLUMN()),FALSE),DataColumns[ColumnType],0)),INDEX(ResultColumnFinder[REQUIRED],MATCH(INDIRECT(CONCATENATE("R",ROW()+1,"C",COLUMN()),FALSE),ResultColumnFinder[DataType],0)),2)</f>
        <v>REQUIRED</v>
      </c>
      <c r="X11" s="170" t="str">
        <f ca="1">IF(ISERROR(MATCH(INDIRECT(CONCATENATE("R",ROW()+1,"C",COLUMN()),FALSE),DataColumns[ColumnType],0)),INDEX(ResultColumnFinder[REQUIRED],MATCH(INDIRECT(CONCATENATE("R",ROW()+1,"C",COLUMN()),FALSE),ResultColumnFinder[DataType],0)),2)</f>
        <v>Optional</v>
      </c>
      <c r="Y11" s="172" t="str">
        <f ca="1">IF(ISERROR(MATCH(INDIRECT(CONCATENATE("R",ROW()+1,"C",COLUMN()),FALSE),DataColumns[ColumnType],0)),INDEX(ResultColumnFinder[REQUIRED],MATCH(INDIRECT(CONCATENATE("R",ROW()+1,"C",COLUMN()),FALSE),ResultColumnFinder[DataType],0)),2)</f>
        <v>REQUIRED</v>
      </c>
      <c r="Z11" s="173" t="str">
        <f ca="1">IF(ISERROR(MATCH(INDIRECT(CONCATENATE("R",ROW()+1,"C",COLUMN()),FALSE),DataColumns[ColumnType],0)),INDEX(ResultColumnFinder[REQUIRED],MATCH(INDIRECT(CONCATENATE("R",ROW()+1,"C",COLUMN()),FALSE),ResultColumnFinder[DataType],0)),2)</f>
        <v>REQUIRED</v>
      </c>
      <c r="AA11" s="173" t="str">
        <f ca="1">IF(ISERROR(MATCH(INDIRECT(CONCATENATE("R",ROW()+1,"C",COLUMN()),FALSE),DataColumns[ColumnType],0)),INDEX(ResultColumnFinder[REQUIRED],MATCH(INDIRECT(CONCATENATE("R",ROW()+1,"C",COLUMN()),FALSE),ResultColumnFinder[DataType],0)),2)</f>
        <v>REQUIRED</v>
      </c>
      <c r="AB11" s="172">
        <v>3</v>
      </c>
      <c r="AC11" s="178">
        <v>3</v>
      </c>
    </row>
    <row r="12" spans="1:29" s="26" customFormat="1" ht="15.75" thickBot="1" x14ac:dyDescent="0.3">
      <c r="A12" s="88" t="s">
        <v>1355</v>
      </c>
      <c r="B12" s="63" t="s">
        <v>1356</v>
      </c>
      <c r="C12" s="63" t="s">
        <v>1357</v>
      </c>
      <c r="D12" s="158" t="s">
        <v>1360</v>
      </c>
      <c r="E12" s="74" t="s">
        <v>1379</v>
      </c>
      <c r="F12" s="63" t="s">
        <v>198</v>
      </c>
      <c r="G12" s="63" t="s">
        <v>1333</v>
      </c>
      <c r="H12" s="58" t="s">
        <v>1364</v>
      </c>
      <c r="I12" s="58" t="s">
        <v>1423</v>
      </c>
      <c r="J12" s="58" t="s">
        <v>1301</v>
      </c>
      <c r="K12" s="64" t="s">
        <v>196</v>
      </c>
      <c r="L12" s="58" t="s">
        <v>1359</v>
      </c>
      <c r="M12" s="146" t="s">
        <v>1380</v>
      </c>
      <c r="N12" s="74" t="s">
        <v>1138</v>
      </c>
      <c r="O12" s="63" t="s">
        <v>1353</v>
      </c>
      <c r="P12" s="58" t="s">
        <v>1352</v>
      </c>
      <c r="Q12" s="58" t="s">
        <v>201</v>
      </c>
      <c r="R12" s="58" t="s">
        <v>1365</v>
      </c>
      <c r="S12" s="58" t="s">
        <v>1335</v>
      </c>
      <c r="T12" s="58" t="s">
        <v>1424</v>
      </c>
      <c r="U12" s="58" t="s">
        <v>1281</v>
      </c>
      <c r="V12" s="58" t="s">
        <v>1143</v>
      </c>
      <c r="W12" s="58" t="s">
        <v>1144</v>
      </c>
      <c r="X12" s="58" t="s">
        <v>1298</v>
      </c>
      <c r="Y12" s="58" t="s">
        <v>1279</v>
      </c>
      <c r="Z12" s="58" t="s">
        <v>1280</v>
      </c>
      <c r="AA12" s="58" t="s">
        <v>1154</v>
      </c>
      <c r="AB12" s="180" t="s">
        <v>1398</v>
      </c>
      <c r="AC12" s="179" t="s">
        <v>1401</v>
      </c>
    </row>
    <row r="13" spans="1:29" ht="15.75" thickTop="1" x14ac:dyDescent="0.25">
      <c r="A13" s="50" t="str">
        <f ca="1">IF(COUNTA(DataColumns[[#This Row],[ColumnLabel]:[QualityCodeCV]])&gt;0,IF(MAX(INDIRECT(CONCATENATE("R",ROW(DataColumns[#Headers]),"C",COLUMN(),":R",ROW()-1,"C",COLUMN()),FALSE))=0,1,MAX(INDIRECT(CONCATENATE("R",ROW(DataColumns[#Headers]),"C",COLUMN(),":R",ROW()-1,"C",COLUMN()),FALSE))+1),"")</f>
        <v/>
      </c>
      <c r="B13" s="137"/>
      <c r="C13" s="7"/>
      <c r="D13" s="159"/>
      <c r="E13" s="164"/>
      <c r="F13" s="175"/>
      <c r="G13" s="156"/>
      <c r="H13" s="7"/>
      <c r="I13" s="7"/>
      <c r="J13" s="7"/>
      <c r="K13" s="162"/>
      <c r="L13" s="7"/>
      <c r="M13" s="167"/>
      <c r="N13" s="137"/>
      <c r="O13" s="156"/>
      <c r="P13" s="7"/>
      <c r="Q13" s="7"/>
      <c r="R13" s="151"/>
      <c r="S13" s="151"/>
      <c r="T13" s="7"/>
      <c r="U13" s="7"/>
      <c r="V13" s="7"/>
      <c r="W13" s="7"/>
      <c r="X13" s="151"/>
      <c r="Y13" s="7"/>
      <c r="Z13" s="7"/>
      <c r="AA13" s="7"/>
      <c r="AB13" s="181" t="str">
        <f ca="1">IF(DataColumns[[#This Row],[ColumnType]]="ResultValue",IF(MAX(INDIRECT(CONCATENATE("R",ROW(DataColumns[#Headers]),"C",COLUMN(),":R",ROW()-1,"C",COLUMN()),FALSE))=0,1,MAX(INDIRECT(CONCATENATE("R",ROW(DataColumns[#Headers]),"C",COLUMN(),":R",ROW()-1,"C",COLUMN()),FALSE))+1),"")</f>
        <v/>
      </c>
      <c r="AC13" s="130" t="str">
        <f>IF(DataColumns[[#This Row],[ColumnType]]="ResultValue",CONCATENATE(DataColumns[[#This Row],[ColumnType]],DataColumns[[#This Row],[ColumnLabel]]),CONCATENATE(DataColumns[[#This Row],[ColumnType]],DataColumns[[#This Row],[AppliesToColumn]]))</f>
        <v/>
      </c>
    </row>
    <row r="14" spans="1:29" x14ac:dyDescent="0.25">
      <c r="A14" s="51" t="str">
        <f ca="1">IF(COUNTA(DataColumns[[#This Row],[ColumnLabel]:[QualityCodeCV]])&gt;0,IF(MAX(INDIRECT(CONCATENATE("R",ROW(DataColumns[#Headers]),"C",COLUMN(),":R",ROW()-1,"C",COLUMN()),FALSE))=0,1,MAX(INDIRECT(CONCATENATE("R",ROW(DataColumns[#Headers]),"C",COLUMN(),":R",ROW()-1,"C",COLUMN()),FALSE))+1),"")</f>
        <v/>
      </c>
      <c r="B14" s="109"/>
      <c r="C14" s="10"/>
      <c r="D14" s="160"/>
      <c r="E14" s="165"/>
      <c r="F14" s="144"/>
      <c r="G14" s="9"/>
      <c r="H14" s="10"/>
      <c r="I14" s="10"/>
      <c r="J14" s="10"/>
      <c r="K14" s="35"/>
      <c r="L14" s="10"/>
      <c r="M14" s="138"/>
      <c r="N14" s="109"/>
      <c r="O14" s="9"/>
      <c r="P14" s="10"/>
      <c r="Q14" s="10"/>
      <c r="R14" s="21"/>
      <c r="S14" s="21"/>
      <c r="T14" s="10"/>
      <c r="U14" s="10"/>
      <c r="V14" s="10"/>
      <c r="W14" s="10"/>
      <c r="X14" s="21"/>
      <c r="Y14" s="10"/>
      <c r="Z14" s="10"/>
      <c r="AA14" s="10"/>
      <c r="AB14" s="182" t="str">
        <f ca="1">IF(DataColumns[[#This Row],[ColumnType]]="ResultValue",IF(MAX(INDIRECT(CONCATENATE("R",ROW(DataColumns[#Headers]),"C",COLUMN(),":R",ROW()-1,"C",COLUMN()),FALSE))=0,1,MAX(INDIRECT(CONCATENATE("R",ROW(DataColumns[#Headers]),"C",COLUMN(),":R",ROW()-1,"C",COLUMN()),FALSE))+1),"")</f>
        <v/>
      </c>
      <c r="AC14" s="131" t="str">
        <f>IF(DataColumns[[#This Row],[ColumnType]]="ResultValue",CONCATENATE(DataColumns[[#This Row],[ColumnType]],DataColumns[[#This Row],[ColumnLabel]]),CONCATENATE(DataColumns[[#This Row],[ColumnType]],DataColumns[[#This Row],[AppliesToColumn]]))</f>
        <v/>
      </c>
    </row>
    <row r="15" spans="1:29" x14ac:dyDescent="0.25">
      <c r="A15" s="51" t="str">
        <f ca="1">IF(COUNTA(DataColumns[[#This Row],[ColumnLabel]:[QualityCodeCV]])&gt;0,IF(MAX(INDIRECT(CONCATENATE("R",ROW(DataColumns[#Headers]),"C",COLUMN(),":R",ROW()-1,"C",COLUMN()),FALSE))=0,1,MAX(INDIRECT(CONCATENATE("R",ROW(DataColumns[#Headers]),"C",COLUMN(),":R",ROW()-1,"C",COLUMN()),FALSE))+1),"")</f>
        <v/>
      </c>
      <c r="B15" s="109"/>
      <c r="C15" s="10"/>
      <c r="D15" s="160"/>
      <c r="E15" s="165"/>
      <c r="F15" s="144"/>
      <c r="G15" s="9"/>
      <c r="H15" s="10"/>
      <c r="I15" s="10"/>
      <c r="J15" s="10"/>
      <c r="K15" s="35"/>
      <c r="L15" s="10"/>
      <c r="M15" s="138"/>
      <c r="N15" s="109"/>
      <c r="O15" s="9"/>
      <c r="P15" s="10"/>
      <c r="Q15" s="10"/>
      <c r="R15" s="21"/>
      <c r="S15" s="21"/>
      <c r="T15" s="10"/>
      <c r="U15" s="10"/>
      <c r="V15" s="10"/>
      <c r="W15" s="10"/>
      <c r="X15" s="21"/>
      <c r="Y15" s="10"/>
      <c r="Z15" s="10"/>
      <c r="AA15" s="10"/>
      <c r="AB15" s="182" t="str">
        <f ca="1">IF(DataColumns[[#This Row],[ColumnType]]="ResultValue",IF(MAX(INDIRECT(CONCATENATE("R",ROW(DataColumns[#Headers]),"C",COLUMN(),":R",ROW()-1,"C",COLUMN()),FALSE))=0,1,MAX(INDIRECT(CONCATENATE("R",ROW(DataColumns[#Headers]),"C",COLUMN(),":R",ROW()-1,"C",COLUMN()),FALSE))+1),"")</f>
        <v/>
      </c>
      <c r="AC15" s="131" t="str">
        <f>IF(DataColumns[[#This Row],[ColumnType]]="ResultValue",CONCATENATE(DataColumns[[#This Row],[ColumnType]],DataColumns[[#This Row],[ColumnLabel]]),CONCATENATE(DataColumns[[#This Row],[ColumnType]],DataColumns[[#This Row],[AppliesToColumn]]))</f>
        <v/>
      </c>
    </row>
    <row r="16" spans="1:29" x14ac:dyDescent="0.25">
      <c r="A16" s="51" t="str">
        <f ca="1">IF(COUNTA(DataColumns[[#This Row],[ColumnLabel]:[QualityCodeCV]])&gt;0,IF(MAX(INDIRECT(CONCATENATE("R",ROW(DataColumns[#Headers]),"C",COLUMN(),":R",ROW()-1,"C",COLUMN()),FALSE))=0,1,MAX(INDIRECT(CONCATENATE("R",ROW(DataColumns[#Headers]),"C",COLUMN(),":R",ROW()-1,"C",COLUMN()),FALSE))+1),"")</f>
        <v/>
      </c>
      <c r="B16" s="109"/>
      <c r="C16" s="10"/>
      <c r="D16" s="160"/>
      <c r="E16" s="165"/>
      <c r="F16" s="144"/>
      <c r="G16" s="9"/>
      <c r="H16" s="10"/>
      <c r="I16" s="10"/>
      <c r="J16" s="10"/>
      <c r="K16" s="35"/>
      <c r="L16" s="10"/>
      <c r="M16" s="138"/>
      <c r="N16" s="109"/>
      <c r="O16" s="9"/>
      <c r="P16" s="10"/>
      <c r="Q16" s="10"/>
      <c r="R16" s="21"/>
      <c r="S16" s="21"/>
      <c r="T16" s="10"/>
      <c r="U16" s="10"/>
      <c r="V16" s="10"/>
      <c r="W16" s="10"/>
      <c r="X16" s="21"/>
      <c r="Y16" s="10"/>
      <c r="Z16" s="10"/>
      <c r="AA16" s="10"/>
      <c r="AB16" s="182" t="str">
        <f ca="1">IF(DataColumns[[#This Row],[ColumnType]]="ResultValue",IF(MAX(INDIRECT(CONCATENATE("R",ROW(DataColumns[#Headers]),"C",COLUMN(),":R",ROW()-1,"C",COLUMN()),FALSE))=0,1,MAX(INDIRECT(CONCATENATE("R",ROW(DataColumns[#Headers]),"C",COLUMN(),":R",ROW()-1,"C",COLUMN()),FALSE))+1),"")</f>
        <v/>
      </c>
      <c r="AC16" s="131" t="str">
        <f>IF(DataColumns[[#This Row],[ColumnType]]="ResultValue",CONCATENATE(DataColumns[[#This Row],[ColumnType]],DataColumns[[#This Row],[ColumnLabel]]),CONCATENATE(DataColumns[[#This Row],[ColumnType]],DataColumns[[#This Row],[AppliesToColumn]]))</f>
        <v/>
      </c>
    </row>
    <row r="17" spans="1:29" x14ac:dyDescent="0.25">
      <c r="A17" s="51" t="str">
        <f ca="1">IF(COUNTA(DataColumns[[#This Row],[ColumnLabel]:[QualityCodeCV]])&gt;0,IF(MAX(INDIRECT(CONCATENATE("R",ROW(DataColumns[#Headers]),"C",COLUMN(),":R",ROW()-1,"C",COLUMN()),FALSE))=0,1,MAX(INDIRECT(CONCATENATE("R",ROW(DataColumns[#Headers]),"C",COLUMN(),":R",ROW()-1,"C",COLUMN()),FALSE))+1),"")</f>
        <v/>
      </c>
      <c r="B17" s="109"/>
      <c r="C17" s="10"/>
      <c r="D17" s="160"/>
      <c r="E17" s="165"/>
      <c r="F17" s="144"/>
      <c r="G17" s="9"/>
      <c r="H17" s="10"/>
      <c r="I17" s="10"/>
      <c r="J17" s="10"/>
      <c r="K17" s="35"/>
      <c r="L17" s="10"/>
      <c r="M17" s="138"/>
      <c r="N17" s="109"/>
      <c r="O17" s="9"/>
      <c r="P17" s="10"/>
      <c r="Q17" s="10"/>
      <c r="R17" s="21"/>
      <c r="S17" s="21"/>
      <c r="T17" s="10"/>
      <c r="U17" s="10"/>
      <c r="V17" s="10"/>
      <c r="W17" s="10"/>
      <c r="X17" s="21"/>
      <c r="Y17" s="10"/>
      <c r="Z17" s="10"/>
      <c r="AA17" s="10"/>
      <c r="AB17" s="182" t="str">
        <f ca="1">IF(DataColumns[[#This Row],[ColumnType]]="ResultValue",IF(MAX(INDIRECT(CONCATENATE("R",ROW(DataColumns[#Headers]),"C",COLUMN(),":R",ROW()-1,"C",COLUMN()),FALSE))=0,1,MAX(INDIRECT(CONCATENATE("R",ROW(DataColumns[#Headers]),"C",COLUMN(),":R",ROW()-1,"C",COLUMN()),FALSE))+1),"")</f>
        <v/>
      </c>
      <c r="AC17" s="131" t="str">
        <f>IF(DataColumns[[#This Row],[ColumnType]]="ResultValue",CONCATENATE(DataColumns[[#This Row],[ColumnType]],DataColumns[[#This Row],[ColumnLabel]]),CONCATENATE(DataColumns[[#This Row],[ColumnType]],DataColumns[[#This Row],[AppliesToColumn]]))</f>
        <v/>
      </c>
    </row>
    <row r="18" spans="1:29" x14ac:dyDescent="0.25">
      <c r="A18" s="51" t="str">
        <f ca="1">IF(COUNTA(DataColumns[[#This Row],[ColumnLabel]:[QualityCodeCV]])&gt;0,IF(MAX(INDIRECT(CONCATENATE("R",ROW(DataColumns[#Headers]),"C",COLUMN(),":R",ROW()-1,"C",COLUMN()),FALSE))=0,1,MAX(INDIRECT(CONCATENATE("R",ROW(DataColumns[#Headers]),"C",COLUMN(),":R",ROW()-1,"C",COLUMN()),FALSE))+1),"")</f>
        <v/>
      </c>
      <c r="B18" s="109"/>
      <c r="C18" s="10"/>
      <c r="D18" s="160"/>
      <c r="E18" s="165"/>
      <c r="F18" s="144"/>
      <c r="G18" s="9"/>
      <c r="H18" s="10"/>
      <c r="I18" s="10"/>
      <c r="J18" s="10"/>
      <c r="K18" s="35"/>
      <c r="L18" s="10"/>
      <c r="M18" s="138"/>
      <c r="N18" s="109"/>
      <c r="O18" s="9"/>
      <c r="P18" s="10"/>
      <c r="Q18" s="10"/>
      <c r="R18" s="21"/>
      <c r="S18" s="21"/>
      <c r="T18" s="10"/>
      <c r="U18" s="10"/>
      <c r="V18" s="10"/>
      <c r="W18" s="10"/>
      <c r="X18" s="21"/>
      <c r="Y18" s="10"/>
      <c r="Z18" s="10"/>
      <c r="AA18" s="10"/>
      <c r="AB18" s="182" t="str">
        <f ca="1">IF(DataColumns[[#This Row],[ColumnType]]="ResultValue",IF(MAX(INDIRECT(CONCATENATE("R",ROW(DataColumns[#Headers]),"C",COLUMN(),":R",ROW()-1,"C",COLUMN()),FALSE))=0,1,MAX(INDIRECT(CONCATENATE("R",ROW(DataColumns[#Headers]),"C",COLUMN(),":R",ROW()-1,"C",COLUMN()),FALSE))+1),"")</f>
        <v/>
      </c>
      <c r="AC18" s="131" t="str">
        <f>IF(DataColumns[[#This Row],[ColumnType]]="ResultValue",CONCATENATE(DataColumns[[#This Row],[ColumnType]],DataColumns[[#This Row],[ColumnLabel]]),CONCATENATE(DataColumns[[#This Row],[ColumnType]],DataColumns[[#This Row],[AppliesToColumn]]))</f>
        <v/>
      </c>
    </row>
    <row r="19" spans="1:29" x14ac:dyDescent="0.25">
      <c r="A19" s="51" t="str">
        <f ca="1">IF(COUNTA(DataColumns[[#This Row],[ColumnLabel]:[QualityCodeCV]])&gt;0,IF(MAX(INDIRECT(CONCATENATE("R",ROW(DataColumns[#Headers]),"C",COLUMN(),":R",ROW()-1,"C",COLUMN()),FALSE))=0,1,MAX(INDIRECT(CONCATENATE("R",ROW(DataColumns[#Headers]),"C",COLUMN(),":R",ROW()-1,"C",COLUMN()),FALSE))+1),"")</f>
        <v/>
      </c>
      <c r="B19" s="109"/>
      <c r="C19" s="10"/>
      <c r="D19" s="160"/>
      <c r="E19" s="165"/>
      <c r="F19" s="144"/>
      <c r="G19" s="9"/>
      <c r="H19" s="10"/>
      <c r="I19" s="10"/>
      <c r="J19" s="10"/>
      <c r="K19" s="35"/>
      <c r="L19" s="10"/>
      <c r="M19" s="138"/>
      <c r="N19" s="109"/>
      <c r="O19" s="9"/>
      <c r="P19" s="10"/>
      <c r="Q19" s="10"/>
      <c r="R19" s="21"/>
      <c r="S19" s="21"/>
      <c r="T19" s="10"/>
      <c r="U19" s="10"/>
      <c r="V19" s="10"/>
      <c r="W19" s="10"/>
      <c r="X19" s="21"/>
      <c r="Y19" s="10"/>
      <c r="Z19" s="10"/>
      <c r="AA19" s="10"/>
      <c r="AB19" s="182" t="str">
        <f ca="1">IF(DataColumns[[#This Row],[ColumnType]]="ResultValue",IF(MAX(INDIRECT(CONCATENATE("R",ROW(DataColumns[#Headers]),"C",COLUMN(),":R",ROW()-1,"C",COLUMN()),FALSE))=0,1,MAX(INDIRECT(CONCATENATE("R",ROW(DataColumns[#Headers]),"C",COLUMN(),":R",ROW()-1,"C",COLUMN()),FALSE))+1),"")</f>
        <v/>
      </c>
      <c r="AC19" s="131" t="str">
        <f>IF(DataColumns[[#This Row],[ColumnType]]="ResultValue",CONCATENATE(DataColumns[[#This Row],[ColumnType]],DataColumns[[#This Row],[ColumnLabel]]),CONCATENATE(DataColumns[[#This Row],[ColumnType]],DataColumns[[#This Row],[AppliesToColumn]]))</f>
        <v/>
      </c>
    </row>
    <row r="20" spans="1:29" x14ac:dyDescent="0.25">
      <c r="A20" s="51" t="str">
        <f ca="1">IF(COUNTA(DataColumns[[#This Row],[ColumnLabel]:[QualityCodeCV]])&gt;0,IF(MAX(INDIRECT(CONCATENATE("R",ROW(DataColumns[#Headers]),"C",COLUMN(),":R",ROW()-1,"C",COLUMN()),FALSE))=0,1,MAX(INDIRECT(CONCATENATE("R",ROW(DataColumns[#Headers]),"C",COLUMN(),":R",ROW()-1,"C",COLUMN()),FALSE))+1),"")</f>
        <v/>
      </c>
      <c r="B20" s="109"/>
      <c r="C20" s="10"/>
      <c r="D20" s="160"/>
      <c r="E20" s="165"/>
      <c r="F20" s="144"/>
      <c r="G20" s="9"/>
      <c r="H20" s="10"/>
      <c r="I20" s="10"/>
      <c r="J20" s="10"/>
      <c r="K20" s="35"/>
      <c r="L20" s="10"/>
      <c r="M20" s="138"/>
      <c r="N20" s="109"/>
      <c r="O20" s="9"/>
      <c r="P20" s="10"/>
      <c r="Q20" s="10"/>
      <c r="R20" s="21"/>
      <c r="S20" s="21"/>
      <c r="T20" s="10"/>
      <c r="U20" s="10"/>
      <c r="V20" s="10"/>
      <c r="W20" s="10"/>
      <c r="X20" s="21"/>
      <c r="Y20" s="10"/>
      <c r="Z20" s="10"/>
      <c r="AA20" s="10"/>
      <c r="AB20" s="182" t="str">
        <f ca="1">IF(DataColumns[[#This Row],[ColumnType]]="ResultValue",IF(MAX(INDIRECT(CONCATENATE("R",ROW(DataColumns[#Headers]),"C",COLUMN(),":R",ROW()-1,"C",COLUMN()),FALSE))=0,1,MAX(INDIRECT(CONCATENATE("R",ROW(DataColumns[#Headers]),"C",COLUMN(),":R",ROW()-1,"C",COLUMN()),FALSE))+1),"")</f>
        <v/>
      </c>
      <c r="AC20" s="131" t="str">
        <f>IF(DataColumns[[#This Row],[ColumnType]]="ResultValue",CONCATENATE(DataColumns[[#This Row],[ColumnType]],DataColumns[[#This Row],[ColumnLabel]]),CONCATENATE(DataColumns[[#This Row],[ColumnType]],DataColumns[[#This Row],[AppliesToColumn]]))</f>
        <v/>
      </c>
    </row>
    <row r="21" spans="1:29" x14ac:dyDescent="0.25">
      <c r="A21" s="51" t="str">
        <f ca="1">IF(COUNTA(DataColumns[[#This Row],[ColumnLabel]:[QualityCodeCV]])&gt;0,IF(MAX(INDIRECT(CONCATENATE("R",ROW(DataColumns[#Headers]),"C",COLUMN(),":R",ROW()-1,"C",COLUMN()),FALSE))=0,1,MAX(INDIRECT(CONCATENATE("R",ROW(DataColumns[#Headers]),"C",COLUMN(),":R",ROW()-1,"C",COLUMN()),FALSE))+1),"")</f>
        <v/>
      </c>
      <c r="B21" s="109"/>
      <c r="C21" s="10"/>
      <c r="D21" s="160"/>
      <c r="E21" s="165"/>
      <c r="F21" s="144"/>
      <c r="G21" s="9"/>
      <c r="H21" s="10"/>
      <c r="I21" s="10"/>
      <c r="J21" s="10"/>
      <c r="K21" s="35"/>
      <c r="L21" s="10"/>
      <c r="M21" s="138"/>
      <c r="N21" s="109"/>
      <c r="O21" s="9"/>
      <c r="P21" s="10"/>
      <c r="Q21" s="10"/>
      <c r="R21" s="21"/>
      <c r="S21" s="21"/>
      <c r="T21" s="10"/>
      <c r="U21" s="10"/>
      <c r="V21" s="10"/>
      <c r="W21" s="10"/>
      <c r="X21" s="21"/>
      <c r="Y21" s="10"/>
      <c r="Z21" s="10"/>
      <c r="AA21" s="10"/>
      <c r="AB21" s="182" t="str">
        <f ca="1">IF(DataColumns[[#This Row],[ColumnType]]="ResultValue",IF(MAX(INDIRECT(CONCATENATE("R",ROW(DataColumns[#Headers]),"C",COLUMN(),":R",ROW()-1,"C",COLUMN()),FALSE))=0,1,MAX(INDIRECT(CONCATENATE("R",ROW(DataColumns[#Headers]),"C",COLUMN(),":R",ROW()-1,"C",COLUMN()),FALSE))+1),"")</f>
        <v/>
      </c>
      <c r="AC21" s="131" t="str">
        <f>IF(DataColumns[[#This Row],[ColumnType]]="ResultValue",CONCATENATE(DataColumns[[#This Row],[ColumnType]],DataColumns[[#This Row],[ColumnLabel]]),CONCATENATE(DataColumns[[#This Row],[ColumnType]],DataColumns[[#This Row],[AppliesToColumn]]))</f>
        <v/>
      </c>
    </row>
    <row r="22" spans="1:29" x14ac:dyDescent="0.25">
      <c r="A22" s="51" t="str">
        <f ca="1">IF(COUNTA(DataColumns[[#This Row],[ColumnLabel]:[QualityCodeCV]])&gt;0,IF(MAX(INDIRECT(CONCATENATE("R",ROW(DataColumns[#Headers]),"C",COLUMN(),":R",ROW()-1,"C",COLUMN()),FALSE))=0,1,MAX(INDIRECT(CONCATENATE("R",ROW(DataColumns[#Headers]),"C",COLUMN(),":R",ROW()-1,"C",COLUMN()),FALSE))+1),"")</f>
        <v/>
      </c>
      <c r="B22" s="109"/>
      <c r="C22" s="10"/>
      <c r="D22" s="160"/>
      <c r="E22" s="165"/>
      <c r="F22" s="144"/>
      <c r="G22" s="9"/>
      <c r="H22" s="10"/>
      <c r="I22" s="10"/>
      <c r="J22" s="10"/>
      <c r="K22" s="35"/>
      <c r="L22" s="10"/>
      <c r="M22" s="138"/>
      <c r="N22" s="109"/>
      <c r="O22" s="9"/>
      <c r="P22" s="10"/>
      <c r="Q22" s="10"/>
      <c r="R22" s="21"/>
      <c r="S22" s="21"/>
      <c r="T22" s="10"/>
      <c r="U22" s="10"/>
      <c r="V22" s="10"/>
      <c r="W22" s="10"/>
      <c r="X22" s="21"/>
      <c r="Y22" s="10"/>
      <c r="Z22" s="10"/>
      <c r="AA22" s="10"/>
      <c r="AB22" s="182" t="str">
        <f ca="1">IF(DataColumns[[#This Row],[ColumnType]]="ResultValue",IF(MAX(INDIRECT(CONCATENATE("R",ROW(DataColumns[#Headers]),"C",COLUMN(),":R",ROW()-1,"C",COLUMN()),FALSE))=0,1,MAX(INDIRECT(CONCATENATE("R",ROW(DataColumns[#Headers]),"C",COLUMN(),":R",ROW()-1,"C",COLUMN()),FALSE))+1),"")</f>
        <v/>
      </c>
      <c r="AC22" s="131" t="str">
        <f>IF(DataColumns[[#This Row],[ColumnType]]="ResultValue",CONCATENATE(DataColumns[[#This Row],[ColumnType]],DataColumns[[#This Row],[ColumnLabel]]),CONCATENATE(DataColumns[[#This Row],[ColumnType]],DataColumns[[#This Row],[AppliesToColumn]]))</f>
        <v/>
      </c>
    </row>
    <row r="23" spans="1:29" x14ac:dyDescent="0.25">
      <c r="A23" s="51" t="str">
        <f ca="1">IF(COUNTA(DataColumns[[#This Row],[ColumnLabel]:[QualityCodeCV]])&gt;0,IF(MAX(INDIRECT(CONCATENATE("R",ROW(DataColumns[#Headers]),"C",COLUMN(),":R",ROW()-1,"C",COLUMN()),FALSE))=0,1,MAX(INDIRECT(CONCATENATE("R",ROW(DataColumns[#Headers]),"C",COLUMN(),":R",ROW()-1,"C",COLUMN()),FALSE))+1),"")</f>
        <v/>
      </c>
      <c r="B23" s="109"/>
      <c r="C23" s="10"/>
      <c r="D23" s="160"/>
      <c r="E23" s="165"/>
      <c r="F23" s="144"/>
      <c r="G23" s="9"/>
      <c r="H23" s="10"/>
      <c r="I23" s="10"/>
      <c r="J23" s="10"/>
      <c r="K23" s="35"/>
      <c r="L23" s="10"/>
      <c r="M23" s="138"/>
      <c r="N23" s="109"/>
      <c r="O23" s="9"/>
      <c r="P23" s="10"/>
      <c r="Q23" s="10"/>
      <c r="R23" s="21"/>
      <c r="S23" s="21"/>
      <c r="T23" s="10"/>
      <c r="U23" s="10"/>
      <c r="V23" s="10"/>
      <c r="W23" s="10"/>
      <c r="X23" s="21"/>
      <c r="Y23" s="10"/>
      <c r="Z23" s="10"/>
      <c r="AA23" s="10"/>
      <c r="AB23" s="182" t="str">
        <f ca="1">IF(DataColumns[[#This Row],[ColumnType]]="ResultValue",IF(MAX(INDIRECT(CONCATENATE("R",ROW(DataColumns[#Headers]),"C",COLUMN(),":R",ROW()-1,"C",COLUMN()),FALSE))=0,1,MAX(INDIRECT(CONCATENATE("R",ROW(DataColumns[#Headers]),"C",COLUMN(),":R",ROW()-1,"C",COLUMN()),FALSE))+1),"")</f>
        <v/>
      </c>
      <c r="AC23" s="131" t="str">
        <f>IF(DataColumns[[#This Row],[ColumnType]]="ResultValue",CONCATENATE(DataColumns[[#This Row],[ColumnType]],DataColumns[[#This Row],[ColumnLabel]]),CONCATENATE(DataColumns[[#This Row],[ColumnType]],DataColumns[[#This Row],[AppliesToColumn]]))</f>
        <v/>
      </c>
    </row>
    <row r="24" spans="1:29" x14ac:dyDescent="0.25">
      <c r="A24" s="51" t="str">
        <f ca="1">IF(COUNTA(DataColumns[[#This Row],[ColumnLabel]:[QualityCodeCV]])&gt;0,IF(MAX(INDIRECT(CONCATENATE("R",ROW(DataColumns[#Headers]),"C",COLUMN(),":R",ROW()-1,"C",COLUMN()),FALSE))=0,1,MAX(INDIRECT(CONCATENATE("R",ROW(DataColumns[#Headers]),"C",COLUMN(),":R",ROW()-1,"C",COLUMN()),FALSE))+1),"")</f>
        <v/>
      </c>
      <c r="B24" s="109"/>
      <c r="C24" s="10"/>
      <c r="D24" s="160"/>
      <c r="E24" s="165"/>
      <c r="F24" s="144"/>
      <c r="G24" s="9"/>
      <c r="H24" s="10"/>
      <c r="I24" s="10"/>
      <c r="J24" s="10"/>
      <c r="K24" s="35"/>
      <c r="L24" s="10"/>
      <c r="M24" s="138"/>
      <c r="N24" s="109"/>
      <c r="O24" s="9"/>
      <c r="P24" s="10"/>
      <c r="Q24" s="10"/>
      <c r="R24" s="21"/>
      <c r="S24" s="21"/>
      <c r="T24" s="10"/>
      <c r="U24" s="10"/>
      <c r="V24" s="10"/>
      <c r="W24" s="10"/>
      <c r="X24" s="21"/>
      <c r="Y24" s="10"/>
      <c r="Z24" s="10"/>
      <c r="AA24" s="10"/>
      <c r="AB24" s="182" t="str">
        <f ca="1">IF(DataColumns[[#This Row],[ColumnType]]="ResultValue",IF(MAX(INDIRECT(CONCATENATE("R",ROW(DataColumns[#Headers]),"C",COLUMN(),":R",ROW()-1,"C",COLUMN()),FALSE))=0,1,MAX(INDIRECT(CONCATENATE("R",ROW(DataColumns[#Headers]),"C",COLUMN(),":R",ROW()-1,"C",COLUMN()),FALSE))+1),"")</f>
        <v/>
      </c>
      <c r="AC24" s="131" t="str">
        <f>IF(DataColumns[[#This Row],[ColumnType]]="ResultValue",CONCATENATE(DataColumns[[#This Row],[ColumnType]],DataColumns[[#This Row],[ColumnLabel]]),CONCATENATE(DataColumns[[#This Row],[ColumnType]],DataColumns[[#This Row],[AppliesToColumn]]))</f>
        <v/>
      </c>
    </row>
    <row r="25" spans="1:29" x14ac:dyDescent="0.25">
      <c r="A25" s="51" t="str">
        <f ca="1">IF(COUNTA(DataColumns[[#This Row],[ColumnLabel]:[QualityCodeCV]])&gt;0,IF(MAX(INDIRECT(CONCATENATE("R",ROW(DataColumns[#Headers]),"C",COLUMN(),":R",ROW()-1,"C",COLUMN()),FALSE))=0,1,MAX(INDIRECT(CONCATENATE("R",ROW(DataColumns[#Headers]),"C",COLUMN(),":R",ROW()-1,"C",COLUMN()),FALSE))+1),"")</f>
        <v/>
      </c>
      <c r="B25" s="109"/>
      <c r="C25" s="10"/>
      <c r="D25" s="160"/>
      <c r="E25" s="165"/>
      <c r="F25" s="144"/>
      <c r="G25" s="9"/>
      <c r="H25" s="10"/>
      <c r="I25" s="10"/>
      <c r="J25" s="10"/>
      <c r="K25" s="35"/>
      <c r="L25" s="10"/>
      <c r="M25" s="138"/>
      <c r="N25" s="109"/>
      <c r="O25" s="9"/>
      <c r="P25" s="10"/>
      <c r="Q25" s="10"/>
      <c r="R25" s="21"/>
      <c r="S25" s="21"/>
      <c r="T25" s="10"/>
      <c r="U25" s="10"/>
      <c r="V25" s="10"/>
      <c r="W25" s="10"/>
      <c r="X25" s="21"/>
      <c r="Y25" s="10"/>
      <c r="Z25" s="10"/>
      <c r="AA25" s="10"/>
      <c r="AB25" s="182" t="str">
        <f ca="1">IF(DataColumns[[#This Row],[ColumnType]]="ResultValue",IF(MAX(INDIRECT(CONCATENATE("R",ROW(DataColumns[#Headers]),"C",COLUMN(),":R",ROW()-1,"C",COLUMN()),FALSE))=0,1,MAX(INDIRECT(CONCATENATE("R",ROW(DataColumns[#Headers]),"C",COLUMN(),":R",ROW()-1,"C",COLUMN()),FALSE))+1),"")</f>
        <v/>
      </c>
      <c r="AC25" s="131" t="str">
        <f>IF(DataColumns[[#This Row],[ColumnType]]="ResultValue",CONCATENATE(DataColumns[[#This Row],[ColumnType]],DataColumns[[#This Row],[ColumnLabel]]),CONCATENATE(DataColumns[[#This Row],[ColumnType]],DataColumns[[#This Row],[AppliesToColumn]]))</f>
        <v/>
      </c>
    </row>
    <row r="26" spans="1:29" x14ac:dyDescent="0.25">
      <c r="A26" s="51" t="str">
        <f ca="1">IF(COUNTA(DataColumns[[#This Row],[ColumnLabel]:[QualityCodeCV]])&gt;0,IF(MAX(INDIRECT(CONCATENATE("R",ROW(DataColumns[#Headers]),"C",COLUMN(),":R",ROW()-1,"C",COLUMN()),FALSE))=0,1,MAX(INDIRECT(CONCATENATE("R",ROW(DataColumns[#Headers]),"C",COLUMN(),":R",ROW()-1,"C",COLUMN()),FALSE))+1),"")</f>
        <v/>
      </c>
      <c r="B26" s="109"/>
      <c r="C26" s="10"/>
      <c r="D26" s="160"/>
      <c r="E26" s="165"/>
      <c r="F26" s="144"/>
      <c r="G26" s="9"/>
      <c r="H26" s="10"/>
      <c r="I26" s="10"/>
      <c r="J26" s="10"/>
      <c r="K26" s="35"/>
      <c r="L26" s="10"/>
      <c r="M26" s="138"/>
      <c r="N26" s="109"/>
      <c r="O26" s="9"/>
      <c r="P26" s="10"/>
      <c r="Q26" s="10"/>
      <c r="R26" s="21"/>
      <c r="S26" s="21"/>
      <c r="T26" s="10"/>
      <c r="U26" s="10"/>
      <c r="V26" s="10"/>
      <c r="W26" s="10"/>
      <c r="X26" s="21"/>
      <c r="Y26" s="10"/>
      <c r="Z26" s="10"/>
      <c r="AA26" s="10"/>
      <c r="AB26" s="182" t="str">
        <f ca="1">IF(DataColumns[[#This Row],[ColumnType]]="ResultValue",IF(MAX(INDIRECT(CONCATENATE("R",ROW(DataColumns[#Headers]),"C",COLUMN(),":R",ROW()-1,"C",COLUMN()),FALSE))=0,1,MAX(INDIRECT(CONCATENATE("R",ROW(DataColumns[#Headers]),"C",COLUMN(),":R",ROW()-1,"C",COLUMN()),FALSE))+1),"")</f>
        <v/>
      </c>
      <c r="AC26" s="131" t="str">
        <f>IF(DataColumns[[#This Row],[ColumnType]]="ResultValue",CONCATENATE(DataColumns[[#This Row],[ColumnType]],DataColumns[[#This Row],[ColumnLabel]]),CONCATENATE(DataColumns[[#This Row],[ColumnType]],DataColumns[[#This Row],[AppliesToColumn]]))</f>
        <v/>
      </c>
    </row>
    <row r="27" spans="1:29" x14ac:dyDescent="0.25">
      <c r="A27" s="51" t="str">
        <f ca="1">IF(COUNTA(DataColumns[[#This Row],[ColumnLabel]:[QualityCodeCV]])&gt;0,IF(MAX(INDIRECT(CONCATENATE("R",ROW(DataColumns[#Headers]),"C",COLUMN(),":R",ROW()-1,"C",COLUMN()),FALSE))=0,1,MAX(INDIRECT(CONCATENATE("R",ROW(DataColumns[#Headers]),"C",COLUMN(),":R",ROW()-1,"C",COLUMN()),FALSE))+1),"")</f>
        <v/>
      </c>
      <c r="B27" s="109"/>
      <c r="C27" s="10"/>
      <c r="D27" s="160"/>
      <c r="E27" s="165"/>
      <c r="F27" s="144"/>
      <c r="G27" s="9"/>
      <c r="H27" s="10"/>
      <c r="I27" s="10"/>
      <c r="J27" s="10"/>
      <c r="K27" s="35"/>
      <c r="L27" s="10"/>
      <c r="M27" s="138"/>
      <c r="N27" s="109"/>
      <c r="O27" s="9"/>
      <c r="P27" s="10"/>
      <c r="Q27" s="10"/>
      <c r="R27" s="21"/>
      <c r="S27" s="21"/>
      <c r="T27" s="10"/>
      <c r="U27" s="10"/>
      <c r="V27" s="10"/>
      <c r="W27" s="10"/>
      <c r="X27" s="21"/>
      <c r="Y27" s="10"/>
      <c r="Z27" s="10"/>
      <c r="AA27" s="10"/>
      <c r="AB27" s="182" t="str">
        <f ca="1">IF(DataColumns[[#This Row],[ColumnType]]="ResultValue",IF(MAX(INDIRECT(CONCATENATE("R",ROW(DataColumns[#Headers]),"C",COLUMN(),":R",ROW()-1,"C",COLUMN()),FALSE))=0,1,MAX(INDIRECT(CONCATENATE("R",ROW(DataColumns[#Headers]),"C",COLUMN(),":R",ROW()-1,"C",COLUMN()),FALSE))+1),"")</f>
        <v/>
      </c>
      <c r="AC27" s="131" t="str">
        <f>IF(DataColumns[[#This Row],[ColumnType]]="ResultValue",CONCATENATE(DataColumns[[#This Row],[ColumnType]],DataColumns[[#This Row],[ColumnLabel]]),CONCATENATE(DataColumns[[#This Row],[ColumnType]],DataColumns[[#This Row],[AppliesToColumn]]))</f>
        <v/>
      </c>
    </row>
    <row r="28" spans="1:29" x14ac:dyDescent="0.25">
      <c r="A28" s="51" t="str">
        <f ca="1">IF(COUNTA(DataColumns[[#This Row],[ColumnLabel]:[QualityCodeCV]])&gt;0,IF(MAX(INDIRECT(CONCATENATE("R",ROW(DataColumns[#Headers]),"C",COLUMN(),":R",ROW()-1,"C",COLUMN()),FALSE))=0,1,MAX(INDIRECT(CONCATENATE("R",ROW(DataColumns[#Headers]),"C",COLUMN(),":R",ROW()-1,"C",COLUMN()),FALSE))+1),"")</f>
        <v/>
      </c>
      <c r="B28" s="109"/>
      <c r="C28" s="10"/>
      <c r="D28" s="160"/>
      <c r="E28" s="165"/>
      <c r="F28" s="144"/>
      <c r="G28" s="9"/>
      <c r="H28" s="10"/>
      <c r="I28" s="10"/>
      <c r="J28" s="10"/>
      <c r="K28" s="35"/>
      <c r="L28" s="10"/>
      <c r="M28" s="138"/>
      <c r="N28" s="109"/>
      <c r="O28" s="9"/>
      <c r="P28" s="10"/>
      <c r="Q28" s="10"/>
      <c r="R28" s="21"/>
      <c r="S28" s="21"/>
      <c r="T28" s="10"/>
      <c r="U28" s="10"/>
      <c r="V28" s="10"/>
      <c r="W28" s="10"/>
      <c r="X28" s="21"/>
      <c r="Y28" s="10"/>
      <c r="Z28" s="10"/>
      <c r="AA28" s="10"/>
      <c r="AB28" s="182" t="str">
        <f ca="1">IF(DataColumns[[#This Row],[ColumnType]]="ResultValue",IF(MAX(INDIRECT(CONCATENATE("R",ROW(DataColumns[#Headers]),"C",COLUMN(),":R",ROW()-1,"C",COLUMN()),FALSE))=0,1,MAX(INDIRECT(CONCATENATE("R",ROW(DataColumns[#Headers]),"C",COLUMN(),":R",ROW()-1,"C",COLUMN()),FALSE))+1),"")</f>
        <v/>
      </c>
      <c r="AC28" s="131" t="str">
        <f>IF(DataColumns[[#This Row],[ColumnType]]="ResultValue",CONCATENATE(DataColumns[[#This Row],[ColumnType]],DataColumns[[#This Row],[ColumnLabel]]),CONCATENATE(DataColumns[[#This Row],[ColumnType]],DataColumns[[#This Row],[AppliesToColumn]]))</f>
        <v/>
      </c>
    </row>
    <row r="29" spans="1:29" x14ac:dyDescent="0.25">
      <c r="A29" s="51" t="str">
        <f ca="1">IF(COUNTA(DataColumns[[#This Row],[ColumnLabel]:[QualityCodeCV]])&gt;0,IF(MAX(INDIRECT(CONCATENATE("R",ROW(DataColumns[#Headers]),"C",COLUMN(),":R",ROW()-1,"C",COLUMN()),FALSE))=0,1,MAX(INDIRECT(CONCATENATE("R",ROW(DataColumns[#Headers]),"C",COLUMN(),":R",ROW()-1,"C",COLUMN()),FALSE))+1),"")</f>
        <v/>
      </c>
      <c r="B29" s="109"/>
      <c r="C29" s="10"/>
      <c r="D29" s="160"/>
      <c r="E29" s="165"/>
      <c r="F29" s="144"/>
      <c r="G29" s="9"/>
      <c r="H29" s="10"/>
      <c r="I29" s="10"/>
      <c r="J29" s="10"/>
      <c r="K29" s="35"/>
      <c r="L29" s="10"/>
      <c r="M29" s="138"/>
      <c r="N29" s="109"/>
      <c r="O29" s="9"/>
      <c r="P29" s="10"/>
      <c r="Q29" s="10"/>
      <c r="R29" s="21"/>
      <c r="S29" s="21"/>
      <c r="T29" s="10"/>
      <c r="U29" s="10"/>
      <c r="V29" s="10"/>
      <c r="W29" s="10"/>
      <c r="X29" s="21"/>
      <c r="Y29" s="10"/>
      <c r="Z29" s="10"/>
      <c r="AA29" s="10"/>
      <c r="AB29" s="182" t="str">
        <f ca="1">IF(DataColumns[[#This Row],[ColumnType]]="ResultValue",IF(MAX(INDIRECT(CONCATENATE("R",ROW(DataColumns[#Headers]),"C",COLUMN(),":R",ROW()-1,"C",COLUMN()),FALSE))=0,1,MAX(INDIRECT(CONCATENATE("R",ROW(DataColumns[#Headers]),"C",COLUMN(),":R",ROW()-1,"C",COLUMN()),FALSE))+1),"")</f>
        <v/>
      </c>
      <c r="AC29" s="131" t="str">
        <f>IF(DataColumns[[#This Row],[ColumnType]]="ResultValue",CONCATENATE(DataColumns[[#This Row],[ColumnType]],DataColumns[[#This Row],[ColumnLabel]]),CONCATENATE(DataColumns[[#This Row],[ColumnType]],DataColumns[[#This Row],[AppliesToColumn]]))</f>
        <v/>
      </c>
    </row>
    <row r="30" spans="1:29" x14ac:dyDescent="0.25">
      <c r="A30" s="51" t="str">
        <f ca="1">IF(COUNTA(DataColumns[[#This Row],[ColumnLabel]:[QualityCodeCV]])&gt;0,IF(MAX(INDIRECT(CONCATENATE("R",ROW(DataColumns[#Headers]),"C",COLUMN(),":R",ROW()-1,"C",COLUMN()),FALSE))=0,1,MAX(INDIRECT(CONCATENATE("R",ROW(DataColumns[#Headers]),"C",COLUMN(),":R",ROW()-1,"C",COLUMN()),FALSE))+1),"")</f>
        <v/>
      </c>
      <c r="B30" s="109"/>
      <c r="C30" s="10"/>
      <c r="D30" s="160"/>
      <c r="E30" s="165"/>
      <c r="F30" s="144"/>
      <c r="G30" s="9"/>
      <c r="H30" s="10"/>
      <c r="I30" s="10"/>
      <c r="J30" s="10"/>
      <c r="K30" s="35"/>
      <c r="L30" s="10"/>
      <c r="M30" s="138"/>
      <c r="N30" s="109"/>
      <c r="O30" s="9"/>
      <c r="P30" s="10"/>
      <c r="Q30" s="10"/>
      <c r="R30" s="21"/>
      <c r="S30" s="21"/>
      <c r="T30" s="10"/>
      <c r="U30" s="10"/>
      <c r="V30" s="10"/>
      <c r="W30" s="10"/>
      <c r="X30" s="21"/>
      <c r="Y30" s="10"/>
      <c r="Z30" s="10"/>
      <c r="AA30" s="10"/>
      <c r="AB30" s="182" t="str">
        <f ca="1">IF(DataColumns[[#This Row],[ColumnType]]="ResultValue",IF(MAX(INDIRECT(CONCATENATE("R",ROW(DataColumns[#Headers]),"C",COLUMN(),":R",ROW()-1,"C",COLUMN()),FALSE))=0,1,MAX(INDIRECT(CONCATENATE("R",ROW(DataColumns[#Headers]),"C",COLUMN(),":R",ROW()-1,"C",COLUMN()),FALSE))+1),"")</f>
        <v/>
      </c>
      <c r="AC30" s="131" t="str">
        <f>IF(DataColumns[[#This Row],[ColumnType]]="ResultValue",CONCATENATE(DataColumns[[#This Row],[ColumnType]],DataColumns[[#This Row],[ColumnLabel]]),CONCATENATE(DataColumns[[#This Row],[ColumnType]],DataColumns[[#This Row],[AppliesToColumn]]))</f>
        <v/>
      </c>
    </row>
    <row r="31" spans="1:29" x14ac:dyDescent="0.25">
      <c r="A31" s="51" t="str">
        <f ca="1">IF(COUNTA(DataColumns[[#This Row],[ColumnLabel]:[QualityCodeCV]])&gt;0,IF(MAX(INDIRECT(CONCATENATE("R",ROW(DataColumns[#Headers]),"C",COLUMN(),":R",ROW()-1,"C",COLUMN()),FALSE))=0,1,MAX(INDIRECT(CONCATENATE("R",ROW(DataColumns[#Headers]),"C",COLUMN(),":R",ROW()-1,"C",COLUMN()),FALSE))+1),"")</f>
        <v/>
      </c>
      <c r="B31" s="109"/>
      <c r="C31" s="10"/>
      <c r="D31" s="160"/>
      <c r="E31" s="165"/>
      <c r="F31" s="144"/>
      <c r="G31" s="9"/>
      <c r="H31" s="10"/>
      <c r="I31" s="10"/>
      <c r="J31" s="10"/>
      <c r="K31" s="35"/>
      <c r="L31" s="10"/>
      <c r="M31" s="138"/>
      <c r="N31" s="109"/>
      <c r="O31" s="9"/>
      <c r="P31" s="10"/>
      <c r="Q31" s="10"/>
      <c r="R31" s="21"/>
      <c r="S31" s="21"/>
      <c r="T31" s="10"/>
      <c r="U31" s="10"/>
      <c r="V31" s="10"/>
      <c r="W31" s="10"/>
      <c r="X31" s="21"/>
      <c r="Y31" s="10"/>
      <c r="Z31" s="10"/>
      <c r="AA31" s="10"/>
      <c r="AB31" s="182" t="str">
        <f ca="1">IF(DataColumns[[#This Row],[ColumnType]]="ResultValue",IF(MAX(INDIRECT(CONCATENATE("R",ROW(DataColumns[#Headers]),"C",COLUMN(),":R",ROW()-1,"C",COLUMN()),FALSE))=0,1,MAX(INDIRECT(CONCATENATE("R",ROW(DataColumns[#Headers]),"C",COLUMN(),":R",ROW()-1,"C",COLUMN()),FALSE))+1),"")</f>
        <v/>
      </c>
      <c r="AC31" s="131" t="str">
        <f>IF(DataColumns[[#This Row],[ColumnType]]="ResultValue",CONCATENATE(DataColumns[[#This Row],[ColumnType]],DataColumns[[#This Row],[ColumnLabel]]),CONCATENATE(DataColumns[[#This Row],[ColumnType]],DataColumns[[#This Row],[AppliesToColumn]]))</f>
        <v/>
      </c>
    </row>
    <row r="32" spans="1:29" x14ac:dyDescent="0.25">
      <c r="A32" s="51" t="str">
        <f ca="1">IF(COUNTA(DataColumns[[#This Row],[ColumnLabel]:[QualityCodeCV]])&gt;0,IF(MAX(INDIRECT(CONCATENATE("R",ROW(DataColumns[#Headers]),"C",COLUMN(),":R",ROW()-1,"C",COLUMN()),FALSE))=0,1,MAX(INDIRECT(CONCATENATE("R",ROW(DataColumns[#Headers]),"C",COLUMN(),":R",ROW()-1,"C",COLUMN()),FALSE))+1),"")</f>
        <v/>
      </c>
      <c r="B32" s="109"/>
      <c r="C32" s="10"/>
      <c r="D32" s="160"/>
      <c r="E32" s="165"/>
      <c r="F32" s="144"/>
      <c r="G32" s="9"/>
      <c r="H32" s="10"/>
      <c r="I32" s="10"/>
      <c r="J32" s="10"/>
      <c r="K32" s="35"/>
      <c r="L32" s="10"/>
      <c r="M32" s="138"/>
      <c r="N32" s="109"/>
      <c r="O32" s="9"/>
      <c r="P32" s="10"/>
      <c r="Q32" s="10"/>
      <c r="R32" s="21"/>
      <c r="S32" s="21"/>
      <c r="T32" s="10"/>
      <c r="U32" s="10"/>
      <c r="V32" s="10"/>
      <c r="W32" s="10"/>
      <c r="X32" s="21"/>
      <c r="Y32" s="10"/>
      <c r="Z32" s="10"/>
      <c r="AA32" s="10"/>
      <c r="AB32" s="182" t="str">
        <f ca="1">IF(DataColumns[[#This Row],[ColumnType]]="ResultValue",IF(MAX(INDIRECT(CONCATENATE("R",ROW(DataColumns[#Headers]),"C",COLUMN(),":R",ROW()-1,"C",COLUMN()),FALSE))=0,1,MAX(INDIRECT(CONCATENATE("R",ROW(DataColumns[#Headers]),"C",COLUMN(),":R",ROW()-1,"C",COLUMN()),FALSE))+1),"")</f>
        <v/>
      </c>
      <c r="AC32" s="131" t="str">
        <f>IF(DataColumns[[#This Row],[ColumnType]]="ResultValue",CONCATENATE(DataColumns[[#This Row],[ColumnType]],DataColumns[[#This Row],[ColumnLabel]]),CONCATENATE(DataColumns[[#This Row],[ColumnType]],DataColumns[[#This Row],[AppliesToColumn]]))</f>
        <v/>
      </c>
    </row>
    <row r="33" spans="1:29" x14ac:dyDescent="0.25">
      <c r="A33" s="51" t="str">
        <f ca="1">IF(COUNTA(DataColumns[[#This Row],[ColumnLabel]:[QualityCodeCV]])&gt;0,IF(MAX(INDIRECT(CONCATENATE("R",ROW(DataColumns[#Headers]),"C",COLUMN(),":R",ROW()-1,"C",COLUMN()),FALSE))=0,1,MAX(INDIRECT(CONCATENATE("R",ROW(DataColumns[#Headers]),"C",COLUMN(),":R",ROW()-1,"C",COLUMN()),FALSE))+1),"")</f>
        <v/>
      </c>
      <c r="B33" s="109"/>
      <c r="C33" s="10"/>
      <c r="D33" s="160"/>
      <c r="E33" s="165"/>
      <c r="F33" s="144"/>
      <c r="G33" s="9"/>
      <c r="H33" s="10"/>
      <c r="I33" s="10"/>
      <c r="J33" s="10"/>
      <c r="K33" s="35"/>
      <c r="L33" s="10"/>
      <c r="M33" s="138"/>
      <c r="N33" s="109"/>
      <c r="O33" s="9"/>
      <c r="P33" s="10"/>
      <c r="Q33" s="10"/>
      <c r="R33" s="21"/>
      <c r="S33" s="21"/>
      <c r="T33" s="10"/>
      <c r="U33" s="10"/>
      <c r="V33" s="10"/>
      <c r="W33" s="10"/>
      <c r="X33" s="21"/>
      <c r="Y33" s="10"/>
      <c r="Z33" s="10"/>
      <c r="AA33" s="10"/>
      <c r="AB33" s="182" t="str">
        <f ca="1">IF(DataColumns[[#This Row],[ColumnType]]="ResultValue",IF(MAX(INDIRECT(CONCATENATE("R",ROW(DataColumns[#Headers]),"C",COLUMN(),":R",ROW()-1,"C",COLUMN()),FALSE))=0,1,MAX(INDIRECT(CONCATENATE("R",ROW(DataColumns[#Headers]),"C",COLUMN(),":R",ROW()-1,"C",COLUMN()),FALSE))+1),"")</f>
        <v/>
      </c>
      <c r="AC33" s="131" t="str">
        <f>IF(DataColumns[[#This Row],[ColumnType]]="ResultValue",CONCATENATE(DataColumns[[#This Row],[ColumnType]],DataColumns[[#This Row],[ColumnLabel]]),CONCATENATE(DataColumns[[#This Row],[ColumnType]],DataColumns[[#This Row],[AppliesToColumn]]))</f>
        <v/>
      </c>
    </row>
    <row r="34" spans="1:29" x14ac:dyDescent="0.25">
      <c r="A34" s="51" t="str">
        <f ca="1">IF(COUNTA(DataColumns[[#This Row],[ColumnLabel]:[QualityCodeCV]])&gt;0,IF(MAX(INDIRECT(CONCATENATE("R",ROW(DataColumns[#Headers]),"C",COLUMN(),":R",ROW()-1,"C",COLUMN()),FALSE))=0,1,MAX(INDIRECT(CONCATENATE("R",ROW(DataColumns[#Headers]),"C",COLUMN(),":R",ROW()-1,"C",COLUMN()),FALSE))+1),"")</f>
        <v/>
      </c>
      <c r="B34" s="109"/>
      <c r="C34" s="10"/>
      <c r="D34" s="160"/>
      <c r="E34" s="165"/>
      <c r="F34" s="144"/>
      <c r="G34" s="9"/>
      <c r="H34" s="10"/>
      <c r="I34" s="10"/>
      <c r="J34" s="10"/>
      <c r="K34" s="35"/>
      <c r="L34" s="10"/>
      <c r="M34" s="138"/>
      <c r="N34" s="109"/>
      <c r="O34" s="9"/>
      <c r="P34" s="10"/>
      <c r="Q34" s="10"/>
      <c r="R34" s="21"/>
      <c r="S34" s="21"/>
      <c r="T34" s="10"/>
      <c r="U34" s="10"/>
      <c r="V34" s="10"/>
      <c r="W34" s="10"/>
      <c r="X34" s="21"/>
      <c r="Y34" s="10"/>
      <c r="Z34" s="10"/>
      <c r="AA34" s="10"/>
      <c r="AB34" s="182" t="str">
        <f ca="1">IF(DataColumns[[#This Row],[ColumnType]]="ResultValue",IF(MAX(INDIRECT(CONCATENATE("R",ROW(DataColumns[#Headers]),"C",COLUMN(),":R",ROW()-1,"C",COLUMN()),FALSE))=0,1,MAX(INDIRECT(CONCATENATE("R",ROW(DataColumns[#Headers]),"C",COLUMN(),":R",ROW()-1,"C",COLUMN()),FALSE))+1),"")</f>
        <v/>
      </c>
      <c r="AC34" s="131" t="str">
        <f>IF(DataColumns[[#This Row],[ColumnType]]="ResultValue",CONCATENATE(DataColumns[[#This Row],[ColumnType]],DataColumns[[#This Row],[ColumnLabel]]),CONCATENATE(DataColumns[[#This Row],[ColumnType]],DataColumns[[#This Row],[AppliesToColumn]]))</f>
        <v/>
      </c>
    </row>
    <row r="35" spans="1:29" x14ac:dyDescent="0.25">
      <c r="A35" s="51" t="str">
        <f ca="1">IF(COUNTA(DataColumns[[#This Row],[ColumnLabel]:[QualityCodeCV]])&gt;0,IF(MAX(INDIRECT(CONCATENATE("R",ROW(DataColumns[#Headers]),"C",COLUMN(),":R",ROW()-1,"C",COLUMN()),FALSE))=0,1,MAX(INDIRECT(CONCATENATE("R",ROW(DataColumns[#Headers]),"C",COLUMN(),":R",ROW()-1,"C",COLUMN()),FALSE))+1),"")</f>
        <v/>
      </c>
      <c r="B35" s="109"/>
      <c r="C35" s="10"/>
      <c r="D35" s="160"/>
      <c r="E35" s="165"/>
      <c r="F35" s="144"/>
      <c r="G35" s="9"/>
      <c r="H35" s="10"/>
      <c r="I35" s="10"/>
      <c r="J35" s="10"/>
      <c r="K35" s="35"/>
      <c r="L35" s="10"/>
      <c r="M35" s="138"/>
      <c r="N35" s="109"/>
      <c r="O35" s="9"/>
      <c r="P35" s="10"/>
      <c r="Q35" s="10"/>
      <c r="R35" s="21"/>
      <c r="S35" s="21"/>
      <c r="T35" s="10"/>
      <c r="U35" s="10"/>
      <c r="V35" s="10"/>
      <c r="W35" s="10"/>
      <c r="X35" s="21"/>
      <c r="Y35" s="10"/>
      <c r="Z35" s="10"/>
      <c r="AA35" s="10"/>
      <c r="AB35" s="182" t="str">
        <f ca="1">IF(DataColumns[[#This Row],[ColumnType]]="ResultValue",IF(MAX(INDIRECT(CONCATENATE("R",ROW(DataColumns[#Headers]),"C",COLUMN(),":R",ROW()-1,"C",COLUMN()),FALSE))=0,1,MAX(INDIRECT(CONCATENATE("R",ROW(DataColumns[#Headers]),"C",COLUMN(),":R",ROW()-1,"C",COLUMN()),FALSE))+1),"")</f>
        <v/>
      </c>
      <c r="AC35" s="131" t="str">
        <f>IF(DataColumns[[#This Row],[ColumnType]]="ResultValue",CONCATENATE(DataColumns[[#This Row],[ColumnType]],DataColumns[[#This Row],[ColumnLabel]]),CONCATENATE(DataColumns[[#This Row],[ColumnType]],DataColumns[[#This Row],[AppliesToColumn]]))</f>
        <v/>
      </c>
    </row>
    <row r="36" spans="1:29" x14ac:dyDescent="0.25">
      <c r="A36" s="51" t="str">
        <f ca="1">IF(COUNTA(DataColumns[[#This Row],[ColumnLabel]:[QualityCodeCV]])&gt;0,IF(MAX(INDIRECT(CONCATENATE("R",ROW(DataColumns[#Headers]),"C",COLUMN(),":R",ROW()-1,"C",COLUMN()),FALSE))=0,1,MAX(INDIRECT(CONCATENATE("R",ROW(DataColumns[#Headers]),"C",COLUMN(),":R",ROW()-1,"C",COLUMN()),FALSE))+1),"")</f>
        <v/>
      </c>
      <c r="B36" s="109"/>
      <c r="C36" s="10"/>
      <c r="D36" s="160"/>
      <c r="E36" s="165"/>
      <c r="F36" s="144"/>
      <c r="G36" s="9"/>
      <c r="H36" s="10"/>
      <c r="I36" s="10"/>
      <c r="J36" s="10"/>
      <c r="K36" s="35"/>
      <c r="L36" s="10"/>
      <c r="M36" s="138"/>
      <c r="N36" s="109"/>
      <c r="O36" s="9"/>
      <c r="P36" s="10"/>
      <c r="Q36" s="10"/>
      <c r="R36" s="21"/>
      <c r="S36" s="21"/>
      <c r="T36" s="10"/>
      <c r="U36" s="10"/>
      <c r="V36" s="10"/>
      <c r="W36" s="10"/>
      <c r="X36" s="21"/>
      <c r="Y36" s="10"/>
      <c r="Z36" s="10"/>
      <c r="AA36" s="10"/>
      <c r="AB36" s="182" t="str">
        <f ca="1">IF(DataColumns[[#This Row],[ColumnType]]="ResultValue",IF(MAX(INDIRECT(CONCATENATE("R",ROW(DataColumns[#Headers]),"C",COLUMN(),":R",ROW()-1,"C",COLUMN()),FALSE))=0,1,MAX(INDIRECT(CONCATENATE("R",ROW(DataColumns[#Headers]),"C",COLUMN(),":R",ROW()-1,"C",COLUMN()),FALSE))+1),"")</f>
        <v/>
      </c>
      <c r="AC36" s="131" t="str">
        <f>IF(DataColumns[[#This Row],[ColumnType]]="ResultValue",CONCATENATE(DataColumns[[#This Row],[ColumnType]],DataColumns[[#This Row],[ColumnLabel]]),CONCATENATE(DataColumns[[#This Row],[ColumnType]],DataColumns[[#This Row],[AppliesToColumn]]))</f>
        <v/>
      </c>
    </row>
    <row r="37" spans="1:29" x14ac:dyDescent="0.25">
      <c r="A37" s="51" t="str">
        <f ca="1">IF(COUNTA(DataColumns[[#This Row],[ColumnLabel]:[QualityCodeCV]])&gt;0,IF(MAX(INDIRECT(CONCATENATE("R",ROW(DataColumns[#Headers]),"C",COLUMN(),":R",ROW()-1,"C",COLUMN()),FALSE))=0,1,MAX(INDIRECT(CONCATENATE("R",ROW(DataColumns[#Headers]),"C",COLUMN(),":R",ROW()-1,"C",COLUMN()),FALSE))+1),"")</f>
        <v/>
      </c>
      <c r="B37" s="109"/>
      <c r="C37" s="10"/>
      <c r="D37" s="160"/>
      <c r="E37" s="165"/>
      <c r="F37" s="144"/>
      <c r="G37" s="9"/>
      <c r="H37" s="10"/>
      <c r="I37" s="10"/>
      <c r="J37" s="10"/>
      <c r="K37" s="35"/>
      <c r="L37" s="10"/>
      <c r="M37" s="138"/>
      <c r="N37" s="109"/>
      <c r="O37" s="9"/>
      <c r="P37" s="10"/>
      <c r="Q37" s="10"/>
      <c r="R37" s="21"/>
      <c r="S37" s="21"/>
      <c r="T37" s="10"/>
      <c r="U37" s="10"/>
      <c r="V37" s="10"/>
      <c r="W37" s="10"/>
      <c r="X37" s="21"/>
      <c r="Y37" s="10"/>
      <c r="Z37" s="10"/>
      <c r="AA37" s="10"/>
      <c r="AB37" s="182" t="str">
        <f ca="1">IF(DataColumns[[#This Row],[ColumnType]]="ResultValue",IF(MAX(INDIRECT(CONCATENATE("R",ROW(DataColumns[#Headers]),"C",COLUMN(),":R",ROW()-1,"C",COLUMN()),FALSE))=0,1,MAX(INDIRECT(CONCATENATE("R",ROW(DataColumns[#Headers]),"C",COLUMN(),":R",ROW()-1,"C",COLUMN()),FALSE))+1),"")</f>
        <v/>
      </c>
      <c r="AC37" s="131" t="str">
        <f>IF(DataColumns[[#This Row],[ColumnType]]="ResultValue",CONCATENATE(DataColumns[[#This Row],[ColumnType]],DataColumns[[#This Row],[ColumnLabel]]),CONCATENATE(DataColumns[[#This Row],[ColumnType]],DataColumns[[#This Row],[AppliesToColumn]]))</f>
        <v/>
      </c>
    </row>
    <row r="38" spans="1:29" x14ac:dyDescent="0.25">
      <c r="A38" s="51" t="str">
        <f ca="1">IF(COUNTA(DataColumns[[#This Row],[ColumnLabel]:[QualityCodeCV]])&gt;0,IF(MAX(INDIRECT(CONCATENATE("R",ROW(DataColumns[#Headers]),"C",COLUMN(),":R",ROW()-1,"C",COLUMN()),FALSE))=0,1,MAX(INDIRECT(CONCATENATE("R",ROW(DataColumns[#Headers]),"C",COLUMN(),":R",ROW()-1,"C",COLUMN()),FALSE))+1),"")</f>
        <v/>
      </c>
      <c r="B38" s="109"/>
      <c r="C38" s="10"/>
      <c r="D38" s="160"/>
      <c r="E38" s="165"/>
      <c r="F38" s="144"/>
      <c r="G38" s="9"/>
      <c r="H38" s="10"/>
      <c r="I38" s="10"/>
      <c r="J38" s="10"/>
      <c r="K38" s="35"/>
      <c r="L38" s="10"/>
      <c r="M38" s="138"/>
      <c r="N38" s="109"/>
      <c r="O38" s="9"/>
      <c r="P38" s="10"/>
      <c r="Q38" s="10"/>
      <c r="R38" s="21"/>
      <c r="S38" s="21"/>
      <c r="T38" s="10"/>
      <c r="U38" s="10"/>
      <c r="V38" s="10"/>
      <c r="W38" s="10"/>
      <c r="X38" s="21"/>
      <c r="Y38" s="10"/>
      <c r="Z38" s="10"/>
      <c r="AA38" s="10"/>
      <c r="AB38" s="182" t="str">
        <f ca="1">IF(DataColumns[[#This Row],[ColumnType]]="ResultValue",IF(MAX(INDIRECT(CONCATENATE("R",ROW(DataColumns[#Headers]),"C",COLUMN(),":R",ROW()-1,"C",COLUMN()),FALSE))=0,1,MAX(INDIRECT(CONCATENATE("R",ROW(DataColumns[#Headers]),"C",COLUMN(),":R",ROW()-1,"C",COLUMN()),FALSE))+1),"")</f>
        <v/>
      </c>
      <c r="AC38" s="131" t="str">
        <f>IF(DataColumns[[#This Row],[ColumnType]]="ResultValue",CONCATENATE(DataColumns[[#This Row],[ColumnType]],DataColumns[[#This Row],[ColumnLabel]]),CONCATENATE(DataColumns[[#This Row],[ColumnType]],DataColumns[[#This Row],[AppliesToColumn]]))</f>
        <v/>
      </c>
    </row>
    <row r="39" spans="1:29" x14ac:dyDescent="0.25">
      <c r="A39" s="51" t="str">
        <f ca="1">IF(COUNTA(DataColumns[[#This Row],[ColumnLabel]:[QualityCodeCV]])&gt;0,IF(MAX(INDIRECT(CONCATENATE("R",ROW(DataColumns[#Headers]),"C",COLUMN(),":R",ROW()-1,"C",COLUMN()),FALSE))=0,1,MAX(INDIRECT(CONCATENATE("R",ROW(DataColumns[#Headers]),"C",COLUMN(),":R",ROW()-1,"C",COLUMN()),FALSE))+1),"")</f>
        <v/>
      </c>
      <c r="B39" s="109"/>
      <c r="C39" s="10"/>
      <c r="D39" s="160"/>
      <c r="E39" s="165"/>
      <c r="F39" s="144"/>
      <c r="G39" s="9"/>
      <c r="H39" s="10"/>
      <c r="I39" s="10"/>
      <c r="J39" s="10"/>
      <c r="K39" s="35"/>
      <c r="L39" s="10"/>
      <c r="M39" s="138"/>
      <c r="N39" s="109"/>
      <c r="O39" s="9"/>
      <c r="P39" s="10"/>
      <c r="Q39" s="10"/>
      <c r="R39" s="21"/>
      <c r="S39" s="21"/>
      <c r="T39" s="10"/>
      <c r="U39" s="10"/>
      <c r="V39" s="10"/>
      <c r="W39" s="10"/>
      <c r="X39" s="21"/>
      <c r="Y39" s="10"/>
      <c r="Z39" s="10"/>
      <c r="AA39" s="10"/>
      <c r="AB39" s="182" t="str">
        <f ca="1">IF(DataColumns[[#This Row],[ColumnType]]="ResultValue",IF(MAX(INDIRECT(CONCATENATE("R",ROW(DataColumns[#Headers]),"C",COLUMN(),":R",ROW()-1,"C",COLUMN()),FALSE))=0,1,MAX(INDIRECT(CONCATENATE("R",ROW(DataColumns[#Headers]),"C",COLUMN(),":R",ROW()-1,"C",COLUMN()),FALSE))+1),"")</f>
        <v/>
      </c>
      <c r="AC39" s="131" t="str">
        <f>IF(DataColumns[[#This Row],[ColumnType]]="ResultValue",CONCATENATE(DataColumns[[#This Row],[ColumnType]],DataColumns[[#This Row],[ColumnLabel]]),CONCATENATE(DataColumns[[#This Row],[ColumnType]],DataColumns[[#This Row],[AppliesToColumn]]))</f>
        <v/>
      </c>
    </row>
    <row r="40" spans="1:29" x14ac:dyDescent="0.25">
      <c r="A40" s="51" t="str">
        <f ca="1">IF(COUNTA(DataColumns[[#This Row],[ColumnLabel]:[QualityCodeCV]])&gt;0,IF(MAX(INDIRECT(CONCATENATE("R",ROW(DataColumns[#Headers]),"C",COLUMN(),":R",ROW()-1,"C",COLUMN()),FALSE))=0,1,MAX(INDIRECT(CONCATENATE("R",ROW(DataColumns[#Headers]),"C",COLUMN(),":R",ROW()-1,"C",COLUMN()),FALSE))+1),"")</f>
        <v/>
      </c>
      <c r="B40" s="109"/>
      <c r="C40" s="10"/>
      <c r="D40" s="160"/>
      <c r="E40" s="165"/>
      <c r="F40" s="144"/>
      <c r="G40" s="9"/>
      <c r="H40" s="10"/>
      <c r="I40" s="10"/>
      <c r="J40" s="10"/>
      <c r="K40" s="35"/>
      <c r="L40" s="10"/>
      <c r="M40" s="138"/>
      <c r="N40" s="109"/>
      <c r="O40" s="9"/>
      <c r="P40" s="10"/>
      <c r="Q40" s="10"/>
      <c r="R40" s="21"/>
      <c r="S40" s="21"/>
      <c r="T40" s="10"/>
      <c r="U40" s="10"/>
      <c r="V40" s="10"/>
      <c r="W40" s="10"/>
      <c r="X40" s="21"/>
      <c r="Y40" s="10"/>
      <c r="Z40" s="10"/>
      <c r="AA40" s="10"/>
      <c r="AB40" s="182" t="str">
        <f ca="1">IF(DataColumns[[#This Row],[ColumnType]]="ResultValue",IF(MAX(INDIRECT(CONCATENATE("R",ROW(DataColumns[#Headers]),"C",COLUMN(),":R",ROW()-1,"C",COLUMN()),FALSE))=0,1,MAX(INDIRECT(CONCATENATE("R",ROW(DataColumns[#Headers]),"C",COLUMN(),":R",ROW()-1,"C",COLUMN()),FALSE))+1),"")</f>
        <v/>
      </c>
      <c r="AC40" s="131" t="str">
        <f>IF(DataColumns[[#This Row],[ColumnType]]="ResultValue",CONCATENATE(DataColumns[[#This Row],[ColumnType]],DataColumns[[#This Row],[ColumnLabel]]),CONCATENATE(DataColumns[[#This Row],[ColumnType]],DataColumns[[#This Row],[AppliesToColumn]]))</f>
        <v/>
      </c>
    </row>
    <row r="41" spans="1:29" x14ac:dyDescent="0.25">
      <c r="A41" s="51" t="str">
        <f ca="1">IF(COUNTA(DataColumns[[#This Row],[ColumnLabel]:[QualityCodeCV]])&gt;0,IF(MAX(INDIRECT(CONCATENATE("R",ROW(DataColumns[#Headers]),"C",COLUMN(),":R",ROW()-1,"C",COLUMN()),FALSE))=0,1,MAX(INDIRECT(CONCATENATE("R",ROW(DataColumns[#Headers]),"C",COLUMN(),":R",ROW()-1,"C",COLUMN()),FALSE))+1),"")</f>
        <v/>
      </c>
      <c r="B41" s="109"/>
      <c r="C41" s="10"/>
      <c r="D41" s="160"/>
      <c r="E41" s="165"/>
      <c r="F41" s="144"/>
      <c r="G41" s="9"/>
      <c r="H41" s="10"/>
      <c r="I41" s="10"/>
      <c r="J41" s="10"/>
      <c r="K41" s="35"/>
      <c r="L41" s="10"/>
      <c r="M41" s="138"/>
      <c r="N41" s="109"/>
      <c r="O41" s="9"/>
      <c r="P41" s="10"/>
      <c r="Q41" s="10"/>
      <c r="R41" s="21"/>
      <c r="S41" s="21"/>
      <c r="T41" s="10"/>
      <c r="U41" s="10"/>
      <c r="V41" s="10"/>
      <c r="W41" s="10"/>
      <c r="X41" s="21"/>
      <c r="Y41" s="10"/>
      <c r="Z41" s="10"/>
      <c r="AA41" s="10"/>
      <c r="AB41" s="182" t="str">
        <f ca="1">IF(DataColumns[[#This Row],[ColumnType]]="ResultValue",IF(MAX(INDIRECT(CONCATENATE("R",ROW(DataColumns[#Headers]),"C",COLUMN(),":R",ROW()-1,"C",COLUMN()),FALSE))=0,1,MAX(INDIRECT(CONCATENATE("R",ROW(DataColumns[#Headers]),"C",COLUMN(),":R",ROW()-1,"C",COLUMN()),FALSE))+1),"")</f>
        <v/>
      </c>
      <c r="AC41" s="131" t="str">
        <f>IF(DataColumns[[#This Row],[ColumnType]]="ResultValue",CONCATENATE(DataColumns[[#This Row],[ColumnType]],DataColumns[[#This Row],[ColumnLabel]]),CONCATENATE(DataColumns[[#This Row],[ColumnType]],DataColumns[[#This Row],[AppliesToColumn]]))</f>
        <v/>
      </c>
    </row>
    <row r="42" spans="1:29" x14ac:dyDescent="0.25">
      <c r="A42" s="51" t="str">
        <f ca="1">IF(COUNTA(DataColumns[[#This Row],[ColumnLabel]:[QualityCodeCV]])&gt;0,IF(MAX(INDIRECT(CONCATENATE("R",ROW(DataColumns[#Headers]),"C",COLUMN(),":R",ROW()-1,"C",COLUMN()),FALSE))=0,1,MAX(INDIRECT(CONCATENATE("R",ROW(DataColumns[#Headers]),"C",COLUMN(),":R",ROW()-1,"C",COLUMN()),FALSE))+1),"")</f>
        <v/>
      </c>
      <c r="B42" s="109"/>
      <c r="C42" s="10"/>
      <c r="D42" s="160"/>
      <c r="E42" s="165"/>
      <c r="F42" s="144"/>
      <c r="G42" s="9"/>
      <c r="H42" s="10"/>
      <c r="I42" s="10"/>
      <c r="J42" s="10"/>
      <c r="K42" s="35"/>
      <c r="L42" s="10"/>
      <c r="M42" s="138"/>
      <c r="N42" s="109"/>
      <c r="O42" s="9"/>
      <c r="P42" s="10"/>
      <c r="Q42" s="10"/>
      <c r="R42" s="21"/>
      <c r="S42" s="21"/>
      <c r="T42" s="10"/>
      <c r="U42" s="10"/>
      <c r="V42" s="10"/>
      <c r="W42" s="10"/>
      <c r="X42" s="21"/>
      <c r="Y42" s="10"/>
      <c r="Z42" s="10"/>
      <c r="AA42" s="10"/>
      <c r="AB42" s="182" t="str">
        <f ca="1">IF(DataColumns[[#This Row],[ColumnType]]="ResultValue",IF(MAX(INDIRECT(CONCATENATE("R",ROW(DataColumns[#Headers]),"C",COLUMN(),":R",ROW()-1,"C",COLUMN()),FALSE))=0,1,MAX(INDIRECT(CONCATENATE("R",ROW(DataColumns[#Headers]),"C",COLUMN(),":R",ROW()-1,"C",COLUMN()),FALSE))+1),"")</f>
        <v/>
      </c>
      <c r="AC42" s="131" t="str">
        <f>IF(DataColumns[[#This Row],[ColumnType]]="ResultValue",CONCATENATE(DataColumns[[#This Row],[ColumnType]],DataColumns[[#This Row],[ColumnLabel]]),CONCATENATE(DataColumns[[#This Row],[ColumnType]],DataColumns[[#This Row],[AppliesToColumn]]))</f>
        <v/>
      </c>
    </row>
    <row r="43" spans="1:29" x14ac:dyDescent="0.25">
      <c r="A43" s="51" t="str">
        <f ca="1">IF(COUNTA(DataColumns[[#This Row],[ColumnLabel]:[QualityCodeCV]])&gt;0,IF(MAX(INDIRECT(CONCATENATE("R",ROW(DataColumns[#Headers]),"C",COLUMN(),":R",ROW()-1,"C",COLUMN()),FALSE))=0,1,MAX(INDIRECT(CONCATENATE("R",ROW(DataColumns[#Headers]),"C",COLUMN(),":R",ROW()-1,"C",COLUMN()),FALSE))+1),"")</f>
        <v/>
      </c>
      <c r="B43" s="109"/>
      <c r="C43" s="10"/>
      <c r="D43" s="160"/>
      <c r="E43" s="165"/>
      <c r="F43" s="144"/>
      <c r="G43" s="9"/>
      <c r="H43" s="10"/>
      <c r="I43" s="10"/>
      <c r="J43" s="10"/>
      <c r="K43" s="35"/>
      <c r="L43" s="10"/>
      <c r="M43" s="138"/>
      <c r="N43" s="109"/>
      <c r="O43" s="9"/>
      <c r="P43" s="10"/>
      <c r="Q43" s="10"/>
      <c r="R43" s="21"/>
      <c r="S43" s="21"/>
      <c r="T43" s="10"/>
      <c r="U43" s="10"/>
      <c r="V43" s="10"/>
      <c r="W43" s="10"/>
      <c r="X43" s="21"/>
      <c r="Y43" s="10"/>
      <c r="Z43" s="10"/>
      <c r="AA43" s="10"/>
      <c r="AB43" s="182" t="str">
        <f ca="1">IF(DataColumns[[#This Row],[ColumnType]]="ResultValue",IF(MAX(INDIRECT(CONCATENATE("R",ROW(DataColumns[#Headers]),"C",COLUMN(),":R",ROW()-1,"C",COLUMN()),FALSE))=0,1,MAX(INDIRECT(CONCATENATE("R",ROW(DataColumns[#Headers]),"C",COLUMN(),":R",ROW()-1,"C",COLUMN()),FALSE))+1),"")</f>
        <v/>
      </c>
      <c r="AC43" s="131" t="str">
        <f>IF(DataColumns[[#This Row],[ColumnType]]="ResultValue",CONCATENATE(DataColumns[[#This Row],[ColumnType]],DataColumns[[#This Row],[ColumnLabel]]),CONCATENATE(DataColumns[[#This Row],[ColumnType]],DataColumns[[#This Row],[AppliesToColumn]]))</f>
        <v/>
      </c>
    </row>
    <row r="44" spans="1:29" x14ac:dyDescent="0.25">
      <c r="A44" s="51" t="str">
        <f ca="1">IF(COUNTA(DataColumns[[#This Row],[ColumnLabel]:[QualityCodeCV]])&gt;0,IF(MAX(INDIRECT(CONCATENATE("R",ROW(DataColumns[#Headers]),"C",COLUMN(),":R",ROW()-1,"C",COLUMN()),FALSE))=0,1,MAX(INDIRECT(CONCATENATE("R",ROW(DataColumns[#Headers]),"C",COLUMN(),":R",ROW()-1,"C",COLUMN()),FALSE))+1),"")</f>
        <v/>
      </c>
      <c r="B44" s="109"/>
      <c r="C44" s="10"/>
      <c r="D44" s="160"/>
      <c r="E44" s="165"/>
      <c r="F44" s="144"/>
      <c r="G44" s="9"/>
      <c r="H44" s="10"/>
      <c r="I44" s="10"/>
      <c r="J44" s="10"/>
      <c r="K44" s="35"/>
      <c r="L44" s="10"/>
      <c r="M44" s="138"/>
      <c r="N44" s="109"/>
      <c r="O44" s="9"/>
      <c r="P44" s="10"/>
      <c r="Q44" s="10"/>
      <c r="R44" s="21"/>
      <c r="S44" s="21"/>
      <c r="T44" s="10"/>
      <c r="U44" s="10"/>
      <c r="V44" s="10"/>
      <c r="W44" s="10"/>
      <c r="X44" s="21"/>
      <c r="Y44" s="10"/>
      <c r="Z44" s="10"/>
      <c r="AA44" s="10"/>
      <c r="AB44" s="182" t="str">
        <f ca="1">IF(DataColumns[[#This Row],[ColumnType]]="ResultValue",IF(MAX(INDIRECT(CONCATENATE("R",ROW(DataColumns[#Headers]),"C",COLUMN(),":R",ROW()-1,"C",COLUMN()),FALSE))=0,1,MAX(INDIRECT(CONCATENATE("R",ROW(DataColumns[#Headers]),"C",COLUMN(),":R",ROW()-1,"C",COLUMN()),FALSE))+1),"")</f>
        <v/>
      </c>
      <c r="AC44" s="131" t="str">
        <f>IF(DataColumns[[#This Row],[ColumnType]]="ResultValue",CONCATENATE(DataColumns[[#This Row],[ColumnType]],DataColumns[[#This Row],[ColumnLabel]]),CONCATENATE(DataColumns[[#This Row],[ColumnType]],DataColumns[[#This Row],[AppliesToColumn]]))</f>
        <v/>
      </c>
    </row>
    <row r="45" spans="1:29" x14ac:dyDescent="0.25">
      <c r="A45" s="51" t="str">
        <f ca="1">IF(COUNTA(DataColumns[[#This Row],[ColumnLabel]:[QualityCodeCV]])&gt;0,IF(MAX(INDIRECT(CONCATENATE("R",ROW(DataColumns[#Headers]),"C",COLUMN(),":R",ROW()-1,"C",COLUMN()),FALSE))=0,1,MAX(INDIRECT(CONCATENATE("R",ROW(DataColumns[#Headers]),"C",COLUMN(),":R",ROW()-1,"C",COLUMN()),FALSE))+1),"")</f>
        <v/>
      </c>
      <c r="B45" s="109"/>
      <c r="C45" s="10"/>
      <c r="D45" s="160"/>
      <c r="E45" s="165"/>
      <c r="F45" s="144"/>
      <c r="G45" s="9"/>
      <c r="H45" s="10"/>
      <c r="I45" s="10"/>
      <c r="J45" s="10"/>
      <c r="K45" s="35"/>
      <c r="L45" s="10"/>
      <c r="M45" s="138"/>
      <c r="N45" s="109"/>
      <c r="O45" s="9"/>
      <c r="P45" s="10"/>
      <c r="Q45" s="10"/>
      <c r="R45" s="21"/>
      <c r="S45" s="21"/>
      <c r="T45" s="10"/>
      <c r="U45" s="10"/>
      <c r="V45" s="10"/>
      <c r="W45" s="10"/>
      <c r="X45" s="21"/>
      <c r="Y45" s="10"/>
      <c r="Z45" s="10"/>
      <c r="AA45" s="10"/>
      <c r="AB45" s="182" t="str">
        <f ca="1">IF(DataColumns[[#This Row],[ColumnType]]="ResultValue",IF(MAX(INDIRECT(CONCATENATE("R",ROW(DataColumns[#Headers]),"C",COLUMN(),":R",ROW()-1,"C",COLUMN()),FALSE))=0,1,MAX(INDIRECT(CONCATENATE("R",ROW(DataColumns[#Headers]),"C",COLUMN(),":R",ROW()-1,"C",COLUMN()),FALSE))+1),"")</f>
        <v/>
      </c>
      <c r="AC45" s="131" t="str">
        <f>IF(DataColumns[[#This Row],[ColumnType]]="ResultValue",CONCATENATE(DataColumns[[#This Row],[ColumnType]],DataColumns[[#This Row],[ColumnLabel]]),CONCATENATE(DataColumns[[#This Row],[ColumnType]],DataColumns[[#This Row],[AppliesToColumn]]))</f>
        <v/>
      </c>
    </row>
    <row r="46" spans="1:29" x14ac:dyDescent="0.25">
      <c r="A46" s="51" t="str">
        <f ca="1">IF(COUNTA(DataColumns[[#This Row],[ColumnLabel]:[QualityCodeCV]])&gt;0,IF(MAX(INDIRECT(CONCATENATE("R",ROW(DataColumns[#Headers]),"C",COLUMN(),":R",ROW()-1,"C",COLUMN()),FALSE))=0,1,MAX(INDIRECT(CONCATENATE("R",ROW(DataColumns[#Headers]),"C",COLUMN(),":R",ROW()-1,"C",COLUMN()),FALSE))+1),"")</f>
        <v/>
      </c>
      <c r="B46" s="109"/>
      <c r="C46" s="10"/>
      <c r="D46" s="160"/>
      <c r="E46" s="165"/>
      <c r="F46" s="144"/>
      <c r="G46" s="9"/>
      <c r="H46" s="10"/>
      <c r="I46" s="10"/>
      <c r="J46" s="10"/>
      <c r="K46" s="35"/>
      <c r="L46" s="10"/>
      <c r="M46" s="138"/>
      <c r="N46" s="109"/>
      <c r="O46" s="9"/>
      <c r="P46" s="10"/>
      <c r="Q46" s="10"/>
      <c r="R46" s="21"/>
      <c r="S46" s="21"/>
      <c r="T46" s="10"/>
      <c r="U46" s="10"/>
      <c r="V46" s="10"/>
      <c r="W46" s="10"/>
      <c r="X46" s="21"/>
      <c r="Y46" s="10"/>
      <c r="Z46" s="10"/>
      <c r="AA46" s="10"/>
      <c r="AB46" s="182" t="str">
        <f ca="1">IF(DataColumns[[#This Row],[ColumnType]]="ResultValue",IF(MAX(INDIRECT(CONCATENATE("R",ROW(DataColumns[#Headers]),"C",COLUMN(),":R",ROW()-1,"C",COLUMN()),FALSE))=0,1,MAX(INDIRECT(CONCATENATE("R",ROW(DataColumns[#Headers]),"C",COLUMN(),":R",ROW()-1,"C",COLUMN()),FALSE))+1),"")</f>
        <v/>
      </c>
      <c r="AC46" s="131" t="str">
        <f>IF(DataColumns[[#This Row],[ColumnType]]="ResultValue",CONCATENATE(DataColumns[[#This Row],[ColumnType]],DataColumns[[#This Row],[ColumnLabel]]),CONCATENATE(DataColumns[[#This Row],[ColumnType]],DataColumns[[#This Row],[AppliesToColumn]]))</f>
        <v/>
      </c>
    </row>
    <row r="47" spans="1:29" x14ac:dyDescent="0.25">
      <c r="A47" s="51" t="str">
        <f ca="1">IF(COUNTA(DataColumns[[#This Row],[ColumnLabel]:[QualityCodeCV]])&gt;0,IF(MAX(INDIRECT(CONCATENATE("R",ROW(DataColumns[#Headers]),"C",COLUMN(),":R",ROW()-1,"C",COLUMN()),FALSE))=0,1,MAX(INDIRECT(CONCATENATE("R",ROW(DataColumns[#Headers]),"C",COLUMN(),":R",ROW()-1,"C",COLUMN()),FALSE))+1),"")</f>
        <v/>
      </c>
      <c r="B47" s="109"/>
      <c r="C47" s="10"/>
      <c r="D47" s="160"/>
      <c r="E47" s="165"/>
      <c r="F47" s="144"/>
      <c r="G47" s="9"/>
      <c r="H47" s="10"/>
      <c r="I47" s="10"/>
      <c r="J47" s="10"/>
      <c r="K47" s="35"/>
      <c r="L47" s="10"/>
      <c r="M47" s="138"/>
      <c r="N47" s="109"/>
      <c r="O47" s="9"/>
      <c r="P47" s="10"/>
      <c r="Q47" s="10"/>
      <c r="R47" s="21"/>
      <c r="S47" s="21"/>
      <c r="T47" s="10"/>
      <c r="U47" s="10"/>
      <c r="V47" s="10"/>
      <c r="W47" s="10"/>
      <c r="X47" s="21"/>
      <c r="Y47" s="10"/>
      <c r="Z47" s="10"/>
      <c r="AA47" s="10"/>
      <c r="AB47" s="182" t="str">
        <f ca="1">IF(DataColumns[[#This Row],[ColumnType]]="ResultValue",IF(MAX(INDIRECT(CONCATENATE("R",ROW(DataColumns[#Headers]),"C",COLUMN(),":R",ROW()-1,"C",COLUMN()),FALSE))=0,1,MAX(INDIRECT(CONCATENATE("R",ROW(DataColumns[#Headers]),"C",COLUMN(),":R",ROW()-1,"C",COLUMN()),FALSE))+1),"")</f>
        <v/>
      </c>
      <c r="AC47" s="131" t="str">
        <f>IF(DataColumns[[#This Row],[ColumnType]]="ResultValue",CONCATENATE(DataColumns[[#This Row],[ColumnType]],DataColumns[[#This Row],[ColumnLabel]]),CONCATENATE(DataColumns[[#This Row],[ColumnType]],DataColumns[[#This Row],[AppliesToColumn]]))</f>
        <v/>
      </c>
    </row>
    <row r="48" spans="1:29" x14ac:dyDescent="0.25">
      <c r="A48" s="51" t="str">
        <f ca="1">IF(COUNTA(DataColumns[[#This Row],[ColumnLabel]:[QualityCodeCV]])&gt;0,IF(MAX(INDIRECT(CONCATENATE("R",ROW(DataColumns[#Headers]),"C",COLUMN(),":R",ROW()-1,"C",COLUMN()),FALSE))=0,1,MAX(INDIRECT(CONCATENATE("R",ROW(DataColumns[#Headers]),"C",COLUMN(),":R",ROW()-1,"C",COLUMN()),FALSE))+1),"")</f>
        <v/>
      </c>
      <c r="B48" s="109"/>
      <c r="C48" s="10"/>
      <c r="D48" s="160"/>
      <c r="E48" s="165"/>
      <c r="F48" s="144"/>
      <c r="G48" s="9"/>
      <c r="H48" s="10"/>
      <c r="I48" s="10"/>
      <c r="J48" s="10"/>
      <c r="K48" s="35"/>
      <c r="L48" s="10"/>
      <c r="M48" s="138"/>
      <c r="N48" s="109"/>
      <c r="O48" s="9"/>
      <c r="P48" s="10"/>
      <c r="Q48" s="10"/>
      <c r="R48" s="21"/>
      <c r="S48" s="21"/>
      <c r="T48" s="10"/>
      <c r="U48" s="10"/>
      <c r="V48" s="10"/>
      <c r="W48" s="10"/>
      <c r="X48" s="21"/>
      <c r="Y48" s="10"/>
      <c r="Z48" s="10"/>
      <c r="AA48" s="10"/>
      <c r="AB48" s="182" t="str">
        <f ca="1">IF(DataColumns[[#This Row],[ColumnType]]="ResultValue",IF(MAX(INDIRECT(CONCATENATE("R",ROW(DataColumns[#Headers]),"C",COLUMN(),":R",ROW()-1,"C",COLUMN()),FALSE))=0,1,MAX(INDIRECT(CONCATENATE("R",ROW(DataColumns[#Headers]),"C",COLUMN(),":R",ROW()-1,"C",COLUMN()),FALSE))+1),"")</f>
        <v/>
      </c>
      <c r="AC48" s="131" t="str">
        <f>IF(DataColumns[[#This Row],[ColumnType]]="ResultValue",CONCATENATE(DataColumns[[#This Row],[ColumnType]],DataColumns[[#This Row],[ColumnLabel]]),CONCATENATE(DataColumns[[#This Row],[ColumnType]],DataColumns[[#This Row],[AppliesToColumn]]))</f>
        <v/>
      </c>
    </row>
    <row r="49" spans="1:29" x14ac:dyDescent="0.25">
      <c r="A49" s="51" t="str">
        <f ca="1">IF(COUNTA(DataColumns[[#This Row],[ColumnLabel]:[QualityCodeCV]])&gt;0,IF(MAX(INDIRECT(CONCATENATE("R",ROW(DataColumns[#Headers]),"C",COLUMN(),":R",ROW()-1,"C",COLUMN()),FALSE))=0,1,MAX(INDIRECT(CONCATENATE("R",ROW(DataColumns[#Headers]),"C",COLUMN(),":R",ROW()-1,"C",COLUMN()),FALSE))+1),"")</f>
        <v/>
      </c>
      <c r="B49" s="109"/>
      <c r="C49" s="10"/>
      <c r="D49" s="160"/>
      <c r="E49" s="165"/>
      <c r="F49" s="144"/>
      <c r="G49" s="9"/>
      <c r="H49" s="10"/>
      <c r="I49" s="10"/>
      <c r="J49" s="10"/>
      <c r="K49" s="35"/>
      <c r="L49" s="10"/>
      <c r="M49" s="138"/>
      <c r="N49" s="109"/>
      <c r="O49" s="9"/>
      <c r="P49" s="10"/>
      <c r="Q49" s="10"/>
      <c r="R49" s="21"/>
      <c r="S49" s="21"/>
      <c r="T49" s="10"/>
      <c r="U49" s="10"/>
      <c r="V49" s="10"/>
      <c r="W49" s="10"/>
      <c r="X49" s="21"/>
      <c r="Y49" s="10"/>
      <c r="Z49" s="10"/>
      <c r="AA49" s="10"/>
      <c r="AB49" s="182" t="str">
        <f ca="1">IF(DataColumns[[#This Row],[ColumnType]]="ResultValue",IF(MAX(INDIRECT(CONCATENATE("R",ROW(DataColumns[#Headers]),"C",COLUMN(),":R",ROW()-1,"C",COLUMN()),FALSE))=0,1,MAX(INDIRECT(CONCATENATE("R",ROW(DataColumns[#Headers]),"C",COLUMN(),":R",ROW()-1,"C",COLUMN()),FALSE))+1),"")</f>
        <v/>
      </c>
      <c r="AC49" s="131" t="str">
        <f>IF(DataColumns[[#This Row],[ColumnType]]="ResultValue",CONCATENATE(DataColumns[[#This Row],[ColumnType]],DataColumns[[#This Row],[ColumnLabel]]),CONCATENATE(DataColumns[[#This Row],[ColumnType]],DataColumns[[#This Row],[AppliesToColumn]]))</f>
        <v/>
      </c>
    </row>
    <row r="50" spans="1:29" x14ac:dyDescent="0.25">
      <c r="A50" s="51" t="str">
        <f ca="1">IF(COUNTA(DataColumns[[#This Row],[ColumnLabel]:[QualityCodeCV]])&gt;0,IF(MAX(INDIRECT(CONCATENATE("R",ROW(DataColumns[#Headers]),"C",COLUMN(),":R",ROW()-1,"C",COLUMN()),FALSE))=0,1,MAX(INDIRECT(CONCATENATE("R",ROW(DataColumns[#Headers]),"C",COLUMN(),":R",ROW()-1,"C",COLUMN()),FALSE))+1),"")</f>
        <v/>
      </c>
      <c r="B50" s="109"/>
      <c r="C50" s="10"/>
      <c r="D50" s="160"/>
      <c r="E50" s="165"/>
      <c r="F50" s="144"/>
      <c r="G50" s="9"/>
      <c r="H50" s="10"/>
      <c r="I50" s="10"/>
      <c r="J50" s="10"/>
      <c r="K50" s="35"/>
      <c r="L50" s="10"/>
      <c r="M50" s="138"/>
      <c r="N50" s="109"/>
      <c r="O50" s="9"/>
      <c r="P50" s="10"/>
      <c r="Q50" s="10"/>
      <c r="R50" s="21"/>
      <c r="S50" s="21"/>
      <c r="T50" s="10"/>
      <c r="U50" s="10"/>
      <c r="V50" s="10"/>
      <c r="W50" s="10"/>
      <c r="X50" s="21"/>
      <c r="Y50" s="10"/>
      <c r="Z50" s="10"/>
      <c r="AA50" s="10"/>
      <c r="AB50" s="182" t="str">
        <f ca="1">IF(DataColumns[[#This Row],[ColumnType]]="ResultValue",IF(MAX(INDIRECT(CONCATENATE("R",ROW(DataColumns[#Headers]),"C",COLUMN(),":R",ROW()-1,"C",COLUMN()),FALSE))=0,1,MAX(INDIRECT(CONCATENATE("R",ROW(DataColumns[#Headers]),"C",COLUMN(),":R",ROW()-1,"C",COLUMN()),FALSE))+1),"")</f>
        <v/>
      </c>
      <c r="AC50" s="131" t="str">
        <f>IF(DataColumns[[#This Row],[ColumnType]]="ResultValue",CONCATENATE(DataColumns[[#This Row],[ColumnType]],DataColumns[[#This Row],[ColumnLabel]]),CONCATENATE(DataColumns[[#This Row],[ColumnType]],DataColumns[[#This Row],[AppliesToColumn]]))</f>
        <v/>
      </c>
    </row>
    <row r="51" spans="1:29" x14ac:dyDescent="0.25">
      <c r="A51" s="51" t="str">
        <f ca="1">IF(COUNTA(DataColumns[[#This Row],[ColumnLabel]:[QualityCodeCV]])&gt;0,IF(MAX(INDIRECT(CONCATENATE("R",ROW(DataColumns[#Headers]),"C",COLUMN(),":R",ROW()-1,"C",COLUMN()),FALSE))=0,1,MAX(INDIRECT(CONCATENATE("R",ROW(DataColumns[#Headers]),"C",COLUMN(),":R",ROW()-1,"C",COLUMN()),FALSE))+1),"")</f>
        <v/>
      </c>
      <c r="B51" s="109"/>
      <c r="C51" s="10"/>
      <c r="D51" s="160"/>
      <c r="E51" s="165"/>
      <c r="F51" s="144"/>
      <c r="G51" s="9"/>
      <c r="H51" s="10"/>
      <c r="I51" s="10"/>
      <c r="J51" s="10"/>
      <c r="K51" s="35"/>
      <c r="L51" s="10"/>
      <c r="M51" s="138"/>
      <c r="N51" s="109"/>
      <c r="O51" s="9"/>
      <c r="P51" s="10"/>
      <c r="Q51" s="10"/>
      <c r="R51" s="21"/>
      <c r="S51" s="21"/>
      <c r="T51" s="10"/>
      <c r="U51" s="10"/>
      <c r="V51" s="10"/>
      <c r="W51" s="10"/>
      <c r="X51" s="21"/>
      <c r="Y51" s="10"/>
      <c r="Z51" s="10"/>
      <c r="AA51" s="10"/>
      <c r="AB51" s="182" t="str">
        <f ca="1">IF(DataColumns[[#This Row],[ColumnType]]="ResultValue",IF(MAX(INDIRECT(CONCATENATE("R",ROW(DataColumns[#Headers]),"C",COLUMN(),":R",ROW()-1,"C",COLUMN()),FALSE))=0,1,MAX(INDIRECT(CONCATENATE("R",ROW(DataColumns[#Headers]),"C",COLUMN(),":R",ROW()-1,"C",COLUMN()),FALSE))+1),"")</f>
        <v/>
      </c>
      <c r="AC51" s="131" t="str">
        <f>IF(DataColumns[[#This Row],[ColumnType]]="ResultValue",CONCATENATE(DataColumns[[#This Row],[ColumnType]],DataColumns[[#This Row],[ColumnLabel]]),CONCATENATE(DataColumns[[#This Row],[ColumnType]],DataColumns[[#This Row],[AppliesToColumn]]))</f>
        <v/>
      </c>
    </row>
    <row r="52" spans="1:29" x14ac:dyDescent="0.25">
      <c r="A52" s="51" t="str">
        <f ca="1">IF(COUNTA(DataColumns[[#This Row],[ColumnLabel]:[QualityCodeCV]])&gt;0,IF(MAX(INDIRECT(CONCATENATE("R",ROW(DataColumns[#Headers]),"C",COLUMN(),":R",ROW()-1,"C",COLUMN()),FALSE))=0,1,MAX(INDIRECT(CONCATENATE("R",ROW(DataColumns[#Headers]),"C",COLUMN(),":R",ROW()-1,"C",COLUMN()),FALSE))+1),"")</f>
        <v/>
      </c>
      <c r="B52" s="109"/>
      <c r="C52" s="10"/>
      <c r="D52" s="160"/>
      <c r="E52" s="165"/>
      <c r="F52" s="144"/>
      <c r="G52" s="9"/>
      <c r="H52" s="10"/>
      <c r="I52" s="10"/>
      <c r="J52" s="10"/>
      <c r="K52" s="35"/>
      <c r="L52" s="10"/>
      <c r="M52" s="138"/>
      <c r="N52" s="109"/>
      <c r="O52" s="9"/>
      <c r="P52" s="10"/>
      <c r="Q52" s="10"/>
      <c r="R52" s="21"/>
      <c r="S52" s="21"/>
      <c r="T52" s="10"/>
      <c r="U52" s="10"/>
      <c r="V52" s="10"/>
      <c r="W52" s="10"/>
      <c r="X52" s="21"/>
      <c r="Y52" s="10"/>
      <c r="Z52" s="10"/>
      <c r="AA52" s="10"/>
      <c r="AB52" s="182" t="str">
        <f ca="1">IF(DataColumns[[#This Row],[ColumnType]]="ResultValue",IF(MAX(INDIRECT(CONCATENATE("R",ROW(DataColumns[#Headers]),"C",COLUMN(),":R",ROW()-1,"C",COLUMN()),FALSE))=0,1,MAX(INDIRECT(CONCATENATE("R",ROW(DataColumns[#Headers]),"C",COLUMN(),":R",ROW()-1,"C",COLUMN()),FALSE))+1),"")</f>
        <v/>
      </c>
      <c r="AC52" s="131" t="str">
        <f>IF(DataColumns[[#This Row],[ColumnType]]="ResultValue",CONCATENATE(DataColumns[[#This Row],[ColumnType]],DataColumns[[#This Row],[ColumnLabel]]),CONCATENATE(DataColumns[[#This Row],[ColumnType]],DataColumns[[#This Row],[AppliesToColumn]]))</f>
        <v/>
      </c>
    </row>
    <row r="53" spans="1:29" x14ac:dyDescent="0.25">
      <c r="A53" s="51" t="str">
        <f ca="1">IF(COUNTA(DataColumns[[#This Row],[ColumnLabel]:[QualityCodeCV]])&gt;0,IF(MAX(INDIRECT(CONCATENATE("R",ROW(DataColumns[#Headers]),"C",COLUMN(),":R",ROW()-1,"C",COLUMN()),FALSE))=0,1,MAX(INDIRECT(CONCATENATE("R",ROW(DataColumns[#Headers]),"C",COLUMN(),":R",ROW()-1,"C",COLUMN()),FALSE))+1),"")</f>
        <v/>
      </c>
      <c r="B53" s="109"/>
      <c r="C53" s="10"/>
      <c r="D53" s="160"/>
      <c r="E53" s="165"/>
      <c r="F53" s="144"/>
      <c r="G53" s="9"/>
      <c r="H53" s="10"/>
      <c r="I53" s="10"/>
      <c r="J53" s="10"/>
      <c r="K53" s="35"/>
      <c r="L53" s="10"/>
      <c r="M53" s="138"/>
      <c r="N53" s="109"/>
      <c r="O53" s="9"/>
      <c r="P53" s="10"/>
      <c r="Q53" s="10"/>
      <c r="R53" s="21"/>
      <c r="S53" s="21"/>
      <c r="T53" s="10"/>
      <c r="U53" s="10"/>
      <c r="V53" s="10"/>
      <c r="W53" s="10"/>
      <c r="X53" s="21"/>
      <c r="Y53" s="10"/>
      <c r="Z53" s="10"/>
      <c r="AA53" s="10"/>
      <c r="AB53" s="182" t="str">
        <f ca="1">IF(DataColumns[[#This Row],[ColumnType]]="ResultValue",IF(MAX(INDIRECT(CONCATENATE("R",ROW(DataColumns[#Headers]),"C",COLUMN(),":R",ROW()-1,"C",COLUMN()),FALSE))=0,1,MAX(INDIRECT(CONCATENATE("R",ROW(DataColumns[#Headers]),"C",COLUMN(),":R",ROW()-1,"C",COLUMN()),FALSE))+1),"")</f>
        <v/>
      </c>
      <c r="AC53" s="131" t="str">
        <f>IF(DataColumns[[#This Row],[ColumnType]]="ResultValue",CONCATENATE(DataColumns[[#This Row],[ColumnType]],DataColumns[[#This Row],[ColumnLabel]]),CONCATENATE(DataColumns[[#This Row],[ColumnType]],DataColumns[[#This Row],[AppliesToColumn]]))</f>
        <v/>
      </c>
    </row>
    <row r="54" spans="1:29" x14ac:dyDescent="0.25">
      <c r="A54" s="51" t="str">
        <f ca="1">IF(COUNTA(DataColumns[[#This Row],[ColumnLabel]:[QualityCodeCV]])&gt;0,IF(MAX(INDIRECT(CONCATENATE("R",ROW(DataColumns[#Headers]),"C",COLUMN(),":R",ROW()-1,"C",COLUMN()),FALSE))=0,1,MAX(INDIRECT(CONCATENATE("R",ROW(DataColumns[#Headers]),"C",COLUMN(),":R",ROW()-1,"C",COLUMN()),FALSE))+1),"")</f>
        <v/>
      </c>
      <c r="B54" s="109"/>
      <c r="C54" s="10"/>
      <c r="D54" s="160"/>
      <c r="E54" s="165"/>
      <c r="F54" s="144"/>
      <c r="G54" s="9"/>
      <c r="H54" s="10"/>
      <c r="I54" s="10"/>
      <c r="J54" s="10"/>
      <c r="K54" s="35"/>
      <c r="L54" s="10"/>
      <c r="M54" s="138"/>
      <c r="N54" s="109"/>
      <c r="O54" s="9"/>
      <c r="P54" s="10"/>
      <c r="Q54" s="10"/>
      <c r="R54" s="21"/>
      <c r="S54" s="21"/>
      <c r="T54" s="10"/>
      <c r="U54" s="10"/>
      <c r="V54" s="10"/>
      <c r="W54" s="10"/>
      <c r="X54" s="21"/>
      <c r="Y54" s="10"/>
      <c r="Z54" s="10"/>
      <c r="AA54" s="10"/>
      <c r="AB54" s="182" t="str">
        <f ca="1">IF(DataColumns[[#This Row],[ColumnType]]="ResultValue",IF(MAX(INDIRECT(CONCATENATE("R",ROW(DataColumns[#Headers]),"C",COLUMN(),":R",ROW()-1,"C",COLUMN()),FALSE))=0,1,MAX(INDIRECT(CONCATENATE("R",ROW(DataColumns[#Headers]),"C",COLUMN(),":R",ROW()-1,"C",COLUMN()),FALSE))+1),"")</f>
        <v/>
      </c>
      <c r="AC54" s="131" t="str">
        <f>IF(DataColumns[[#This Row],[ColumnType]]="ResultValue",CONCATENATE(DataColumns[[#This Row],[ColumnType]],DataColumns[[#This Row],[ColumnLabel]]),CONCATENATE(DataColumns[[#This Row],[ColumnType]],DataColumns[[#This Row],[AppliesToColumn]]))</f>
        <v/>
      </c>
    </row>
    <row r="55" spans="1:29" x14ac:dyDescent="0.25">
      <c r="A55" s="51" t="str">
        <f ca="1">IF(COUNTA(DataColumns[[#This Row],[ColumnLabel]:[QualityCodeCV]])&gt;0,IF(MAX(INDIRECT(CONCATENATE("R",ROW(DataColumns[#Headers]),"C",COLUMN(),":R",ROW()-1,"C",COLUMN()),FALSE))=0,1,MAX(INDIRECT(CONCATENATE("R",ROW(DataColumns[#Headers]),"C",COLUMN(),":R",ROW()-1,"C",COLUMN()),FALSE))+1),"")</f>
        <v/>
      </c>
      <c r="B55" s="109"/>
      <c r="C55" s="10"/>
      <c r="D55" s="160"/>
      <c r="E55" s="165"/>
      <c r="F55" s="144"/>
      <c r="G55" s="9"/>
      <c r="H55" s="10"/>
      <c r="I55" s="10"/>
      <c r="J55" s="10"/>
      <c r="K55" s="35"/>
      <c r="L55" s="10"/>
      <c r="M55" s="138"/>
      <c r="N55" s="109"/>
      <c r="O55" s="9"/>
      <c r="P55" s="10"/>
      <c r="Q55" s="10"/>
      <c r="R55" s="21"/>
      <c r="S55" s="21"/>
      <c r="T55" s="10"/>
      <c r="U55" s="10"/>
      <c r="V55" s="10"/>
      <c r="W55" s="10"/>
      <c r="X55" s="21"/>
      <c r="Y55" s="10"/>
      <c r="Z55" s="10"/>
      <c r="AA55" s="10"/>
      <c r="AB55" s="182" t="str">
        <f ca="1">IF(DataColumns[[#This Row],[ColumnType]]="ResultValue",IF(MAX(INDIRECT(CONCATENATE("R",ROW(DataColumns[#Headers]),"C",COLUMN(),":R",ROW()-1,"C",COLUMN()),FALSE))=0,1,MAX(INDIRECT(CONCATENATE("R",ROW(DataColumns[#Headers]),"C",COLUMN(),":R",ROW()-1,"C",COLUMN()),FALSE))+1),"")</f>
        <v/>
      </c>
      <c r="AC55" s="131" t="str">
        <f>IF(DataColumns[[#This Row],[ColumnType]]="ResultValue",CONCATENATE(DataColumns[[#This Row],[ColumnType]],DataColumns[[#This Row],[ColumnLabel]]),CONCATENATE(DataColumns[[#This Row],[ColumnType]],DataColumns[[#This Row],[AppliesToColumn]]))</f>
        <v/>
      </c>
    </row>
    <row r="56" spans="1:29" x14ac:dyDescent="0.25">
      <c r="A56" s="51" t="str">
        <f ca="1">IF(COUNTA(DataColumns[[#This Row],[ColumnLabel]:[QualityCodeCV]])&gt;0,IF(MAX(INDIRECT(CONCATENATE("R",ROW(DataColumns[#Headers]),"C",COLUMN(),":R",ROW()-1,"C",COLUMN()),FALSE))=0,1,MAX(INDIRECT(CONCATENATE("R",ROW(DataColumns[#Headers]),"C",COLUMN(),":R",ROW()-1,"C",COLUMN()),FALSE))+1),"")</f>
        <v/>
      </c>
      <c r="B56" s="109"/>
      <c r="C56" s="10"/>
      <c r="D56" s="160"/>
      <c r="E56" s="165"/>
      <c r="F56" s="144"/>
      <c r="G56" s="9"/>
      <c r="H56" s="10"/>
      <c r="I56" s="10"/>
      <c r="J56" s="10"/>
      <c r="K56" s="35"/>
      <c r="L56" s="10"/>
      <c r="M56" s="138"/>
      <c r="N56" s="109"/>
      <c r="O56" s="9"/>
      <c r="P56" s="10"/>
      <c r="Q56" s="10"/>
      <c r="R56" s="21"/>
      <c r="S56" s="21"/>
      <c r="T56" s="10"/>
      <c r="U56" s="10"/>
      <c r="V56" s="10"/>
      <c r="W56" s="10"/>
      <c r="X56" s="21"/>
      <c r="Y56" s="10"/>
      <c r="Z56" s="10"/>
      <c r="AA56" s="10"/>
      <c r="AB56" s="182" t="str">
        <f ca="1">IF(DataColumns[[#This Row],[ColumnType]]="ResultValue",IF(MAX(INDIRECT(CONCATENATE("R",ROW(DataColumns[#Headers]),"C",COLUMN(),":R",ROW()-1,"C",COLUMN()),FALSE))=0,1,MAX(INDIRECT(CONCATENATE("R",ROW(DataColumns[#Headers]),"C",COLUMN(),":R",ROW()-1,"C",COLUMN()),FALSE))+1),"")</f>
        <v/>
      </c>
      <c r="AC56" s="131" t="str">
        <f>IF(DataColumns[[#This Row],[ColumnType]]="ResultValue",CONCATENATE(DataColumns[[#This Row],[ColumnType]],DataColumns[[#This Row],[ColumnLabel]]),CONCATENATE(DataColumns[[#This Row],[ColumnType]],DataColumns[[#This Row],[AppliesToColumn]]))</f>
        <v/>
      </c>
    </row>
    <row r="57" spans="1:29" x14ac:dyDescent="0.25">
      <c r="A57" s="51" t="str">
        <f ca="1">IF(COUNTA(DataColumns[[#This Row],[ColumnLabel]:[QualityCodeCV]])&gt;0,IF(MAX(INDIRECT(CONCATENATE("R",ROW(DataColumns[#Headers]),"C",COLUMN(),":R",ROW()-1,"C",COLUMN()),FALSE))=0,1,MAX(INDIRECT(CONCATENATE("R",ROW(DataColumns[#Headers]),"C",COLUMN(),":R",ROW()-1,"C",COLUMN()),FALSE))+1),"")</f>
        <v/>
      </c>
      <c r="B57" s="109"/>
      <c r="C57" s="10"/>
      <c r="D57" s="160"/>
      <c r="E57" s="165"/>
      <c r="F57" s="144"/>
      <c r="G57" s="9"/>
      <c r="H57" s="10"/>
      <c r="I57" s="10"/>
      <c r="J57" s="10"/>
      <c r="K57" s="35"/>
      <c r="L57" s="10"/>
      <c r="M57" s="138"/>
      <c r="N57" s="109"/>
      <c r="O57" s="9"/>
      <c r="P57" s="10"/>
      <c r="Q57" s="10"/>
      <c r="R57" s="21"/>
      <c r="S57" s="21"/>
      <c r="T57" s="10"/>
      <c r="U57" s="10"/>
      <c r="V57" s="10"/>
      <c r="W57" s="10"/>
      <c r="X57" s="21"/>
      <c r="Y57" s="10"/>
      <c r="Z57" s="10"/>
      <c r="AA57" s="10"/>
      <c r="AB57" s="182" t="str">
        <f ca="1">IF(DataColumns[[#This Row],[ColumnType]]="ResultValue",IF(MAX(INDIRECT(CONCATENATE("R",ROW(DataColumns[#Headers]),"C",COLUMN(),":R",ROW()-1,"C",COLUMN()),FALSE))=0,1,MAX(INDIRECT(CONCATENATE("R",ROW(DataColumns[#Headers]),"C",COLUMN(),":R",ROW()-1,"C",COLUMN()),FALSE))+1),"")</f>
        <v/>
      </c>
      <c r="AC57" s="131" t="str">
        <f>IF(DataColumns[[#This Row],[ColumnType]]="ResultValue",CONCATENATE(DataColumns[[#This Row],[ColumnType]],DataColumns[[#This Row],[ColumnLabel]]),CONCATENATE(DataColumns[[#This Row],[ColumnType]],DataColumns[[#This Row],[AppliesToColumn]]))</f>
        <v/>
      </c>
    </row>
    <row r="58" spans="1:29" x14ac:dyDescent="0.25">
      <c r="A58" s="51" t="str">
        <f ca="1">IF(COUNTA(DataColumns[[#This Row],[ColumnLabel]:[QualityCodeCV]])&gt;0,IF(MAX(INDIRECT(CONCATENATE("R",ROW(DataColumns[#Headers]),"C",COLUMN(),":R",ROW()-1,"C",COLUMN()),FALSE))=0,1,MAX(INDIRECT(CONCATENATE("R",ROW(DataColumns[#Headers]),"C",COLUMN(),":R",ROW()-1,"C",COLUMN()),FALSE))+1),"")</f>
        <v/>
      </c>
      <c r="B58" s="109"/>
      <c r="C58" s="10"/>
      <c r="D58" s="160"/>
      <c r="E58" s="165"/>
      <c r="F58" s="144"/>
      <c r="G58" s="9"/>
      <c r="H58" s="10"/>
      <c r="I58" s="10"/>
      <c r="J58" s="10"/>
      <c r="K58" s="35"/>
      <c r="L58" s="10"/>
      <c r="M58" s="138"/>
      <c r="N58" s="109"/>
      <c r="O58" s="9"/>
      <c r="P58" s="10"/>
      <c r="Q58" s="10"/>
      <c r="R58" s="21"/>
      <c r="S58" s="21"/>
      <c r="T58" s="10"/>
      <c r="U58" s="10"/>
      <c r="V58" s="10"/>
      <c r="W58" s="10"/>
      <c r="X58" s="21"/>
      <c r="Y58" s="10"/>
      <c r="Z58" s="10"/>
      <c r="AA58" s="10"/>
      <c r="AB58" s="182" t="str">
        <f ca="1">IF(DataColumns[[#This Row],[ColumnType]]="ResultValue",IF(MAX(INDIRECT(CONCATENATE("R",ROW(DataColumns[#Headers]),"C",COLUMN(),":R",ROW()-1,"C",COLUMN()),FALSE))=0,1,MAX(INDIRECT(CONCATENATE("R",ROW(DataColumns[#Headers]),"C",COLUMN(),":R",ROW()-1,"C",COLUMN()),FALSE))+1),"")</f>
        <v/>
      </c>
      <c r="AC58" s="131" t="str">
        <f>IF(DataColumns[[#This Row],[ColumnType]]="ResultValue",CONCATENATE(DataColumns[[#This Row],[ColumnType]],DataColumns[[#This Row],[ColumnLabel]]),CONCATENATE(DataColumns[[#This Row],[ColumnType]],DataColumns[[#This Row],[AppliesToColumn]]))</f>
        <v/>
      </c>
    </row>
    <row r="59" spans="1:29" x14ac:dyDescent="0.25">
      <c r="A59" s="51" t="str">
        <f ca="1">IF(COUNTA(DataColumns[[#This Row],[ColumnLabel]:[QualityCodeCV]])&gt;0,IF(MAX(INDIRECT(CONCATENATE("R",ROW(DataColumns[#Headers]),"C",COLUMN(),":R",ROW()-1,"C",COLUMN()),FALSE))=0,1,MAX(INDIRECT(CONCATENATE("R",ROW(DataColumns[#Headers]),"C",COLUMN(),":R",ROW()-1,"C",COLUMN()),FALSE))+1),"")</f>
        <v/>
      </c>
      <c r="B59" s="109"/>
      <c r="C59" s="10"/>
      <c r="D59" s="160"/>
      <c r="E59" s="165"/>
      <c r="F59" s="144"/>
      <c r="G59" s="9"/>
      <c r="H59" s="10"/>
      <c r="I59" s="10"/>
      <c r="J59" s="10"/>
      <c r="K59" s="35"/>
      <c r="L59" s="10"/>
      <c r="M59" s="138"/>
      <c r="N59" s="109"/>
      <c r="O59" s="9"/>
      <c r="P59" s="10"/>
      <c r="Q59" s="10"/>
      <c r="R59" s="21"/>
      <c r="S59" s="21"/>
      <c r="T59" s="10"/>
      <c r="U59" s="10"/>
      <c r="V59" s="10"/>
      <c r="W59" s="10"/>
      <c r="X59" s="21"/>
      <c r="Y59" s="10"/>
      <c r="Z59" s="10"/>
      <c r="AA59" s="10"/>
      <c r="AB59" s="182" t="str">
        <f ca="1">IF(DataColumns[[#This Row],[ColumnType]]="ResultValue",IF(MAX(INDIRECT(CONCATENATE("R",ROW(DataColumns[#Headers]),"C",COLUMN(),":R",ROW()-1,"C",COLUMN()),FALSE))=0,1,MAX(INDIRECT(CONCATENATE("R",ROW(DataColumns[#Headers]),"C",COLUMN(),":R",ROW()-1,"C",COLUMN()),FALSE))+1),"")</f>
        <v/>
      </c>
      <c r="AC59" s="131" t="str">
        <f>IF(DataColumns[[#This Row],[ColumnType]]="ResultValue",CONCATENATE(DataColumns[[#This Row],[ColumnType]],DataColumns[[#This Row],[ColumnLabel]]),CONCATENATE(DataColumns[[#This Row],[ColumnType]],DataColumns[[#This Row],[AppliesToColumn]]))</f>
        <v/>
      </c>
    </row>
    <row r="60" spans="1:29" x14ac:dyDescent="0.25">
      <c r="A60" s="51" t="str">
        <f ca="1">IF(COUNTA(DataColumns[[#This Row],[ColumnLabel]:[QualityCodeCV]])&gt;0,IF(MAX(INDIRECT(CONCATENATE("R",ROW(DataColumns[#Headers]),"C",COLUMN(),":R",ROW()-1,"C",COLUMN()),FALSE))=0,1,MAX(INDIRECT(CONCATENATE("R",ROW(DataColumns[#Headers]),"C",COLUMN(),":R",ROW()-1,"C",COLUMN()),FALSE))+1),"")</f>
        <v/>
      </c>
      <c r="B60" s="109"/>
      <c r="C60" s="10"/>
      <c r="D60" s="160"/>
      <c r="E60" s="165"/>
      <c r="F60" s="144"/>
      <c r="G60" s="9"/>
      <c r="H60" s="10"/>
      <c r="I60" s="10"/>
      <c r="J60" s="10"/>
      <c r="K60" s="35"/>
      <c r="L60" s="10"/>
      <c r="M60" s="138"/>
      <c r="N60" s="109"/>
      <c r="O60" s="9"/>
      <c r="P60" s="10"/>
      <c r="Q60" s="10"/>
      <c r="R60" s="21"/>
      <c r="S60" s="21"/>
      <c r="T60" s="10"/>
      <c r="U60" s="10"/>
      <c r="V60" s="10"/>
      <c r="W60" s="10"/>
      <c r="X60" s="21"/>
      <c r="Y60" s="10"/>
      <c r="Z60" s="10"/>
      <c r="AA60" s="10"/>
      <c r="AB60" s="182" t="str">
        <f ca="1">IF(DataColumns[[#This Row],[ColumnType]]="ResultValue",IF(MAX(INDIRECT(CONCATENATE("R",ROW(DataColumns[#Headers]),"C",COLUMN(),":R",ROW()-1,"C",COLUMN()),FALSE))=0,1,MAX(INDIRECT(CONCATENATE("R",ROW(DataColumns[#Headers]),"C",COLUMN(),":R",ROW()-1,"C",COLUMN()),FALSE))+1),"")</f>
        <v/>
      </c>
      <c r="AC60" s="131" t="str">
        <f>IF(DataColumns[[#This Row],[ColumnType]]="ResultValue",CONCATENATE(DataColumns[[#This Row],[ColumnType]],DataColumns[[#This Row],[ColumnLabel]]),CONCATENATE(DataColumns[[#This Row],[ColumnType]],DataColumns[[#This Row],[AppliesToColumn]]))</f>
        <v/>
      </c>
    </row>
    <row r="61" spans="1:29" x14ac:dyDescent="0.25">
      <c r="A61" s="51" t="str">
        <f ca="1">IF(COUNTA(DataColumns[[#This Row],[ColumnLabel]:[QualityCodeCV]])&gt;0,IF(MAX(INDIRECT(CONCATENATE("R",ROW(DataColumns[#Headers]),"C",COLUMN(),":R",ROW()-1,"C",COLUMN()),FALSE))=0,1,MAX(INDIRECT(CONCATENATE("R",ROW(DataColumns[#Headers]),"C",COLUMN(),":R",ROW()-1,"C",COLUMN()),FALSE))+1),"")</f>
        <v/>
      </c>
      <c r="B61" s="109"/>
      <c r="C61" s="10"/>
      <c r="D61" s="160"/>
      <c r="E61" s="165"/>
      <c r="F61" s="144"/>
      <c r="G61" s="9"/>
      <c r="H61" s="10"/>
      <c r="I61" s="10"/>
      <c r="J61" s="10"/>
      <c r="K61" s="35"/>
      <c r="L61" s="10"/>
      <c r="M61" s="138"/>
      <c r="N61" s="109"/>
      <c r="O61" s="9"/>
      <c r="P61" s="10"/>
      <c r="Q61" s="10"/>
      <c r="R61" s="21"/>
      <c r="S61" s="21"/>
      <c r="T61" s="10"/>
      <c r="U61" s="10"/>
      <c r="V61" s="10"/>
      <c r="W61" s="10"/>
      <c r="X61" s="21"/>
      <c r="Y61" s="10"/>
      <c r="Z61" s="10"/>
      <c r="AA61" s="10"/>
      <c r="AB61" s="182" t="str">
        <f ca="1">IF(DataColumns[[#This Row],[ColumnType]]="ResultValue",IF(MAX(INDIRECT(CONCATENATE("R",ROW(DataColumns[#Headers]),"C",COLUMN(),":R",ROW()-1,"C",COLUMN()),FALSE))=0,1,MAX(INDIRECT(CONCATENATE("R",ROW(DataColumns[#Headers]),"C",COLUMN(),":R",ROW()-1,"C",COLUMN()),FALSE))+1),"")</f>
        <v/>
      </c>
      <c r="AC61" s="131" t="str">
        <f>IF(DataColumns[[#This Row],[ColumnType]]="ResultValue",CONCATENATE(DataColumns[[#This Row],[ColumnType]],DataColumns[[#This Row],[ColumnLabel]]),CONCATENATE(DataColumns[[#This Row],[ColumnType]],DataColumns[[#This Row],[AppliesToColumn]]))</f>
        <v/>
      </c>
    </row>
    <row r="62" spans="1:29" x14ac:dyDescent="0.25">
      <c r="A62" s="51" t="str">
        <f ca="1">IF(COUNTA(DataColumns[[#This Row],[ColumnLabel]:[QualityCodeCV]])&gt;0,IF(MAX(INDIRECT(CONCATENATE("R",ROW(DataColumns[#Headers]),"C",COLUMN(),":R",ROW()-1,"C",COLUMN()),FALSE))=0,1,MAX(INDIRECT(CONCATENATE("R",ROW(DataColumns[#Headers]),"C",COLUMN(),":R",ROW()-1,"C",COLUMN()),FALSE))+1),"")</f>
        <v/>
      </c>
      <c r="B62" s="109"/>
      <c r="C62" s="10"/>
      <c r="D62" s="160"/>
      <c r="E62" s="165"/>
      <c r="F62" s="144"/>
      <c r="G62" s="9"/>
      <c r="H62" s="10"/>
      <c r="I62" s="10"/>
      <c r="J62" s="10"/>
      <c r="K62" s="35"/>
      <c r="L62" s="10"/>
      <c r="M62" s="138"/>
      <c r="N62" s="109"/>
      <c r="O62" s="9"/>
      <c r="P62" s="10"/>
      <c r="Q62" s="10"/>
      <c r="R62" s="21"/>
      <c r="S62" s="21"/>
      <c r="T62" s="10"/>
      <c r="U62" s="10"/>
      <c r="V62" s="10"/>
      <c r="W62" s="10"/>
      <c r="X62" s="21"/>
      <c r="Y62" s="10"/>
      <c r="Z62" s="10"/>
      <c r="AA62" s="10"/>
      <c r="AB62" s="182" t="str">
        <f ca="1">IF(DataColumns[[#This Row],[ColumnType]]="ResultValue",IF(MAX(INDIRECT(CONCATENATE("R",ROW(DataColumns[#Headers]),"C",COLUMN(),":R",ROW()-1,"C",COLUMN()),FALSE))=0,1,MAX(INDIRECT(CONCATENATE("R",ROW(DataColumns[#Headers]),"C",COLUMN(),":R",ROW()-1,"C",COLUMN()),FALSE))+1),"")</f>
        <v/>
      </c>
      <c r="AC62" s="131" t="str">
        <f>IF(DataColumns[[#This Row],[ColumnType]]="ResultValue",CONCATENATE(DataColumns[[#This Row],[ColumnType]],DataColumns[[#This Row],[ColumnLabel]]),CONCATENATE(DataColumns[[#This Row],[ColumnType]],DataColumns[[#This Row],[AppliesToColumn]]))</f>
        <v/>
      </c>
    </row>
    <row r="63" spans="1:29" x14ac:dyDescent="0.25">
      <c r="A63" s="51" t="str">
        <f ca="1">IF(COUNTA(DataColumns[[#This Row],[ColumnLabel]:[QualityCodeCV]])&gt;0,IF(MAX(INDIRECT(CONCATENATE("R",ROW(DataColumns[#Headers]),"C",COLUMN(),":R",ROW()-1,"C",COLUMN()),FALSE))=0,1,MAX(INDIRECT(CONCATENATE("R",ROW(DataColumns[#Headers]),"C",COLUMN(),":R",ROW()-1,"C",COLUMN()),FALSE))+1),"")</f>
        <v/>
      </c>
      <c r="B63" s="109"/>
      <c r="C63" s="10"/>
      <c r="D63" s="160"/>
      <c r="E63" s="165"/>
      <c r="F63" s="144"/>
      <c r="G63" s="9"/>
      <c r="H63" s="10"/>
      <c r="I63" s="10"/>
      <c r="J63" s="10"/>
      <c r="K63" s="35"/>
      <c r="L63" s="10"/>
      <c r="M63" s="138"/>
      <c r="N63" s="109"/>
      <c r="O63" s="9"/>
      <c r="P63" s="10"/>
      <c r="Q63" s="10"/>
      <c r="R63" s="21"/>
      <c r="S63" s="21"/>
      <c r="T63" s="10"/>
      <c r="U63" s="10"/>
      <c r="V63" s="10"/>
      <c r="W63" s="10"/>
      <c r="X63" s="21"/>
      <c r="Y63" s="10"/>
      <c r="Z63" s="10"/>
      <c r="AA63" s="10"/>
      <c r="AB63" s="182" t="str">
        <f ca="1">IF(DataColumns[[#This Row],[ColumnType]]="ResultValue",IF(MAX(INDIRECT(CONCATENATE("R",ROW(DataColumns[#Headers]),"C",COLUMN(),":R",ROW()-1,"C",COLUMN()),FALSE))=0,1,MAX(INDIRECT(CONCATENATE("R",ROW(DataColumns[#Headers]),"C",COLUMN(),":R",ROW()-1,"C",COLUMN()),FALSE))+1),"")</f>
        <v/>
      </c>
      <c r="AC63" s="131" t="str">
        <f>IF(DataColumns[[#This Row],[ColumnType]]="ResultValue",CONCATENATE(DataColumns[[#This Row],[ColumnType]],DataColumns[[#This Row],[ColumnLabel]]),CONCATENATE(DataColumns[[#This Row],[ColumnType]],DataColumns[[#This Row],[AppliesToColumn]]))</f>
        <v/>
      </c>
    </row>
    <row r="64" spans="1:29" x14ac:dyDescent="0.25">
      <c r="A64" s="51" t="str">
        <f ca="1">IF(COUNTA(DataColumns[[#This Row],[ColumnLabel]:[QualityCodeCV]])&gt;0,IF(MAX(INDIRECT(CONCATENATE("R",ROW(DataColumns[#Headers]),"C",COLUMN(),":R",ROW()-1,"C",COLUMN()),FALSE))=0,1,MAX(INDIRECT(CONCATENATE("R",ROW(DataColumns[#Headers]),"C",COLUMN(),":R",ROW()-1,"C",COLUMN()),FALSE))+1),"")</f>
        <v/>
      </c>
      <c r="B64" s="109"/>
      <c r="C64" s="10"/>
      <c r="D64" s="160"/>
      <c r="E64" s="165"/>
      <c r="F64" s="144"/>
      <c r="G64" s="9"/>
      <c r="H64" s="10"/>
      <c r="I64" s="10"/>
      <c r="J64" s="10"/>
      <c r="K64" s="35"/>
      <c r="L64" s="10"/>
      <c r="M64" s="138"/>
      <c r="N64" s="109"/>
      <c r="O64" s="9"/>
      <c r="P64" s="10"/>
      <c r="Q64" s="10"/>
      <c r="R64" s="21"/>
      <c r="S64" s="21"/>
      <c r="T64" s="10"/>
      <c r="U64" s="10"/>
      <c r="V64" s="10"/>
      <c r="W64" s="10"/>
      <c r="X64" s="21"/>
      <c r="Y64" s="10"/>
      <c r="Z64" s="10"/>
      <c r="AA64" s="10"/>
      <c r="AB64" s="182" t="str">
        <f ca="1">IF(DataColumns[[#This Row],[ColumnType]]="ResultValue",IF(MAX(INDIRECT(CONCATENATE("R",ROW(DataColumns[#Headers]),"C",COLUMN(),":R",ROW()-1,"C",COLUMN()),FALSE))=0,1,MAX(INDIRECT(CONCATENATE("R",ROW(DataColumns[#Headers]),"C",COLUMN(),":R",ROW()-1,"C",COLUMN()),FALSE))+1),"")</f>
        <v/>
      </c>
      <c r="AC64" s="131" t="str">
        <f>IF(DataColumns[[#This Row],[ColumnType]]="ResultValue",CONCATENATE(DataColumns[[#This Row],[ColumnType]],DataColumns[[#This Row],[ColumnLabel]]),CONCATENATE(DataColumns[[#This Row],[ColumnType]],DataColumns[[#This Row],[AppliesToColumn]]))</f>
        <v/>
      </c>
    </row>
    <row r="65" spans="1:29" x14ac:dyDescent="0.25">
      <c r="A65" s="51" t="str">
        <f ca="1">IF(COUNTA(DataColumns[[#This Row],[ColumnLabel]:[QualityCodeCV]])&gt;0,IF(MAX(INDIRECT(CONCATENATE("R",ROW(DataColumns[#Headers]),"C",COLUMN(),":R",ROW()-1,"C",COLUMN()),FALSE))=0,1,MAX(INDIRECT(CONCATENATE("R",ROW(DataColumns[#Headers]),"C",COLUMN(),":R",ROW()-1,"C",COLUMN()),FALSE))+1),"")</f>
        <v/>
      </c>
      <c r="B65" s="109"/>
      <c r="C65" s="10"/>
      <c r="D65" s="160"/>
      <c r="E65" s="165"/>
      <c r="F65" s="144"/>
      <c r="G65" s="9"/>
      <c r="H65" s="10"/>
      <c r="I65" s="10"/>
      <c r="J65" s="10"/>
      <c r="K65" s="35"/>
      <c r="L65" s="10"/>
      <c r="M65" s="138"/>
      <c r="N65" s="109"/>
      <c r="O65" s="9"/>
      <c r="P65" s="10"/>
      <c r="Q65" s="10"/>
      <c r="R65" s="21"/>
      <c r="S65" s="21"/>
      <c r="T65" s="10"/>
      <c r="U65" s="10"/>
      <c r="V65" s="10"/>
      <c r="W65" s="10"/>
      <c r="X65" s="21"/>
      <c r="Y65" s="10"/>
      <c r="Z65" s="10"/>
      <c r="AA65" s="10"/>
      <c r="AB65" s="182" t="str">
        <f ca="1">IF(DataColumns[[#This Row],[ColumnType]]="ResultValue",IF(MAX(INDIRECT(CONCATENATE("R",ROW(DataColumns[#Headers]),"C",COLUMN(),":R",ROW()-1,"C",COLUMN()),FALSE))=0,1,MAX(INDIRECT(CONCATENATE("R",ROW(DataColumns[#Headers]),"C",COLUMN(),":R",ROW()-1,"C",COLUMN()),FALSE))+1),"")</f>
        <v/>
      </c>
      <c r="AC65" s="131" t="str">
        <f>IF(DataColumns[[#This Row],[ColumnType]]="ResultValue",CONCATENATE(DataColumns[[#This Row],[ColumnType]],DataColumns[[#This Row],[ColumnLabel]]),CONCATENATE(DataColumns[[#This Row],[ColumnType]],DataColumns[[#This Row],[AppliesToColumn]]))</f>
        <v/>
      </c>
    </row>
    <row r="66" spans="1:29" x14ac:dyDescent="0.25">
      <c r="A66" s="51" t="str">
        <f ca="1">IF(COUNTA(DataColumns[[#This Row],[ColumnLabel]:[QualityCodeCV]])&gt;0,IF(MAX(INDIRECT(CONCATENATE("R",ROW(DataColumns[#Headers]),"C",COLUMN(),":R",ROW()-1,"C",COLUMN()),FALSE))=0,1,MAX(INDIRECT(CONCATENATE("R",ROW(DataColumns[#Headers]),"C",COLUMN(),":R",ROW()-1,"C",COLUMN()),FALSE))+1),"")</f>
        <v/>
      </c>
      <c r="B66" s="109"/>
      <c r="C66" s="10"/>
      <c r="D66" s="160"/>
      <c r="E66" s="165"/>
      <c r="F66" s="144"/>
      <c r="G66" s="9"/>
      <c r="H66" s="10"/>
      <c r="I66" s="10"/>
      <c r="J66" s="10"/>
      <c r="K66" s="35"/>
      <c r="L66" s="10"/>
      <c r="M66" s="138"/>
      <c r="N66" s="109"/>
      <c r="O66" s="9"/>
      <c r="P66" s="10"/>
      <c r="Q66" s="10"/>
      <c r="R66" s="21"/>
      <c r="S66" s="21"/>
      <c r="T66" s="10"/>
      <c r="U66" s="10"/>
      <c r="V66" s="10"/>
      <c r="W66" s="10"/>
      <c r="X66" s="21"/>
      <c r="Y66" s="10"/>
      <c r="Z66" s="10"/>
      <c r="AA66" s="10"/>
      <c r="AB66" s="182" t="str">
        <f ca="1">IF(DataColumns[[#This Row],[ColumnType]]="ResultValue",IF(MAX(INDIRECT(CONCATENATE("R",ROW(DataColumns[#Headers]),"C",COLUMN(),":R",ROW()-1,"C",COLUMN()),FALSE))=0,1,MAX(INDIRECT(CONCATENATE("R",ROW(DataColumns[#Headers]),"C",COLUMN(),":R",ROW()-1,"C",COLUMN()),FALSE))+1),"")</f>
        <v/>
      </c>
      <c r="AC66" s="131" t="str">
        <f>IF(DataColumns[[#This Row],[ColumnType]]="ResultValue",CONCATENATE(DataColumns[[#This Row],[ColumnType]],DataColumns[[#This Row],[ColumnLabel]]),CONCATENATE(DataColumns[[#This Row],[ColumnType]],DataColumns[[#This Row],[AppliesToColumn]]))</f>
        <v/>
      </c>
    </row>
    <row r="67" spans="1:29" x14ac:dyDescent="0.25">
      <c r="A67" s="51" t="str">
        <f ca="1">IF(COUNTA(DataColumns[[#This Row],[ColumnLabel]:[QualityCodeCV]])&gt;0,IF(MAX(INDIRECT(CONCATENATE("R",ROW(DataColumns[#Headers]),"C",COLUMN(),":R",ROW()-1,"C",COLUMN()),FALSE))=0,1,MAX(INDIRECT(CONCATENATE("R",ROW(DataColumns[#Headers]),"C",COLUMN(),":R",ROW()-1,"C",COLUMN()),FALSE))+1),"")</f>
        <v/>
      </c>
      <c r="B67" s="109"/>
      <c r="C67" s="10"/>
      <c r="D67" s="160"/>
      <c r="E67" s="165"/>
      <c r="F67" s="144"/>
      <c r="G67" s="9"/>
      <c r="H67" s="10"/>
      <c r="I67" s="10"/>
      <c r="J67" s="10"/>
      <c r="K67" s="35"/>
      <c r="L67" s="10"/>
      <c r="M67" s="138"/>
      <c r="N67" s="109"/>
      <c r="O67" s="9"/>
      <c r="P67" s="10"/>
      <c r="Q67" s="10"/>
      <c r="R67" s="21"/>
      <c r="S67" s="21"/>
      <c r="T67" s="10"/>
      <c r="U67" s="10"/>
      <c r="V67" s="10"/>
      <c r="W67" s="10"/>
      <c r="X67" s="21"/>
      <c r="Y67" s="10"/>
      <c r="Z67" s="10"/>
      <c r="AA67" s="10"/>
      <c r="AB67" s="182" t="str">
        <f ca="1">IF(DataColumns[[#This Row],[ColumnType]]="ResultValue",IF(MAX(INDIRECT(CONCATENATE("R",ROW(DataColumns[#Headers]),"C",COLUMN(),":R",ROW()-1,"C",COLUMN()),FALSE))=0,1,MAX(INDIRECT(CONCATENATE("R",ROW(DataColumns[#Headers]),"C",COLUMN(),":R",ROW()-1,"C",COLUMN()),FALSE))+1),"")</f>
        <v/>
      </c>
      <c r="AC67" s="131" t="str">
        <f>IF(DataColumns[[#This Row],[ColumnType]]="ResultValue",CONCATENATE(DataColumns[[#This Row],[ColumnType]],DataColumns[[#This Row],[ColumnLabel]]),CONCATENATE(DataColumns[[#This Row],[ColumnType]],DataColumns[[#This Row],[AppliesToColumn]]))</f>
        <v/>
      </c>
    </row>
    <row r="68" spans="1:29" x14ac:dyDescent="0.25">
      <c r="A68" s="51" t="str">
        <f ca="1">IF(COUNTA(DataColumns[[#This Row],[ColumnLabel]:[QualityCodeCV]])&gt;0,IF(MAX(INDIRECT(CONCATENATE("R",ROW(DataColumns[#Headers]),"C",COLUMN(),":R",ROW()-1,"C",COLUMN()),FALSE))=0,1,MAX(INDIRECT(CONCATENATE("R",ROW(DataColumns[#Headers]),"C",COLUMN(),":R",ROW()-1,"C",COLUMN()),FALSE))+1),"")</f>
        <v/>
      </c>
      <c r="B68" s="109"/>
      <c r="C68" s="10"/>
      <c r="D68" s="160"/>
      <c r="E68" s="165"/>
      <c r="F68" s="144"/>
      <c r="G68" s="9"/>
      <c r="H68" s="10"/>
      <c r="I68" s="10"/>
      <c r="J68" s="10"/>
      <c r="K68" s="35"/>
      <c r="L68" s="10"/>
      <c r="M68" s="138"/>
      <c r="N68" s="109"/>
      <c r="O68" s="9"/>
      <c r="P68" s="10"/>
      <c r="Q68" s="10"/>
      <c r="R68" s="21"/>
      <c r="S68" s="21"/>
      <c r="T68" s="10"/>
      <c r="U68" s="10"/>
      <c r="V68" s="10"/>
      <c r="W68" s="10"/>
      <c r="X68" s="21"/>
      <c r="Y68" s="10"/>
      <c r="Z68" s="10"/>
      <c r="AA68" s="10"/>
      <c r="AB68" s="182" t="str">
        <f ca="1">IF(DataColumns[[#This Row],[ColumnType]]="ResultValue",IF(MAX(INDIRECT(CONCATENATE("R",ROW(DataColumns[#Headers]),"C",COLUMN(),":R",ROW()-1,"C",COLUMN()),FALSE))=0,1,MAX(INDIRECT(CONCATENATE("R",ROW(DataColumns[#Headers]),"C",COLUMN(),":R",ROW()-1,"C",COLUMN()),FALSE))+1),"")</f>
        <v/>
      </c>
      <c r="AC68" s="131" t="str">
        <f>IF(DataColumns[[#This Row],[ColumnType]]="ResultValue",CONCATENATE(DataColumns[[#This Row],[ColumnType]],DataColumns[[#This Row],[ColumnLabel]]),CONCATENATE(DataColumns[[#This Row],[ColumnType]],DataColumns[[#This Row],[AppliesToColumn]]))</f>
        <v/>
      </c>
    </row>
    <row r="69" spans="1:29" x14ac:dyDescent="0.25">
      <c r="A69" s="51" t="str">
        <f ca="1">IF(COUNTA(DataColumns[[#This Row],[ColumnLabel]:[QualityCodeCV]])&gt;0,IF(MAX(INDIRECT(CONCATENATE("R",ROW(DataColumns[#Headers]),"C",COLUMN(),":R",ROW()-1,"C",COLUMN()),FALSE))=0,1,MAX(INDIRECT(CONCATENATE("R",ROW(DataColumns[#Headers]),"C",COLUMN(),":R",ROW()-1,"C",COLUMN()),FALSE))+1),"")</f>
        <v/>
      </c>
      <c r="B69" s="109"/>
      <c r="C69" s="10"/>
      <c r="D69" s="160"/>
      <c r="E69" s="165"/>
      <c r="F69" s="144"/>
      <c r="G69" s="9"/>
      <c r="H69" s="10"/>
      <c r="I69" s="10"/>
      <c r="J69" s="10"/>
      <c r="K69" s="35"/>
      <c r="L69" s="10"/>
      <c r="M69" s="138"/>
      <c r="N69" s="109"/>
      <c r="O69" s="9"/>
      <c r="P69" s="10"/>
      <c r="Q69" s="10"/>
      <c r="R69" s="21"/>
      <c r="S69" s="21"/>
      <c r="T69" s="10"/>
      <c r="U69" s="10"/>
      <c r="V69" s="10"/>
      <c r="W69" s="10"/>
      <c r="X69" s="21"/>
      <c r="Y69" s="10"/>
      <c r="Z69" s="10"/>
      <c r="AA69" s="10"/>
      <c r="AB69" s="182" t="str">
        <f ca="1">IF(DataColumns[[#This Row],[ColumnType]]="ResultValue",IF(MAX(INDIRECT(CONCATENATE("R",ROW(DataColumns[#Headers]),"C",COLUMN(),":R",ROW()-1,"C",COLUMN()),FALSE))=0,1,MAX(INDIRECT(CONCATENATE("R",ROW(DataColumns[#Headers]),"C",COLUMN(),":R",ROW()-1,"C",COLUMN()),FALSE))+1),"")</f>
        <v/>
      </c>
      <c r="AC69" s="131" t="str">
        <f>IF(DataColumns[[#This Row],[ColumnType]]="ResultValue",CONCATENATE(DataColumns[[#This Row],[ColumnType]],DataColumns[[#This Row],[ColumnLabel]]),CONCATENATE(DataColumns[[#This Row],[ColumnType]],DataColumns[[#This Row],[AppliesToColumn]]))</f>
        <v/>
      </c>
    </row>
    <row r="70" spans="1:29" x14ac:dyDescent="0.25">
      <c r="A70" s="51" t="str">
        <f ca="1">IF(COUNTA(DataColumns[[#This Row],[ColumnLabel]:[QualityCodeCV]])&gt;0,IF(MAX(INDIRECT(CONCATENATE("R",ROW(DataColumns[#Headers]),"C",COLUMN(),":R",ROW()-1,"C",COLUMN()),FALSE))=0,1,MAX(INDIRECT(CONCATENATE("R",ROW(DataColumns[#Headers]),"C",COLUMN(),":R",ROW()-1,"C",COLUMN()),FALSE))+1),"")</f>
        <v/>
      </c>
      <c r="B70" s="109"/>
      <c r="C70" s="10"/>
      <c r="D70" s="160"/>
      <c r="E70" s="165"/>
      <c r="F70" s="144"/>
      <c r="G70" s="9"/>
      <c r="H70" s="10"/>
      <c r="I70" s="10"/>
      <c r="J70" s="10"/>
      <c r="K70" s="35"/>
      <c r="L70" s="10"/>
      <c r="M70" s="138"/>
      <c r="N70" s="109"/>
      <c r="O70" s="9"/>
      <c r="P70" s="10"/>
      <c r="Q70" s="10"/>
      <c r="R70" s="21"/>
      <c r="S70" s="21"/>
      <c r="T70" s="10"/>
      <c r="U70" s="10"/>
      <c r="V70" s="10"/>
      <c r="W70" s="10"/>
      <c r="X70" s="21"/>
      <c r="Y70" s="10"/>
      <c r="Z70" s="10"/>
      <c r="AA70" s="10"/>
      <c r="AB70" s="182" t="str">
        <f ca="1">IF(DataColumns[[#This Row],[ColumnType]]="ResultValue",IF(MAX(INDIRECT(CONCATENATE("R",ROW(DataColumns[#Headers]),"C",COLUMN(),":R",ROW()-1,"C",COLUMN()),FALSE))=0,1,MAX(INDIRECT(CONCATENATE("R",ROW(DataColumns[#Headers]),"C",COLUMN(),":R",ROW()-1,"C",COLUMN()),FALSE))+1),"")</f>
        <v/>
      </c>
      <c r="AC70" s="131" t="str">
        <f>IF(DataColumns[[#This Row],[ColumnType]]="ResultValue",CONCATENATE(DataColumns[[#This Row],[ColumnType]],DataColumns[[#This Row],[ColumnLabel]]),CONCATENATE(DataColumns[[#This Row],[ColumnType]],DataColumns[[#This Row],[AppliesToColumn]]))</f>
        <v/>
      </c>
    </row>
    <row r="71" spans="1:29" x14ac:dyDescent="0.25">
      <c r="A71" s="51" t="str">
        <f ca="1">IF(COUNTA(DataColumns[[#This Row],[ColumnLabel]:[QualityCodeCV]])&gt;0,IF(MAX(INDIRECT(CONCATENATE("R",ROW(DataColumns[#Headers]),"C",COLUMN(),":R",ROW()-1,"C",COLUMN()),FALSE))=0,1,MAX(INDIRECT(CONCATENATE("R",ROW(DataColumns[#Headers]),"C",COLUMN(),":R",ROW()-1,"C",COLUMN()),FALSE))+1),"")</f>
        <v/>
      </c>
      <c r="B71" s="109"/>
      <c r="C71" s="10"/>
      <c r="D71" s="160"/>
      <c r="E71" s="165"/>
      <c r="F71" s="144"/>
      <c r="G71" s="9"/>
      <c r="H71" s="10"/>
      <c r="I71" s="10"/>
      <c r="J71" s="10"/>
      <c r="K71" s="35"/>
      <c r="L71" s="10"/>
      <c r="M71" s="138"/>
      <c r="N71" s="109"/>
      <c r="O71" s="9"/>
      <c r="P71" s="10"/>
      <c r="Q71" s="10"/>
      <c r="R71" s="21"/>
      <c r="S71" s="21"/>
      <c r="T71" s="10"/>
      <c r="U71" s="10"/>
      <c r="V71" s="10"/>
      <c r="W71" s="10"/>
      <c r="X71" s="21"/>
      <c r="Y71" s="10"/>
      <c r="Z71" s="10"/>
      <c r="AA71" s="10"/>
      <c r="AB71" s="182" t="str">
        <f ca="1">IF(DataColumns[[#This Row],[ColumnType]]="ResultValue",IF(MAX(INDIRECT(CONCATENATE("R",ROW(DataColumns[#Headers]),"C",COLUMN(),":R",ROW()-1,"C",COLUMN()),FALSE))=0,1,MAX(INDIRECT(CONCATENATE("R",ROW(DataColumns[#Headers]),"C",COLUMN(),":R",ROW()-1,"C",COLUMN()),FALSE))+1),"")</f>
        <v/>
      </c>
      <c r="AC71" s="131" t="str">
        <f>IF(DataColumns[[#This Row],[ColumnType]]="ResultValue",CONCATENATE(DataColumns[[#This Row],[ColumnType]],DataColumns[[#This Row],[ColumnLabel]]),CONCATENATE(DataColumns[[#This Row],[ColumnType]],DataColumns[[#This Row],[AppliesToColumn]]))</f>
        <v/>
      </c>
    </row>
    <row r="72" spans="1:29" x14ac:dyDescent="0.25">
      <c r="A72" s="51" t="str">
        <f ca="1">IF(COUNTA(DataColumns[[#This Row],[ColumnLabel]:[QualityCodeCV]])&gt;0,IF(MAX(INDIRECT(CONCATENATE("R",ROW(DataColumns[#Headers]),"C",COLUMN(),":R",ROW()-1,"C",COLUMN()),FALSE))=0,1,MAX(INDIRECT(CONCATENATE("R",ROW(DataColumns[#Headers]),"C",COLUMN(),":R",ROW()-1,"C",COLUMN()),FALSE))+1),"")</f>
        <v/>
      </c>
      <c r="B72" s="109"/>
      <c r="C72" s="10"/>
      <c r="D72" s="160"/>
      <c r="E72" s="165"/>
      <c r="F72" s="144"/>
      <c r="G72" s="9"/>
      <c r="H72" s="10"/>
      <c r="I72" s="10"/>
      <c r="J72" s="10"/>
      <c r="K72" s="35"/>
      <c r="L72" s="10"/>
      <c r="M72" s="138"/>
      <c r="N72" s="109"/>
      <c r="O72" s="9"/>
      <c r="P72" s="10"/>
      <c r="Q72" s="10"/>
      <c r="R72" s="21"/>
      <c r="S72" s="21"/>
      <c r="T72" s="10"/>
      <c r="U72" s="10"/>
      <c r="V72" s="10"/>
      <c r="W72" s="10"/>
      <c r="X72" s="21"/>
      <c r="Y72" s="10"/>
      <c r="Z72" s="10"/>
      <c r="AA72" s="10"/>
      <c r="AB72" s="182" t="str">
        <f ca="1">IF(DataColumns[[#This Row],[ColumnType]]="ResultValue",IF(MAX(INDIRECT(CONCATENATE("R",ROW(DataColumns[#Headers]),"C",COLUMN(),":R",ROW()-1,"C",COLUMN()),FALSE))=0,1,MAX(INDIRECT(CONCATENATE("R",ROW(DataColumns[#Headers]),"C",COLUMN(),":R",ROW()-1,"C",COLUMN()),FALSE))+1),"")</f>
        <v/>
      </c>
      <c r="AC72" s="131" t="str">
        <f>IF(DataColumns[[#This Row],[ColumnType]]="ResultValue",CONCATENATE(DataColumns[[#This Row],[ColumnType]],DataColumns[[#This Row],[ColumnLabel]]),CONCATENATE(DataColumns[[#This Row],[ColumnType]],DataColumns[[#This Row],[AppliesToColumn]]))</f>
        <v/>
      </c>
    </row>
    <row r="73" spans="1:29" x14ac:dyDescent="0.25">
      <c r="A73" s="51" t="str">
        <f ca="1">IF(COUNTA(DataColumns[[#This Row],[ColumnLabel]:[QualityCodeCV]])&gt;0,IF(MAX(INDIRECT(CONCATENATE("R",ROW(DataColumns[#Headers]),"C",COLUMN(),":R",ROW()-1,"C",COLUMN()),FALSE))=0,1,MAX(INDIRECT(CONCATENATE("R",ROW(DataColumns[#Headers]),"C",COLUMN(),":R",ROW()-1,"C",COLUMN()),FALSE))+1),"")</f>
        <v/>
      </c>
      <c r="B73" s="109"/>
      <c r="C73" s="10"/>
      <c r="D73" s="160"/>
      <c r="E73" s="165"/>
      <c r="F73" s="144"/>
      <c r="G73" s="9"/>
      <c r="H73" s="10"/>
      <c r="I73" s="10"/>
      <c r="J73" s="10"/>
      <c r="K73" s="35"/>
      <c r="L73" s="10"/>
      <c r="M73" s="138"/>
      <c r="N73" s="109"/>
      <c r="O73" s="9"/>
      <c r="P73" s="10"/>
      <c r="Q73" s="10"/>
      <c r="R73" s="21"/>
      <c r="S73" s="21"/>
      <c r="T73" s="10"/>
      <c r="U73" s="10"/>
      <c r="V73" s="10"/>
      <c r="W73" s="10"/>
      <c r="X73" s="21"/>
      <c r="Y73" s="10"/>
      <c r="Z73" s="10"/>
      <c r="AA73" s="10"/>
      <c r="AB73" s="182" t="str">
        <f ca="1">IF(DataColumns[[#This Row],[ColumnType]]="ResultValue",IF(MAX(INDIRECT(CONCATENATE("R",ROW(DataColumns[#Headers]),"C",COLUMN(),":R",ROW()-1,"C",COLUMN()),FALSE))=0,1,MAX(INDIRECT(CONCATENATE("R",ROW(DataColumns[#Headers]),"C",COLUMN(),":R",ROW()-1,"C",COLUMN()),FALSE))+1),"")</f>
        <v/>
      </c>
      <c r="AC73" s="131" t="str">
        <f>IF(DataColumns[[#This Row],[ColumnType]]="ResultValue",CONCATENATE(DataColumns[[#This Row],[ColumnType]],DataColumns[[#This Row],[ColumnLabel]]),CONCATENATE(DataColumns[[#This Row],[ColumnType]],DataColumns[[#This Row],[AppliesToColumn]]))</f>
        <v/>
      </c>
    </row>
    <row r="74" spans="1:29" x14ac:dyDescent="0.25">
      <c r="A74" s="51" t="str">
        <f ca="1">IF(COUNTA(DataColumns[[#This Row],[ColumnLabel]:[QualityCodeCV]])&gt;0,IF(MAX(INDIRECT(CONCATENATE("R",ROW(DataColumns[#Headers]),"C",COLUMN(),":R",ROW()-1,"C",COLUMN()),FALSE))=0,1,MAX(INDIRECT(CONCATENATE("R",ROW(DataColumns[#Headers]),"C",COLUMN(),":R",ROW()-1,"C",COLUMN()),FALSE))+1),"")</f>
        <v/>
      </c>
      <c r="B74" s="109"/>
      <c r="C74" s="10"/>
      <c r="D74" s="160"/>
      <c r="E74" s="165"/>
      <c r="F74" s="144"/>
      <c r="G74" s="9"/>
      <c r="H74" s="10"/>
      <c r="I74" s="10"/>
      <c r="J74" s="10"/>
      <c r="K74" s="35"/>
      <c r="L74" s="10"/>
      <c r="M74" s="138"/>
      <c r="N74" s="109"/>
      <c r="O74" s="9"/>
      <c r="P74" s="10"/>
      <c r="Q74" s="10"/>
      <c r="R74" s="21"/>
      <c r="S74" s="21"/>
      <c r="T74" s="10"/>
      <c r="U74" s="10"/>
      <c r="V74" s="10"/>
      <c r="W74" s="10"/>
      <c r="X74" s="21"/>
      <c r="Y74" s="10"/>
      <c r="Z74" s="10"/>
      <c r="AA74" s="10"/>
      <c r="AB74" s="182" t="str">
        <f ca="1">IF(DataColumns[[#This Row],[ColumnType]]="ResultValue",IF(MAX(INDIRECT(CONCATENATE("R",ROW(DataColumns[#Headers]),"C",COLUMN(),":R",ROW()-1,"C",COLUMN()),FALSE))=0,1,MAX(INDIRECT(CONCATENATE("R",ROW(DataColumns[#Headers]),"C",COLUMN(),":R",ROW()-1,"C",COLUMN()),FALSE))+1),"")</f>
        <v/>
      </c>
      <c r="AC74" s="131" t="str">
        <f>IF(DataColumns[[#This Row],[ColumnType]]="ResultValue",CONCATENATE(DataColumns[[#This Row],[ColumnType]],DataColumns[[#This Row],[ColumnLabel]]),CONCATENATE(DataColumns[[#This Row],[ColumnType]],DataColumns[[#This Row],[AppliesToColumn]]))</f>
        <v/>
      </c>
    </row>
    <row r="75" spans="1:29" x14ac:dyDescent="0.25">
      <c r="A75" s="51" t="str">
        <f ca="1">IF(COUNTA(DataColumns[[#This Row],[ColumnLabel]:[QualityCodeCV]])&gt;0,IF(MAX(INDIRECT(CONCATENATE("R",ROW(DataColumns[#Headers]),"C",COLUMN(),":R",ROW()-1,"C",COLUMN()),FALSE))=0,1,MAX(INDIRECT(CONCATENATE("R",ROW(DataColumns[#Headers]),"C",COLUMN(),":R",ROW()-1,"C",COLUMN()),FALSE))+1),"")</f>
        <v/>
      </c>
      <c r="B75" s="109"/>
      <c r="C75" s="10"/>
      <c r="D75" s="160"/>
      <c r="E75" s="165"/>
      <c r="F75" s="144"/>
      <c r="G75" s="9"/>
      <c r="H75" s="10"/>
      <c r="I75" s="10"/>
      <c r="J75" s="10"/>
      <c r="K75" s="35"/>
      <c r="L75" s="10"/>
      <c r="M75" s="138"/>
      <c r="N75" s="109"/>
      <c r="O75" s="9"/>
      <c r="P75" s="10"/>
      <c r="Q75" s="10"/>
      <c r="R75" s="21"/>
      <c r="S75" s="21"/>
      <c r="T75" s="10"/>
      <c r="U75" s="10"/>
      <c r="V75" s="10"/>
      <c r="W75" s="10"/>
      <c r="X75" s="21"/>
      <c r="Y75" s="10"/>
      <c r="Z75" s="10"/>
      <c r="AA75" s="10"/>
      <c r="AB75" s="182" t="str">
        <f ca="1">IF(DataColumns[[#This Row],[ColumnType]]="ResultValue",IF(MAX(INDIRECT(CONCATENATE("R",ROW(DataColumns[#Headers]),"C",COLUMN(),":R",ROW()-1,"C",COLUMN()),FALSE))=0,1,MAX(INDIRECT(CONCATENATE("R",ROW(DataColumns[#Headers]),"C",COLUMN(),":R",ROW()-1,"C",COLUMN()),FALSE))+1),"")</f>
        <v/>
      </c>
      <c r="AC75" s="131" t="str">
        <f>IF(DataColumns[[#This Row],[ColumnType]]="ResultValue",CONCATENATE(DataColumns[[#This Row],[ColumnType]],DataColumns[[#This Row],[ColumnLabel]]),CONCATENATE(DataColumns[[#This Row],[ColumnType]],DataColumns[[#This Row],[AppliesToColumn]]))</f>
        <v/>
      </c>
    </row>
    <row r="76" spans="1:29" x14ac:dyDescent="0.25">
      <c r="A76" s="51" t="str">
        <f ca="1">IF(COUNTA(DataColumns[[#This Row],[ColumnLabel]:[QualityCodeCV]])&gt;0,IF(MAX(INDIRECT(CONCATENATE("R",ROW(DataColumns[#Headers]),"C",COLUMN(),":R",ROW()-1,"C",COLUMN()),FALSE))=0,1,MAX(INDIRECT(CONCATENATE("R",ROW(DataColumns[#Headers]),"C",COLUMN(),":R",ROW()-1,"C",COLUMN()),FALSE))+1),"")</f>
        <v/>
      </c>
      <c r="B76" s="109"/>
      <c r="C76" s="10"/>
      <c r="D76" s="160"/>
      <c r="E76" s="165"/>
      <c r="F76" s="144"/>
      <c r="G76" s="9"/>
      <c r="H76" s="10"/>
      <c r="I76" s="10"/>
      <c r="J76" s="10"/>
      <c r="K76" s="35"/>
      <c r="L76" s="10"/>
      <c r="M76" s="138"/>
      <c r="N76" s="109"/>
      <c r="O76" s="9"/>
      <c r="P76" s="10"/>
      <c r="Q76" s="10"/>
      <c r="R76" s="21"/>
      <c r="S76" s="21"/>
      <c r="T76" s="10"/>
      <c r="U76" s="10"/>
      <c r="V76" s="10"/>
      <c r="W76" s="10"/>
      <c r="X76" s="21"/>
      <c r="Y76" s="10"/>
      <c r="Z76" s="10"/>
      <c r="AA76" s="10"/>
      <c r="AB76" s="182" t="str">
        <f ca="1">IF(DataColumns[[#This Row],[ColumnType]]="ResultValue",IF(MAX(INDIRECT(CONCATENATE("R",ROW(DataColumns[#Headers]),"C",COLUMN(),":R",ROW()-1,"C",COLUMN()),FALSE))=0,1,MAX(INDIRECT(CONCATENATE("R",ROW(DataColumns[#Headers]),"C",COLUMN(),":R",ROW()-1,"C",COLUMN()),FALSE))+1),"")</f>
        <v/>
      </c>
      <c r="AC76" s="131" t="str">
        <f>IF(DataColumns[[#This Row],[ColumnType]]="ResultValue",CONCATENATE(DataColumns[[#This Row],[ColumnType]],DataColumns[[#This Row],[ColumnLabel]]),CONCATENATE(DataColumns[[#This Row],[ColumnType]],DataColumns[[#This Row],[AppliesToColumn]]))</f>
        <v/>
      </c>
    </row>
    <row r="77" spans="1:29" x14ac:dyDescent="0.25">
      <c r="A77" s="51" t="str">
        <f ca="1">IF(COUNTA(DataColumns[[#This Row],[ColumnLabel]:[QualityCodeCV]])&gt;0,IF(MAX(INDIRECT(CONCATENATE("R",ROW(DataColumns[#Headers]),"C",COLUMN(),":R",ROW()-1,"C",COLUMN()),FALSE))=0,1,MAX(INDIRECT(CONCATENATE("R",ROW(DataColumns[#Headers]),"C",COLUMN(),":R",ROW()-1,"C",COLUMN()),FALSE))+1),"")</f>
        <v/>
      </c>
      <c r="B77" s="109"/>
      <c r="C77" s="10"/>
      <c r="D77" s="160"/>
      <c r="E77" s="165"/>
      <c r="F77" s="144"/>
      <c r="G77" s="9"/>
      <c r="H77" s="10"/>
      <c r="I77" s="10"/>
      <c r="J77" s="10"/>
      <c r="K77" s="35"/>
      <c r="L77" s="10"/>
      <c r="M77" s="138"/>
      <c r="N77" s="109"/>
      <c r="O77" s="9"/>
      <c r="P77" s="10"/>
      <c r="Q77" s="10"/>
      <c r="R77" s="21"/>
      <c r="S77" s="21"/>
      <c r="T77" s="10"/>
      <c r="U77" s="10"/>
      <c r="V77" s="10"/>
      <c r="W77" s="10"/>
      <c r="X77" s="21"/>
      <c r="Y77" s="10"/>
      <c r="Z77" s="10"/>
      <c r="AA77" s="10"/>
      <c r="AB77" s="182" t="str">
        <f ca="1">IF(DataColumns[[#This Row],[ColumnType]]="ResultValue",IF(MAX(INDIRECT(CONCATENATE("R",ROW(DataColumns[#Headers]),"C",COLUMN(),":R",ROW()-1,"C",COLUMN()),FALSE))=0,1,MAX(INDIRECT(CONCATENATE("R",ROW(DataColumns[#Headers]),"C",COLUMN(),":R",ROW()-1,"C",COLUMN()),FALSE))+1),"")</f>
        <v/>
      </c>
      <c r="AC77" s="131" t="str">
        <f>IF(DataColumns[[#This Row],[ColumnType]]="ResultValue",CONCATENATE(DataColumns[[#This Row],[ColumnType]],DataColumns[[#This Row],[ColumnLabel]]),CONCATENATE(DataColumns[[#This Row],[ColumnType]],DataColumns[[#This Row],[AppliesToColumn]]))</f>
        <v/>
      </c>
    </row>
    <row r="78" spans="1:29" x14ac:dyDescent="0.25">
      <c r="A78" s="51" t="str">
        <f ca="1">IF(COUNTA(DataColumns[[#This Row],[ColumnLabel]:[QualityCodeCV]])&gt;0,IF(MAX(INDIRECT(CONCATENATE("R",ROW(DataColumns[#Headers]),"C",COLUMN(),":R",ROW()-1,"C",COLUMN()),FALSE))=0,1,MAX(INDIRECT(CONCATENATE("R",ROW(DataColumns[#Headers]),"C",COLUMN(),":R",ROW()-1,"C",COLUMN()),FALSE))+1),"")</f>
        <v/>
      </c>
      <c r="B78" s="109"/>
      <c r="C78" s="10"/>
      <c r="D78" s="160"/>
      <c r="E78" s="165"/>
      <c r="F78" s="144"/>
      <c r="G78" s="9"/>
      <c r="H78" s="10"/>
      <c r="I78" s="10"/>
      <c r="J78" s="10"/>
      <c r="K78" s="35"/>
      <c r="L78" s="10"/>
      <c r="M78" s="138"/>
      <c r="N78" s="109"/>
      <c r="O78" s="9"/>
      <c r="P78" s="10"/>
      <c r="Q78" s="10"/>
      <c r="R78" s="21"/>
      <c r="S78" s="21"/>
      <c r="T78" s="10"/>
      <c r="U78" s="10"/>
      <c r="V78" s="10"/>
      <c r="W78" s="10"/>
      <c r="X78" s="21"/>
      <c r="Y78" s="10"/>
      <c r="Z78" s="10"/>
      <c r="AA78" s="10"/>
      <c r="AB78" s="182" t="str">
        <f ca="1">IF(DataColumns[[#This Row],[ColumnType]]="ResultValue",IF(MAX(INDIRECT(CONCATENATE("R",ROW(DataColumns[#Headers]),"C",COLUMN(),":R",ROW()-1,"C",COLUMN()),FALSE))=0,1,MAX(INDIRECT(CONCATENATE("R",ROW(DataColumns[#Headers]),"C",COLUMN(),":R",ROW()-1,"C",COLUMN()),FALSE))+1),"")</f>
        <v/>
      </c>
      <c r="AC78" s="131" t="str">
        <f>IF(DataColumns[[#This Row],[ColumnType]]="ResultValue",CONCATENATE(DataColumns[[#This Row],[ColumnType]],DataColumns[[#This Row],[ColumnLabel]]),CONCATENATE(DataColumns[[#This Row],[ColumnType]],DataColumns[[#This Row],[AppliesToColumn]]))</f>
        <v/>
      </c>
    </row>
    <row r="79" spans="1:29" x14ac:dyDescent="0.25">
      <c r="A79" s="51" t="str">
        <f ca="1">IF(COUNTA(DataColumns[[#This Row],[ColumnLabel]:[QualityCodeCV]])&gt;0,IF(MAX(INDIRECT(CONCATENATE("R",ROW(DataColumns[#Headers]),"C",COLUMN(),":R",ROW()-1,"C",COLUMN()),FALSE))=0,1,MAX(INDIRECT(CONCATENATE("R",ROW(DataColumns[#Headers]),"C",COLUMN(),":R",ROW()-1,"C",COLUMN()),FALSE))+1),"")</f>
        <v/>
      </c>
      <c r="B79" s="109"/>
      <c r="C79" s="10"/>
      <c r="D79" s="160"/>
      <c r="E79" s="165"/>
      <c r="F79" s="144"/>
      <c r="G79" s="9"/>
      <c r="H79" s="10"/>
      <c r="I79" s="10"/>
      <c r="J79" s="10"/>
      <c r="K79" s="35"/>
      <c r="L79" s="10"/>
      <c r="M79" s="138"/>
      <c r="N79" s="109"/>
      <c r="O79" s="9"/>
      <c r="P79" s="10"/>
      <c r="Q79" s="10"/>
      <c r="R79" s="21"/>
      <c r="S79" s="21"/>
      <c r="T79" s="10"/>
      <c r="U79" s="10"/>
      <c r="V79" s="10"/>
      <c r="W79" s="10"/>
      <c r="X79" s="21"/>
      <c r="Y79" s="10"/>
      <c r="Z79" s="10"/>
      <c r="AA79" s="10"/>
      <c r="AB79" s="182" t="str">
        <f ca="1">IF(DataColumns[[#This Row],[ColumnType]]="ResultValue",IF(MAX(INDIRECT(CONCATENATE("R",ROW(DataColumns[#Headers]),"C",COLUMN(),":R",ROW()-1,"C",COLUMN()),FALSE))=0,1,MAX(INDIRECT(CONCATENATE("R",ROW(DataColumns[#Headers]),"C",COLUMN(),":R",ROW()-1,"C",COLUMN()),FALSE))+1),"")</f>
        <v/>
      </c>
      <c r="AC79" s="131" t="str">
        <f>IF(DataColumns[[#This Row],[ColumnType]]="ResultValue",CONCATENATE(DataColumns[[#This Row],[ColumnType]],DataColumns[[#This Row],[ColumnLabel]]),CONCATENATE(DataColumns[[#This Row],[ColumnType]],DataColumns[[#This Row],[AppliesToColumn]]))</f>
        <v/>
      </c>
    </row>
    <row r="80" spans="1:29" x14ac:dyDescent="0.25">
      <c r="A80" s="51" t="str">
        <f ca="1">IF(COUNTA(DataColumns[[#This Row],[ColumnLabel]:[QualityCodeCV]])&gt;0,IF(MAX(INDIRECT(CONCATENATE("R",ROW(DataColumns[#Headers]),"C",COLUMN(),":R",ROW()-1,"C",COLUMN()),FALSE))=0,1,MAX(INDIRECT(CONCATENATE("R",ROW(DataColumns[#Headers]),"C",COLUMN(),":R",ROW()-1,"C",COLUMN()),FALSE))+1),"")</f>
        <v/>
      </c>
      <c r="B80" s="109"/>
      <c r="C80" s="10"/>
      <c r="D80" s="160"/>
      <c r="E80" s="165"/>
      <c r="F80" s="144"/>
      <c r="G80" s="9"/>
      <c r="H80" s="10"/>
      <c r="I80" s="10"/>
      <c r="J80" s="10"/>
      <c r="K80" s="35"/>
      <c r="L80" s="10"/>
      <c r="M80" s="138"/>
      <c r="N80" s="109"/>
      <c r="O80" s="9"/>
      <c r="P80" s="10"/>
      <c r="Q80" s="10"/>
      <c r="R80" s="21"/>
      <c r="S80" s="21"/>
      <c r="T80" s="10"/>
      <c r="U80" s="10"/>
      <c r="V80" s="10"/>
      <c r="W80" s="10"/>
      <c r="X80" s="21"/>
      <c r="Y80" s="10"/>
      <c r="Z80" s="10"/>
      <c r="AA80" s="10"/>
      <c r="AB80" s="182" t="str">
        <f ca="1">IF(DataColumns[[#This Row],[ColumnType]]="ResultValue",IF(MAX(INDIRECT(CONCATENATE("R",ROW(DataColumns[#Headers]),"C",COLUMN(),":R",ROW()-1,"C",COLUMN()),FALSE))=0,1,MAX(INDIRECT(CONCATENATE("R",ROW(DataColumns[#Headers]),"C",COLUMN(),":R",ROW()-1,"C",COLUMN()),FALSE))+1),"")</f>
        <v/>
      </c>
      <c r="AC80" s="131" t="str">
        <f>IF(DataColumns[[#This Row],[ColumnType]]="ResultValue",CONCATENATE(DataColumns[[#This Row],[ColumnType]],DataColumns[[#This Row],[ColumnLabel]]),CONCATENATE(DataColumns[[#This Row],[ColumnType]],DataColumns[[#This Row],[AppliesToColumn]]))</f>
        <v/>
      </c>
    </row>
    <row r="81" spans="1:29" x14ac:dyDescent="0.25">
      <c r="A81" s="51" t="str">
        <f ca="1">IF(COUNTA(DataColumns[[#This Row],[ColumnLabel]:[QualityCodeCV]])&gt;0,IF(MAX(INDIRECT(CONCATENATE("R",ROW(DataColumns[#Headers]),"C",COLUMN(),":R",ROW()-1,"C",COLUMN()),FALSE))=0,1,MAX(INDIRECT(CONCATENATE("R",ROW(DataColumns[#Headers]),"C",COLUMN(),":R",ROW()-1,"C",COLUMN()),FALSE))+1),"")</f>
        <v/>
      </c>
      <c r="B81" s="109"/>
      <c r="C81" s="10"/>
      <c r="D81" s="160"/>
      <c r="E81" s="165"/>
      <c r="F81" s="144"/>
      <c r="G81" s="9"/>
      <c r="H81" s="10"/>
      <c r="I81" s="10"/>
      <c r="J81" s="10"/>
      <c r="K81" s="35"/>
      <c r="L81" s="10"/>
      <c r="M81" s="138"/>
      <c r="N81" s="109"/>
      <c r="O81" s="9"/>
      <c r="P81" s="10"/>
      <c r="Q81" s="10"/>
      <c r="R81" s="21"/>
      <c r="S81" s="21"/>
      <c r="T81" s="10"/>
      <c r="U81" s="10"/>
      <c r="V81" s="10"/>
      <c r="W81" s="10"/>
      <c r="X81" s="21"/>
      <c r="Y81" s="10"/>
      <c r="Z81" s="10"/>
      <c r="AA81" s="10"/>
      <c r="AB81" s="182" t="str">
        <f ca="1">IF(DataColumns[[#This Row],[ColumnType]]="ResultValue",IF(MAX(INDIRECT(CONCATENATE("R",ROW(DataColumns[#Headers]),"C",COLUMN(),":R",ROW()-1,"C",COLUMN()),FALSE))=0,1,MAX(INDIRECT(CONCATENATE("R",ROW(DataColumns[#Headers]),"C",COLUMN(),":R",ROW()-1,"C",COLUMN()),FALSE))+1),"")</f>
        <v/>
      </c>
      <c r="AC81" s="131" t="str">
        <f>IF(DataColumns[[#This Row],[ColumnType]]="ResultValue",CONCATENATE(DataColumns[[#This Row],[ColumnType]],DataColumns[[#This Row],[ColumnLabel]]),CONCATENATE(DataColumns[[#This Row],[ColumnType]],DataColumns[[#This Row],[AppliesToColumn]]))</f>
        <v/>
      </c>
    </row>
    <row r="82" spans="1:29" x14ac:dyDescent="0.25">
      <c r="A82" s="51" t="str">
        <f ca="1">IF(COUNTA(DataColumns[[#This Row],[ColumnLabel]:[QualityCodeCV]])&gt;0,IF(MAX(INDIRECT(CONCATENATE("R",ROW(DataColumns[#Headers]),"C",COLUMN(),":R",ROW()-1,"C",COLUMN()),FALSE))=0,1,MAX(INDIRECT(CONCATENATE("R",ROW(DataColumns[#Headers]),"C",COLUMN(),":R",ROW()-1,"C",COLUMN()),FALSE))+1),"")</f>
        <v/>
      </c>
      <c r="B82" s="109"/>
      <c r="C82" s="10"/>
      <c r="D82" s="160"/>
      <c r="E82" s="165"/>
      <c r="F82" s="144"/>
      <c r="G82" s="9"/>
      <c r="H82" s="10"/>
      <c r="I82" s="10"/>
      <c r="J82" s="10"/>
      <c r="K82" s="35"/>
      <c r="L82" s="10"/>
      <c r="M82" s="138"/>
      <c r="N82" s="109"/>
      <c r="O82" s="9"/>
      <c r="P82" s="10"/>
      <c r="Q82" s="10"/>
      <c r="R82" s="21"/>
      <c r="S82" s="21"/>
      <c r="T82" s="10"/>
      <c r="U82" s="10"/>
      <c r="V82" s="10"/>
      <c r="W82" s="10"/>
      <c r="X82" s="21"/>
      <c r="Y82" s="10"/>
      <c r="Z82" s="10"/>
      <c r="AA82" s="10"/>
      <c r="AB82" s="182" t="str">
        <f ca="1">IF(DataColumns[[#This Row],[ColumnType]]="ResultValue",IF(MAX(INDIRECT(CONCATENATE("R",ROW(DataColumns[#Headers]),"C",COLUMN(),":R",ROW()-1,"C",COLUMN()),FALSE))=0,1,MAX(INDIRECT(CONCATENATE("R",ROW(DataColumns[#Headers]),"C",COLUMN(),":R",ROW()-1,"C",COLUMN()),FALSE))+1),"")</f>
        <v/>
      </c>
      <c r="AC82" s="131" t="str">
        <f>IF(DataColumns[[#This Row],[ColumnType]]="ResultValue",CONCATENATE(DataColumns[[#This Row],[ColumnType]],DataColumns[[#This Row],[ColumnLabel]]),CONCATENATE(DataColumns[[#This Row],[ColumnType]],DataColumns[[#This Row],[AppliesToColumn]]))</f>
        <v/>
      </c>
    </row>
    <row r="83" spans="1:29" x14ac:dyDescent="0.25">
      <c r="A83" s="51" t="str">
        <f ca="1">IF(COUNTA(DataColumns[[#This Row],[ColumnLabel]:[QualityCodeCV]])&gt;0,IF(MAX(INDIRECT(CONCATENATE("R",ROW(DataColumns[#Headers]),"C",COLUMN(),":R",ROW()-1,"C",COLUMN()),FALSE))=0,1,MAX(INDIRECT(CONCATENATE("R",ROW(DataColumns[#Headers]),"C",COLUMN(),":R",ROW()-1,"C",COLUMN()),FALSE))+1),"")</f>
        <v/>
      </c>
      <c r="B83" s="109"/>
      <c r="C83" s="10"/>
      <c r="D83" s="160"/>
      <c r="E83" s="165"/>
      <c r="F83" s="144"/>
      <c r="G83" s="9"/>
      <c r="H83" s="10"/>
      <c r="I83" s="10"/>
      <c r="J83" s="10"/>
      <c r="K83" s="35"/>
      <c r="L83" s="10"/>
      <c r="M83" s="138"/>
      <c r="N83" s="109"/>
      <c r="O83" s="9"/>
      <c r="P83" s="10"/>
      <c r="Q83" s="10"/>
      <c r="R83" s="21"/>
      <c r="S83" s="21"/>
      <c r="T83" s="10"/>
      <c r="U83" s="10"/>
      <c r="V83" s="10"/>
      <c r="W83" s="10"/>
      <c r="X83" s="21"/>
      <c r="Y83" s="10"/>
      <c r="Z83" s="10"/>
      <c r="AA83" s="10"/>
      <c r="AB83" s="182" t="str">
        <f ca="1">IF(DataColumns[[#This Row],[ColumnType]]="ResultValue",IF(MAX(INDIRECT(CONCATENATE("R",ROW(DataColumns[#Headers]),"C",COLUMN(),":R",ROW()-1,"C",COLUMN()),FALSE))=0,1,MAX(INDIRECT(CONCATENATE("R",ROW(DataColumns[#Headers]),"C",COLUMN(),":R",ROW()-1,"C",COLUMN()),FALSE))+1),"")</f>
        <v/>
      </c>
      <c r="AC83" s="131" t="str">
        <f>IF(DataColumns[[#This Row],[ColumnType]]="ResultValue",CONCATENATE(DataColumns[[#This Row],[ColumnType]],DataColumns[[#This Row],[ColumnLabel]]),CONCATENATE(DataColumns[[#This Row],[ColumnType]],DataColumns[[#This Row],[AppliesToColumn]]))</f>
        <v/>
      </c>
    </row>
    <row r="84" spans="1:29" x14ac:dyDescent="0.25">
      <c r="A84" s="51" t="str">
        <f ca="1">IF(COUNTA(DataColumns[[#This Row],[ColumnLabel]:[QualityCodeCV]])&gt;0,IF(MAX(INDIRECT(CONCATENATE("R",ROW(DataColumns[#Headers]),"C",COLUMN(),":R",ROW()-1,"C",COLUMN()),FALSE))=0,1,MAX(INDIRECT(CONCATENATE("R",ROW(DataColumns[#Headers]),"C",COLUMN(),":R",ROW()-1,"C",COLUMN()),FALSE))+1),"")</f>
        <v/>
      </c>
      <c r="B84" s="109"/>
      <c r="C84" s="10"/>
      <c r="D84" s="160"/>
      <c r="E84" s="165"/>
      <c r="F84" s="144"/>
      <c r="G84" s="9"/>
      <c r="H84" s="10"/>
      <c r="I84" s="10"/>
      <c r="J84" s="10"/>
      <c r="K84" s="35"/>
      <c r="L84" s="10"/>
      <c r="M84" s="138"/>
      <c r="N84" s="109"/>
      <c r="O84" s="9"/>
      <c r="P84" s="10"/>
      <c r="Q84" s="10"/>
      <c r="R84" s="21"/>
      <c r="S84" s="21"/>
      <c r="T84" s="10"/>
      <c r="U84" s="10"/>
      <c r="V84" s="10"/>
      <c r="W84" s="10"/>
      <c r="X84" s="21"/>
      <c r="Y84" s="10"/>
      <c r="Z84" s="10"/>
      <c r="AA84" s="10"/>
      <c r="AB84" s="182" t="str">
        <f ca="1">IF(DataColumns[[#This Row],[ColumnType]]="ResultValue",IF(MAX(INDIRECT(CONCATENATE("R",ROW(DataColumns[#Headers]),"C",COLUMN(),":R",ROW()-1,"C",COLUMN()),FALSE))=0,1,MAX(INDIRECT(CONCATENATE("R",ROW(DataColumns[#Headers]),"C",COLUMN(),":R",ROW()-1,"C",COLUMN()),FALSE))+1),"")</f>
        <v/>
      </c>
      <c r="AC84" s="131" t="str">
        <f>IF(DataColumns[[#This Row],[ColumnType]]="ResultValue",CONCATENATE(DataColumns[[#This Row],[ColumnType]],DataColumns[[#This Row],[ColumnLabel]]),CONCATENATE(DataColumns[[#This Row],[ColumnType]],DataColumns[[#This Row],[AppliesToColumn]]))</f>
        <v/>
      </c>
    </row>
    <row r="85" spans="1:29" x14ac:dyDescent="0.25">
      <c r="A85" s="51" t="str">
        <f ca="1">IF(COUNTA(DataColumns[[#This Row],[ColumnLabel]:[QualityCodeCV]])&gt;0,IF(MAX(INDIRECT(CONCATENATE("R",ROW(DataColumns[#Headers]),"C",COLUMN(),":R",ROW()-1,"C",COLUMN()),FALSE))=0,1,MAX(INDIRECT(CONCATENATE("R",ROW(DataColumns[#Headers]),"C",COLUMN(),":R",ROW()-1,"C",COLUMN()),FALSE))+1),"")</f>
        <v/>
      </c>
      <c r="B85" s="109"/>
      <c r="C85" s="10"/>
      <c r="D85" s="160"/>
      <c r="E85" s="165"/>
      <c r="F85" s="144"/>
      <c r="G85" s="9"/>
      <c r="H85" s="10"/>
      <c r="I85" s="10"/>
      <c r="J85" s="10"/>
      <c r="K85" s="35"/>
      <c r="L85" s="10"/>
      <c r="M85" s="138"/>
      <c r="N85" s="109"/>
      <c r="O85" s="9"/>
      <c r="P85" s="10"/>
      <c r="Q85" s="10"/>
      <c r="R85" s="21"/>
      <c r="S85" s="21"/>
      <c r="T85" s="10"/>
      <c r="U85" s="10"/>
      <c r="V85" s="10"/>
      <c r="W85" s="10"/>
      <c r="X85" s="21"/>
      <c r="Y85" s="10"/>
      <c r="Z85" s="10"/>
      <c r="AA85" s="10"/>
      <c r="AB85" s="182" t="str">
        <f ca="1">IF(DataColumns[[#This Row],[ColumnType]]="ResultValue",IF(MAX(INDIRECT(CONCATENATE("R",ROW(DataColumns[#Headers]),"C",COLUMN(),":R",ROW()-1,"C",COLUMN()),FALSE))=0,1,MAX(INDIRECT(CONCATENATE("R",ROW(DataColumns[#Headers]),"C",COLUMN(),":R",ROW()-1,"C",COLUMN()),FALSE))+1),"")</f>
        <v/>
      </c>
      <c r="AC85" s="131" t="str">
        <f>IF(DataColumns[[#This Row],[ColumnType]]="ResultValue",CONCATENATE(DataColumns[[#This Row],[ColumnType]],DataColumns[[#This Row],[ColumnLabel]]),CONCATENATE(DataColumns[[#This Row],[ColumnType]],DataColumns[[#This Row],[AppliesToColumn]]))</f>
        <v/>
      </c>
    </row>
    <row r="86" spans="1:29" x14ac:dyDescent="0.25">
      <c r="A86" s="51" t="str">
        <f ca="1">IF(COUNTA(DataColumns[[#This Row],[ColumnLabel]:[QualityCodeCV]])&gt;0,IF(MAX(INDIRECT(CONCATENATE("R",ROW(DataColumns[#Headers]),"C",COLUMN(),":R",ROW()-1,"C",COLUMN()),FALSE))=0,1,MAX(INDIRECT(CONCATENATE("R",ROW(DataColumns[#Headers]),"C",COLUMN(),":R",ROW()-1,"C",COLUMN()),FALSE))+1),"")</f>
        <v/>
      </c>
      <c r="B86" s="109"/>
      <c r="C86" s="10"/>
      <c r="D86" s="160"/>
      <c r="E86" s="165"/>
      <c r="F86" s="144"/>
      <c r="G86" s="9"/>
      <c r="H86" s="10"/>
      <c r="I86" s="10"/>
      <c r="J86" s="10"/>
      <c r="K86" s="35"/>
      <c r="L86" s="10"/>
      <c r="M86" s="138"/>
      <c r="N86" s="109"/>
      <c r="O86" s="9"/>
      <c r="P86" s="10"/>
      <c r="Q86" s="10"/>
      <c r="R86" s="21"/>
      <c r="S86" s="21"/>
      <c r="T86" s="10"/>
      <c r="U86" s="10"/>
      <c r="V86" s="10"/>
      <c r="W86" s="10"/>
      <c r="X86" s="21"/>
      <c r="Y86" s="10"/>
      <c r="Z86" s="10"/>
      <c r="AA86" s="10"/>
      <c r="AB86" s="182" t="str">
        <f ca="1">IF(DataColumns[[#This Row],[ColumnType]]="ResultValue",IF(MAX(INDIRECT(CONCATENATE("R",ROW(DataColumns[#Headers]),"C",COLUMN(),":R",ROW()-1,"C",COLUMN()),FALSE))=0,1,MAX(INDIRECT(CONCATENATE("R",ROW(DataColumns[#Headers]),"C",COLUMN(),":R",ROW()-1,"C",COLUMN()),FALSE))+1),"")</f>
        <v/>
      </c>
      <c r="AC86" s="131" t="str">
        <f>IF(DataColumns[[#This Row],[ColumnType]]="ResultValue",CONCATENATE(DataColumns[[#This Row],[ColumnType]],DataColumns[[#This Row],[ColumnLabel]]),CONCATENATE(DataColumns[[#This Row],[ColumnType]],DataColumns[[#This Row],[AppliesToColumn]]))</f>
        <v/>
      </c>
    </row>
    <row r="87" spans="1:29" x14ac:dyDescent="0.25">
      <c r="A87" s="51" t="str">
        <f ca="1">IF(COUNTA(DataColumns[[#This Row],[ColumnLabel]:[QualityCodeCV]])&gt;0,IF(MAX(INDIRECT(CONCATENATE("R",ROW(DataColumns[#Headers]),"C",COLUMN(),":R",ROW()-1,"C",COLUMN()),FALSE))=0,1,MAX(INDIRECT(CONCATENATE("R",ROW(DataColumns[#Headers]),"C",COLUMN(),":R",ROW()-1,"C",COLUMN()),FALSE))+1),"")</f>
        <v/>
      </c>
      <c r="B87" s="109"/>
      <c r="C87" s="10"/>
      <c r="D87" s="160"/>
      <c r="E87" s="165"/>
      <c r="F87" s="144"/>
      <c r="G87" s="9"/>
      <c r="H87" s="10"/>
      <c r="I87" s="10"/>
      <c r="J87" s="10"/>
      <c r="K87" s="35"/>
      <c r="L87" s="10"/>
      <c r="M87" s="138"/>
      <c r="N87" s="109"/>
      <c r="O87" s="9"/>
      <c r="P87" s="10"/>
      <c r="Q87" s="10"/>
      <c r="R87" s="21"/>
      <c r="S87" s="21"/>
      <c r="T87" s="10"/>
      <c r="U87" s="10"/>
      <c r="V87" s="10"/>
      <c r="W87" s="10"/>
      <c r="X87" s="21"/>
      <c r="Y87" s="10"/>
      <c r="Z87" s="10"/>
      <c r="AA87" s="10"/>
      <c r="AB87" s="182" t="str">
        <f ca="1">IF(DataColumns[[#This Row],[ColumnType]]="ResultValue",IF(MAX(INDIRECT(CONCATENATE("R",ROW(DataColumns[#Headers]),"C",COLUMN(),":R",ROW()-1,"C",COLUMN()),FALSE))=0,1,MAX(INDIRECT(CONCATENATE("R",ROW(DataColumns[#Headers]),"C",COLUMN(),":R",ROW()-1,"C",COLUMN()),FALSE))+1),"")</f>
        <v/>
      </c>
      <c r="AC87" s="131" t="str">
        <f>IF(DataColumns[[#This Row],[ColumnType]]="ResultValue",CONCATENATE(DataColumns[[#This Row],[ColumnType]],DataColumns[[#This Row],[ColumnLabel]]),CONCATENATE(DataColumns[[#This Row],[ColumnType]],DataColumns[[#This Row],[AppliesToColumn]]))</f>
        <v/>
      </c>
    </row>
    <row r="88" spans="1:29" x14ac:dyDescent="0.25">
      <c r="A88" s="51" t="str">
        <f ca="1">IF(COUNTA(DataColumns[[#This Row],[ColumnLabel]:[QualityCodeCV]])&gt;0,IF(MAX(INDIRECT(CONCATENATE("R",ROW(DataColumns[#Headers]),"C",COLUMN(),":R",ROW()-1,"C",COLUMN()),FALSE))=0,1,MAX(INDIRECT(CONCATENATE("R",ROW(DataColumns[#Headers]),"C",COLUMN(),":R",ROW()-1,"C",COLUMN()),FALSE))+1),"")</f>
        <v/>
      </c>
      <c r="B88" s="109"/>
      <c r="C88" s="10"/>
      <c r="D88" s="160"/>
      <c r="E88" s="165"/>
      <c r="F88" s="144"/>
      <c r="G88" s="9"/>
      <c r="H88" s="10"/>
      <c r="I88" s="10"/>
      <c r="J88" s="10"/>
      <c r="K88" s="35"/>
      <c r="L88" s="10"/>
      <c r="M88" s="138"/>
      <c r="N88" s="109"/>
      <c r="O88" s="9"/>
      <c r="P88" s="10"/>
      <c r="Q88" s="10"/>
      <c r="R88" s="21"/>
      <c r="S88" s="21"/>
      <c r="T88" s="10"/>
      <c r="U88" s="10"/>
      <c r="V88" s="10"/>
      <c r="W88" s="10"/>
      <c r="X88" s="21"/>
      <c r="Y88" s="10"/>
      <c r="Z88" s="10"/>
      <c r="AA88" s="10"/>
      <c r="AB88" s="182" t="str">
        <f ca="1">IF(DataColumns[[#This Row],[ColumnType]]="ResultValue",IF(MAX(INDIRECT(CONCATENATE("R",ROW(DataColumns[#Headers]),"C",COLUMN(),":R",ROW()-1,"C",COLUMN()),FALSE))=0,1,MAX(INDIRECT(CONCATENATE("R",ROW(DataColumns[#Headers]),"C",COLUMN(),":R",ROW()-1,"C",COLUMN()),FALSE))+1),"")</f>
        <v/>
      </c>
      <c r="AC88" s="131" t="str">
        <f>IF(DataColumns[[#This Row],[ColumnType]]="ResultValue",CONCATENATE(DataColumns[[#This Row],[ColumnType]],DataColumns[[#This Row],[ColumnLabel]]),CONCATENATE(DataColumns[[#This Row],[ColumnType]],DataColumns[[#This Row],[AppliesToColumn]]))</f>
        <v/>
      </c>
    </row>
    <row r="89" spans="1:29" x14ac:dyDescent="0.25">
      <c r="A89" s="51" t="str">
        <f ca="1">IF(COUNTA(DataColumns[[#This Row],[ColumnLabel]:[QualityCodeCV]])&gt;0,IF(MAX(INDIRECT(CONCATENATE("R",ROW(DataColumns[#Headers]),"C",COLUMN(),":R",ROW()-1,"C",COLUMN()),FALSE))=0,1,MAX(INDIRECT(CONCATENATE("R",ROW(DataColumns[#Headers]),"C",COLUMN(),":R",ROW()-1,"C",COLUMN()),FALSE))+1),"")</f>
        <v/>
      </c>
      <c r="B89" s="109"/>
      <c r="C89" s="10"/>
      <c r="D89" s="160"/>
      <c r="E89" s="165"/>
      <c r="F89" s="144"/>
      <c r="G89" s="9"/>
      <c r="H89" s="10"/>
      <c r="I89" s="10"/>
      <c r="J89" s="10"/>
      <c r="K89" s="35"/>
      <c r="L89" s="10"/>
      <c r="M89" s="138"/>
      <c r="N89" s="109"/>
      <c r="O89" s="9"/>
      <c r="P89" s="10"/>
      <c r="Q89" s="10"/>
      <c r="R89" s="21"/>
      <c r="S89" s="21"/>
      <c r="T89" s="10"/>
      <c r="U89" s="10"/>
      <c r="V89" s="10"/>
      <c r="W89" s="10"/>
      <c r="X89" s="21"/>
      <c r="Y89" s="10"/>
      <c r="Z89" s="10"/>
      <c r="AA89" s="10"/>
      <c r="AB89" s="182" t="str">
        <f ca="1">IF(DataColumns[[#This Row],[ColumnType]]="ResultValue",IF(MAX(INDIRECT(CONCATENATE("R",ROW(DataColumns[#Headers]),"C",COLUMN(),":R",ROW()-1,"C",COLUMN()),FALSE))=0,1,MAX(INDIRECT(CONCATENATE("R",ROW(DataColumns[#Headers]),"C",COLUMN(),":R",ROW()-1,"C",COLUMN()),FALSE))+1),"")</f>
        <v/>
      </c>
      <c r="AC89" s="131" t="str">
        <f>IF(DataColumns[[#This Row],[ColumnType]]="ResultValue",CONCATENATE(DataColumns[[#This Row],[ColumnType]],DataColumns[[#This Row],[ColumnLabel]]),CONCATENATE(DataColumns[[#This Row],[ColumnType]],DataColumns[[#This Row],[AppliesToColumn]]))</f>
        <v/>
      </c>
    </row>
    <row r="90" spans="1:29" x14ac:dyDescent="0.25">
      <c r="A90" s="51" t="str">
        <f ca="1">IF(COUNTA(DataColumns[[#This Row],[ColumnLabel]:[QualityCodeCV]])&gt;0,IF(MAX(INDIRECT(CONCATENATE("R",ROW(DataColumns[#Headers]),"C",COLUMN(),":R",ROW()-1,"C",COLUMN()),FALSE))=0,1,MAX(INDIRECT(CONCATENATE("R",ROW(DataColumns[#Headers]),"C",COLUMN(),":R",ROW()-1,"C",COLUMN()),FALSE))+1),"")</f>
        <v/>
      </c>
      <c r="B90" s="109"/>
      <c r="C90" s="10"/>
      <c r="D90" s="160"/>
      <c r="E90" s="165"/>
      <c r="F90" s="144"/>
      <c r="G90" s="9"/>
      <c r="H90" s="10"/>
      <c r="I90" s="10"/>
      <c r="J90" s="10"/>
      <c r="K90" s="35"/>
      <c r="L90" s="10"/>
      <c r="M90" s="138"/>
      <c r="N90" s="109"/>
      <c r="O90" s="9"/>
      <c r="P90" s="10"/>
      <c r="Q90" s="10"/>
      <c r="R90" s="21"/>
      <c r="S90" s="21"/>
      <c r="T90" s="10"/>
      <c r="U90" s="10"/>
      <c r="V90" s="10"/>
      <c r="W90" s="10"/>
      <c r="X90" s="21"/>
      <c r="Y90" s="10"/>
      <c r="Z90" s="10"/>
      <c r="AA90" s="10"/>
      <c r="AB90" s="182" t="str">
        <f ca="1">IF(DataColumns[[#This Row],[ColumnType]]="ResultValue",IF(MAX(INDIRECT(CONCATENATE("R",ROW(DataColumns[#Headers]),"C",COLUMN(),":R",ROW()-1,"C",COLUMN()),FALSE))=0,1,MAX(INDIRECT(CONCATENATE("R",ROW(DataColumns[#Headers]),"C",COLUMN(),":R",ROW()-1,"C",COLUMN()),FALSE))+1),"")</f>
        <v/>
      </c>
      <c r="AC90" s="131" t="str">
        <f>IF(DataColumns[[#This Row],[ColumnType]]="ResultValue",CONCATENATE(DataColumns[[#This Row],[ColumnType]],DataColumns[[#This Row],[ColumnLabel]]),CONCATENATE(DataColumns[[#This Row],[ColumnType]],DataColumns[[#This Row],[AppliesToColumn]]))</f>
        <v/>
      </c>
    </row>
    <row r="91" spans="1:29" x14ac:dyDescent="0.25">
      <c r="A91" s="51" t="str">
        <f ca="1">IF(COUNTA(DataColumns[[#This Row],[ColumnLabel]:[QualityCodeCV]])&gt;0,IF(MAX(INDIRECT(CONCATENATE("R",ROW(DataColumns[#Headers]),"C",COLUMN(),":R",ROW()-1,"C",COLUMN()),FALSE))=0,1,MAX(INDIRECT(CONCATENATE("R",ROW(DataColumns[#Headers]),"C",COLUMN(),":R",ROW()-1,"C",COLUMN()),FALSE))+1),"")</f>
        <v/>
      </c>
      <c r="B91" s="109"/>
      <c r="C91" s="10"/>
      <c r="D91" s="160"/>
      <c r="E91" s="165"/>
      <c r="F91" s="144"/>
      <c r="G91" s="9"/>
      <c r="H91" s="10"/>
      <c r="I91" s="10"/>
      <c r="J91" s="10"/>
      <c r="K91" s="35"/>
      <c r="L91" s="10"/>
      <c r="M91" s="138"/>
      <c r="N91" s="109"/>
      <c r="O91" s="9"/>
      <c r="P91" s="10"/>
      <c r="Q91" s="10"/>
      <c r="R91" s="21"/>
      <c r="S91" s="21"/>
      <c r="T91" s="10"/>
      <c r="U91" s="10"/>
      <c r="V91" s="10"/>
      <c r="W91" s="10"/>
      <c r="X91" s="21"/>
      <c r="Y91" s="10"/>
      <c r="Z91" s="10"/>
      <c r="AA91" s="10"/>
      <c r="AB91" s="182" t="str">
        <f ca="1">IF(DataColumns[[#This Row],[ColumnType]]="ResultValue",IF(MAX(INDIRECT(CONCATENATE("R",ROW(DataColumns[#Headers]),"C",COLUMN(),":R",ROW()-1,"C",COLUMN()),FALSE))=0,1,MAX(INDIRECT(CONCATENATE("R",ROW(DataColumns[#Headers]),"C",COLUMN(),":R",ROW()-1,"C",COLUMN()),FALSE))+1),"")</f>
        <v/>
      </c>
      <c r="AC91" s="131" t="str">
        <f>IF(DataColumns[[#This Row],[ColumnType]]="ResultValue",CONCATENATE(DataColumns[[#This Row],[ColumnType]],DataColumns[[#This Row],[ColumnLabel]]),CONCATENATE(DataColumns[[#This Row],[ColumnType]],DataColumns[[#This Row],[AppliesToColumn]]))</f>
        <v/>
      </c>
    </row>
    <row r="92" spans="1:29" x14ac:dyDescent="0.25">
      <c r="A92" s="51" t="str">
        <f ca="1">IF(COUNTA(DataColumns[[#This Row],[ColumnLabel]:[QualityCodeCV]])&gt;0,IF(MAX(INDIRECT(CONCATENATE("R",ROW(DataColumns[#Headers]),"C",COLUMN(),":R",ROW()-1,"C",COLUMN()),FALSE))=0,1,MAX(INDIRECT(CONCATENATE("R",ROW(DataColumns[#Headers]),"C",COLUMN(),":R",ROW()-1,"C",COLUMN()),FALSE))+1),"")</f>
        <v/>
      </c>
      <c r="B92" s="109"/>
      <c r="C92" s="10"/>
      <c r="D92" s="160"/>
      <c r="E92" s="165"/>
      <c r="F92" s="144"/>
      <c r="G92" s="9"/>
      <c r="H92" s="10"/>
      <c r="I92" s="10"/>
      <c r="J92" s="10"/>
      <c r="K92" s="35"/>
      <c r="L92" s="10"/>
      <c r="M92" s="138"/>
      <c r="N92" s="109"/>
      <c r="O92" s="9"/>
      <c r="P92" s="10"/>
      <c r="Q92" s="10"/>
      <c r="R92" s="21"/>
      <c r="S92" s="21"/>
      <c r="T92" s="10"/>
      <c r="U92" s="10"/>
      <c r="V92" s="10"/>
      <c r="W92" s="10"/>
      <c r="X92" s="21"/>
      <c r="Y92" s="10"/>
      <c r="Z92" s="10"/>
      <c r="AA92" s="10"/>
      <c r="AB92" s="182" t="str">
        <f ca="1">IF(DataColumns[[#This Row],[ColumnType]]="ResultValue",IF(MAX(INDIRECT(CONCATENATE("R",ROW(DataColumns[#Headers]),"C",COLUMN(),":R",ROW()-1,"C",COLUMN()),FALSE))=0,1,MAX(INDIRECT(CONCATENATE("R",ROW(DataColumns[#Headers]),"C",COLUMN(),":R",ROW()-1,"C",COLUMN()),FALSE))+1),"")</f>
        <v/>
      </c>
      <c r="AC92" s="131" t="str">
        <f>IF(DataColumns[[#This Row],[ColumnType]]="ResultValue",CONCATENATE(DataColumns[[#This Row],[ColumnType]],DataColumns[[#This Row],[ColumnLabel]]),CONCATENATE(DataColumns[[#This Row],[ColumnType]],DataColumns[[#This Row],[AppliesToColumn]]))</f>
        <v/>
      </c>
    </row>
    <row r="93" spans="1:29" x14ac:dyDescent="0.25">
      <c r="A93" s="51" t="str">
        <f ca="1">IF(COUNTA(DataColumns[[#This Row],[ColumnLabel]:[QualityCodeCV]])&gt;0,IF(MAX(INDIRECT(CONCATENATE("R",ROW(DataColumns[#Headers]),"C",COLUMN(),":R",ROW()-1,"C",COLUMN()),FALSE))=0,1,MAX(INDIRECT(CONCATENATE("R",ROW(DataColumns[#Headers]),"C",COLUMN(),":R",ROW()-1,"C",COLUMN()),FALSE))+1),"")</f>
        <v/>
      </c>
      <c r="B93" s="109"/>
      <c r="C93" s="10"/>
      <c r="D93" s="160"/>
      <c r="E93" s="165"/>
      <c r="F93" s="144"/>
      <c r="G93" s="9"/>
      <c r="H93" s="10"/>
      <c r="I93" s="10"/>
      <c r="J93" s="10"/>
      <c r="K93" s="35"/>
      <c r="L93" s="10"/>
      <c r="M93" s="138"/>
      <c r="N93" s="109"/>
      <c r="O93" s="9"/>
      <c r="P93" s="10"/>
      <c r="Q93" s="10"/>
      <c r="R93" s="21"/>
      <c r="S93" s="21"/>
      <c r="T93" s="10"/>
      <c r="U93" s="10"/>
      <c r="V93" s="10"/>
      <c r="W93" s="10"/>
      <c r="X93" s="21"/>
      <c r="Y93" s="10"/>
      <c r="Z93" s="10"/>
      <c r="AA93" s="10"/>
      <c r="AB93" s="182" t="str">
        <f ca="1">IF(DataColumns[[#This Row],[ColumnType]]="ResultValue",IF(MAX(INDIRECT(CONCATENATE("R",ROW(DataColumns[#Headers]),"C",COLUMN(),":R",ROW()-1,"C",COLUMN()),FALSE))=0,1,MAX(INDIRECT(CONCATENATE("R",ROW(DataColumns[#Headers]),"C",COLUMN(),":R",ROW()-1,"C",COLUMN()),FALSE))+1),"")</f>
        <v/>
      </c>
      <c r="AC93" s="131" t="str">
        <f>IF(DataColumns[[#This Row],[ColumnType]]="ResultValue",CONCATENATE(DataColumns[[#This Row],[ColumnType]],DataColumns[[#This Row],[ColumnLabel]]),CONCATENATE(DataColumns[[#This Row],[ColumnType]],DataColumns[[#This Row],[AppliesToColumn]]))</f>
        <v/>
      </c>
    </row>
    <row r="94" spans="1:29" x14ac:dyDescent="0.25">
      <c r="A94" s="51" t="str">
        <f ca="1">IF(COUNTA(DataColumns[[#This Row],[ColumnLabel]:[QualityCodeCV]])&gt;0,IF(MAX(INDIRECT(CONCATENATE("R",ROW(DataColumns[#Headers]),"C",COLUMN(),":R",ROW()-1,"C",COLUMN()),FALSE))=0,1,MAX(INDIRECT(CONCATENATE("R",ROW(DataColumns[#Headers]),"C",COLUMN(),":R",ROW()-1,"C",COLUMN()),FALSE))+1),"")</f>
        <v/>
      </c>
      <c r="B94" s="109"/>
      <c r="C94" s="10"/>
      <c r="D94" s="160"/>
      <c r="E94" s="165"/>
      <c r="F94" s="144"/>
      <c r="G94" s="9"/>
      <c r="H94" s="10"/>
      <c r="I94" s="10"/>
      <c r="J94" s="10"/>
      <c r="K94" s="35"/>
      <c r="L94" s="10"/>
      <c r="M94" s="138"/>
      <c r="N94" s="109"/>
      <c r="O94" s="9"/>
      <c r="P94" s="10"/>
      <c r="Q94" s="10"/>
      <c r="R94" s="21"/>
      <c r="S94" s="21"/>
      <c r="T94" s="10"/>
      <c r="U94" s="10"/>
      <c r="V94" s="10"/>
      <c r="W94" s="10"/>
      <c r="X94" s="21"/>
      <c r="Y94" s="10"/>
      <c r="Z94" s="10"/>
      <c r="AA94" s="10"/>
      <c r="AB94" s="182" t="str">
        <f ca="1">IF(DataColumns[[#This Row],[ColumnType]]="ResultValue",IF(MAX(INDIRECT(CONCATENATE("R",ROW(DataColumns[#Headers]),"C",COLUMN(),":R",ROW()-1,"C",COLUMN()),FALSE))=0,1,MAX(INDIRECT(CONCATENATE("R",ROW(DataColumns[#Headers]),"C",COLUMN(),":R",ROW()-1,"C",COLUMN()),FALSE))+1),"")</f>
        <v/>
      </c>
      <c r="AC94" s="131" t="str">
        <f>IF(DataColumns[[#This Row],[ColumnType]]="ResultValue",CONCATENATE(DataColumns[[#This Row],[ColumnType]],DataColumns[[#This Row],[ColumnLabel]]),CONCATENATE(DataColumns[[#This Row],[ColumnType]],DataColumns[[#This Row],[AppliesToColumn]]))</f>
        <v/>
      </c>
    </row>
    <row r="95" spans="1:29" x14ac:dyDescent="0.25">
      <c r="A95" s="51" t="str">
        <f ca="1">IF(COUNTA(DataColumns[[#This Row],[ColumnLabel]:[QualityCodeCV]])&gt;0,IF(MAX(INDIRECT(CONCATENATE("R",ROW(DataColumns[#Headers]),"C",COLUMN(),":R",ROW()-1,"C",COLUMN()),FALSE))=0,1,MAX(INDIRECT(CONCATENATE("R",ROW(DataColumns[#Headers]),"C",COLUMN(),":R",ROW()-1,"C",COLUMN()),FALSE))+1),"")</f>
        <v/>
      </c>
      <c r="B95" s="109"/>
      <c r="C95" s="10"/>
      <c r="D95" s="160"/>
      <c r="E95" s="165"/>
      <c r="F95" s="144"/>
      <c r="G95" s="9"/>
      <c r="H95" s="10"/>
      <c r="I95" s="10"/>
      <c r="J95" s="10"/>
      <c r="K95" s="35"/>
      <c r="L95" s="10"/>
      <c r="M95" s="138"/>
      <c r="N95" s="109"/>
      <c r="O95" s="9"/>
      <c r="P95" s="10"/>
      <c r="Q95" s="10"/>
      <c r="R95" s="21"/>
      <c r="S95" s="21"/>
      <c r="T95" s="10"/>
      <c r="U95" s="10"/>
      <c r="V95" s="10"/>
      <c r="W95" s="10"/>
      <c r="X95" s="21"/>
      <c r="Y95" s="10"/>
      <c r="Z95" s="10"/>
      <c r="AA95" s="10"/>
      <c r="AB95" s="182" t="str">
        <f ca="1">IF(DataColumns[[#This Row],[ColumnType]]="ResultValue",IF(MAX(INDIRECT(CONCATENATE("R",ROW(DataColumns[#Headers]),"C",COLUMN(),":R",ROW()-1,"C",COLUMN()),FALSE))=0,1,MAX(INDIRECT(CONCATENATE("R",ROW(DataColumns[#Headers]),"C",COLUMN(),":R",ROW()-1,"C",COLUMN()),FALSE))+1),"")</f>
        <v/>
      </c>
      <c r="AC95" s="131" t="str">
        <f>IF(DataColumns[[#This Row],[ColumnType]]="ResultValue",CONCATENATE(DataColumns[[#This Row],[ColumnType]],DataColumns[[#This Row],[ColumnLabel]]),CONCATENATE(DataColumns[[#This Row],[ColumnType]],DataColumns[[#This Row],[AppliesToColumn]]))</f>
        <v/>
      </c>
    </row>
    <row r="96" spans="1:29" x14ac:dyDescent="0.25">
      <c r="A96" s="51" t="str">
        <f ca="1">IF(COUNTA(DataColumns[[#This Row],[ColumnLabel]:[QualityCodeCV]])&gt;0,IF(MAX(INDIRECT(CONCATENATE("R",ROW(DataColumns[#Headers]),"C",COLUMN(),":R",ROW()-1,"C",COLUMN()),FALSE))=0,1,MAX(INDIRECT(CONCATENATE("R",ROW(DataColumns[#Headers]),"C",COLUMN(),":R",ROW()-1,"C",COLUMN()),FALSE))+1),"")</f>
        <v/>
      </c>
      <c r="B96" s="109"/>
      <c r="C96" s="10"/>
      <c r="D96" s="160"/>
      <c r="E96" s="165"/>
      <c r="F96" s="144"/>
      <c r="G96" s="9"/>
      <c r="H96" s="10"/>
      <c r="I96" s="10"/>
      <c r="J96" s="10"/>
      <c r="K96" s="35"/>
      <c r="L96" s="10"/>
      <c r="M96" s="138"/>
      <c r="N96" s="109"/>
      <c r="O96" s="9"/>
      <c r="P96" s="10"/>
      <c r="Q96" s="10"/>
      <c r="R96" s="21"/>
      <c r="S96" s="21"/>
      <c r="T96" s="10"/>
      <c r="U96" s="10"/>
      <c r="V96" s="10"/>
      <c r="W96" s="10"/>
      <c r="X96" s="21"/>
      <c r="Y96" s="10"/>
      <c r="Z96" s="10"/>
      <c r="AA96" s="10"/>
      <c r="AB96" s="182" t="str">
        <f ca="1">IF(DataColumns[[#This Row],[ColumnType]]="ResultValue",IF(MAX(INDIRECT(CONCATENATE("R",ROW(DataColumns[#Headers]),"C",COLUMN(),":R",ROW()-1,"C",COLUMN()),FALSE))=0,1,MAX(INDIRECT(CONCATENATE("R",ROW(DataColumns[#Headers]),"C",COLUMN(),":R",ROW()-1,"C",COLUMN()),FALSE))+1),"")</f>
        <v/>
      </c>
      <c r="AC96" s="131" t="str">
        <f>IF(DataColumns[[#This Row],[ColumnType]]="ResultValue",CONCATENATE(DataColumns[[#This Row],[ColumnType]],DataColumns[[#This Row],[ColumnLabel]]),CONCATENATE(DataColumns[[#This Row],[ColumnType]],DataColumns[[#This Row],[AppliesToColumn]]))</f>
        <v/>
      </c>
    </row>
    <row r="97" spans="1:29" x14ac:dyDescent="0.25">
      <c r="A97" s="51" t="str">
        <f ca="1">IF(COUNTA(DataColumns[[#This Row],[ColumnLabel]:[QualityCodeCV]])&gt;0,IF(MAX(INDIRECT(CONCATENATE("R",ROW(DataColumns[#Headers]),"C",COLUMN(),":R",ROW()-1,"C",COLUMN()),FALSE))=0,1,MAX(INDIRECT(CONCATENATE("R",ROW(DataColumns[#Headers]),"C",COLUMN(),":R",ROW()-1,"C",COLUMN()),FALSE))+1),"")</f>
        <v/>
      </c>
      <c r="B97" s="109"/>
      <c r="C97" s="10"/>
      <c r="D97" s="160"/>
      <c r="E97" s="165"/>
      <c r="F97" s="144"/>
      <c r="G97" s="9"/>
      <c r="H97" s="10"/>
      <c r="I97" s="10"/>
      <c r="J97" s="10"/>
      <c r="K97" s="35"/>
      <c r="L97" s="10"/>
      <c r="M97" s="138"/>
      <c r="N97" s="109"/>
      <c r="O97" s="9"/>
      <c r="P97" s="10"/>
      <c r="Q97" s="10"/>
      <c r="R97" s="21"/>
      <c r="S97" s="21"/>
      <c r="T97" s="10"/>
      <c r="U97" s="10"/>
      <c r="V97" s="10"/>
      <c r="W97" s="10"/>
      <c r="X97" s="21"/>
      <c r="Y97" s="10"/>
      <c r="Z97" s="10"/>
      <c r="AA97" s="10"/>
      <c r="AB97" s="182" t="str">
        <f ca="1">IF(DataColumns[[#This Row],[ColumnType]]="ResultValue",IF(MAX(INDIRECT(CONCATENATE("R",ROW(DataColumns[#Headers]),"C",COLUMN(),":R",ROW()-1,"C",COLUMN()),FALSE))=0,1,MAX(INDIRECT(CONCATENATE("R",ROW(DataColumns[#Headers]),"C",COLUMN(),":R",ROW()-1,"C",COLUMN()),FALSE))+1),"")</f>
        <v/>
      </c>
      <c r="AC97" s="131" t="str">
        <f>IF(DataColumns[[#This Row],[ColumnType]]="ResultValue",CONCATENATE(DataColumns[[#This Row],[ColumnType]],DataColumns[[#This Row],[ColumnLabel]]),CONCATENATE(DataColumns[[#This Row],[ColumnType]],DataColumns[[#This Row],[AppliesToColumn]]))</f>
        <v/>
      </c>
    </row>
    <row r="98" spans="1:29" x14ac:dyDescent="0.25">
      <c r="A98" s="51" t="str">
        <f ca="1">IF(COUNTA(DataColumns[[#This Row],[ColumnLabel]:[QualityCodeCV]])&gt;0,IF(MAX(INDIRECT(CONCATENATE("R",ROW(DataColumns[#Headers]),"C",COLUMN(),":R",ROW()-1,"C",COLUMN()),FALSE))=0,1,MAX(INDIRECT(CONCATENATE("R",ROW(DataColumns[#Headers]),"C",COLUMN(),":R",ROW()-1,"C",COLUMN()),FALSE))+1),"")</f>
        <v/>
      </c>
      <c r="B98" s="109"/>
      <c r="C98" s="10"/>
      <c r="D98" s="160"/>
      <c r="E98" s="165"/>
      <c r="F98" s="144"/>
      <c r="G98" s="9"/>
      <c r="H98" s="10"/>
      <c r="I98" s="10"/>
      <c r="J98" s="10"/>
      <c r="K98" s="35"/>
      <c r="L98" s="10"/>
      <c r="M98" s="138"/>
      <c r="N98" s="109"/>
      <c r="O98" s="9"/>
      <c r="P98" s="10"/>
      <c r="Q98" s="10"/>
      <c r="R98" s="21"/>
      <c r="S98" s="21"/>
      <c r="T98" s="10"/>
      <c r="U98" s="10"/>
      <c r="V98" s="10"/>
      <c r="W98" s="10"/>
      <c r="X98" s="21"/>
      <c r="Y98" s="10"/>
      <c r="Z98" s="10"/>
      <c r="AA98" s="10"/>
      <c r="AB98" s="182" t="str">
        <f ca="1">IF(DataColumns[[#This Row],[ColumnType]]="ResultValue",IF(MAX(INDIRECT(CONCATENATE("R",ROW(DataColumns[#Headers]),"C",COLUMN(),":R",ROW()-1,"C",COLUMN()),FALSE))=0,1,MAX(INDIRECT(CONCATENATE("R",ROW(DataColumns[#Headers]),"C",COLUMN(),":R",ROW()-1,"C",COLUMN()),FALSE))+1),"")</f>
        <v/>
      </c>
      <c r="AC98" s="131" t="str">
        <f>IF(DataColumns[[#This Row],[ColumnType]]="ResultValue",CONCATENATE(DataColumns[[#This Row],[ColumnType]],DataColumns[[#This Row],[ColumnLabel]]),CONCATENATE(DataColumns[[#This Row],[ColumnType]],DataColumns[[#This Row],[AppliesToColumn]]))</f>
        <v/>
      </c>
    </row>
    <row r="99" spans="1:29" ht="15.75" thickBot="1" x14ac:dyDescent="0.3">
      <c r="A99" s="53" t="str">
        <f ca="1">IF(COUNTA(DataColumns[[#This Row],[ColumnLabel]:[QualityCodeCV]])&gt;0,IF(MAX(INDIRECT(CONCATENATE("R",ROW(DataColumns[#Headers]),"C",COLUMN(),":R",ROW()-1,"C",COLUMN()),FALSE))=0,1,MAX(INDIRECT(CONCATENATE("R",ROW(DataColumns[#Headers]),"C",COLUMN(),":R",ROW()-1,"C",COLUMN()),FALSE))+1),"")</f>
        <v/>
      </c>
      <c r="B99" s="111"/>
      <c r="C99" s="112"/>
      <c r="D99" s="161"/>
      <c r="E99" s="166"/>
      <c r="F99" s="176"/>
      <c r="G99" s="157"/>
      <c r="H99" s="112"/>
      <c r="I99" s="112"/>
      <c r="J99" s="112"/>
      <c r="K99" s="163"/>
      <c r="L99" s="112"/>
      <c r="M99" s="139"/>
      <c r="N99" s="111"/>
      <c r="O99" s="157"/>
      <c r="P99" s="112"/>
      <c r="Q99" s="112"/>
      <c r="R99" s="147"/>
      <c r="S99" s="147"/>
      <c r="T99" s="112"/>
      <c r="U99" s="112"/>
      <c r="V99" s="112"/>
      <c r="W99" s="112"/>
      <c r="X99" s="147"/>
      <c r="Y99" s="112"/>
      <c r="Z99" s="112"/>
      <c r="AA99" s="112"/>
      <c r="AB99" s="183" t="str">
        <f ca="1">IF(DataColumns[[#This Row],[ColumnType]]="ResultValue",IF(MAX(INDIRECT(CONCATENATE("R",ROW(DataColumns[#Headers]),"C",COLUMN(),":R",ROW()-1,"C",COLUMN()),FALSE))=0,1,MAX(INDIRECT(CONCATENATE("R",ROW(DataColumns[#Headers]),"C",COLUMN(),":R",ROW()-1,"C",COLUMN()),FALSE))+1),"")</f>
        <v/>
      </c>
      <c r="AC99" s="132"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48"/>
      <c r="B2" s="5"/>
      <c r="C2" s="5"/>
      <c r="D2" s="5"/>
      <c r="E2" s="5"/>
      <c r="F2" s="5"/>
      <c r="G2" s="5"/>
      <c r="H2" s="5"/>
      <c r="I2" s="5"/>
      <c r="J2" s="5"/>
      <c r="K2" s="5"/>
      <c r="L2" s="5"/>
      <c r="M2" s="5"/>
      <c r="N2" s="155"/>
    </row>
    <row r="3" spans="1:14" x14ac:dyDescent="0.25">
      <c r="A3" s="148"/>
      <c r="B3" s="5"/>
      <c r="C3" s="5"/>
      <c r="D3" s="5"/>
      <c r="E3" s="5"/>
      <c r="F3" s="5"/>
      <c r="G3" s="5"/>
      <c r="H3" s="5"/>
      <c r="I3" s="5"/>
      <c r="J3" s="5"/>
      <c r="K3" s="5"/>
      <c r="L3" s="5"/>
      <c r="M3" s="5"/>
      <c r="N3" s="155"/>
    </row>
    <row r="4" spans="1:14" x14ac:dyDescent="0.25">
      <c r="A4" s="148"/>
      <c r="B4" s="5"/>
      <c r="C4" s="5"/>
      <c r="D4" s="5"/>
      <c r="E4" s="5"/>
      <c r="F4" s="5"/>
      <c r="G4" s="5"/>
      <c r="H4" s="5"/>
      <c r="I4" s="5"/>
      <c r="J4" s="5"/>
      <c r="K4" s="5"/>
      <c r="L4" s="5"/>
      <c r="M4" s="5"/>
      <c r="N4" s="155"/>
    </row>
    <row r="5" spans="1:14" x14ac:dyDescent="0.25">
      <c r="A5" s="148"/>
      <c r="B5" s="5"/>
      <c r="C5" s="5"/>
      <c r="D5" s="5"/>
      <c r="E5" s="5"/>
      <c r="F5" s="5"/>
      <c r="G5" s="5"/>
      <c r="H5" s="5"/>
      <c r="I5" s="5"/>
      <c r="J5" s="5"/>
      <c r="K5" s="5"/>
      <c r="L5" s="5"/>
      <c r="M5" s="5"/>
      <c r="N5" s="155"/>
    </row>
    <row r="6" spans="1:14" x14ac:dyDescent="0.25">
      <c r="A6" s="148"/>
      <c r="B6" s="5"/>
      <c r="C6" s="5"/>
      <c r="D6" s="5"/>
      <c r="E6" s="5"/>
      <c r="F6" s="5"/>
      <c r="G6" s="5"/>
      <c r="H6" s="5"/>
      <c r="I6" s="5"/>
      <c r="J6" s="5"/>
      <c r="K6" s="5"/>
      <c r="L6" s="5"/>
      <c r="M6" s="5"/>
      <c r="N6" s="155"/>
    </row>
    <row r="7" spans="1:14" x14ac:dyDescent="0.25">
      <c r="A7" s="148"/>
      <c r="B7" s="5"/>
      <c r="C7" s="5"/>
      <c r="D7" s="5"/>
      <c r="E7" s="5"/>
      <c r="F7" s="5"/>
      <c r="G7" s="5"/>
      <c r="H7" s="5"/>
      <c r="I7" s="5"/>
      <c r="J7" s="5"/>
      <c r="K7" s="5"/>
      <c r="L7" s="5"/>
      <c r="M7" s="5"/>
      <c r="N7" s="155"/>
    </row>
    <row r="8" spans="1:14" x14ac:dyDescent="0.25">
      <c r="A8" s="148"/>
      <c r="B8" s="5"/>
      <c r="C8" s="5"/>
      <c r="D8" s="5"/>
      <c r="E8" s="5"/>
      <c r="F8" s="5"/>
      <c r="G8" s="5"/>
      <c r="H8" s="5"/>
      <c r="I8" s="5"/>
      <c r="J8" s="5"/>
      <c r="K8" s="5"/>
      <c r="L8" s="5"/>
      <c r="M8" s="5"/>
      <c r="N8" s="155"/>
    </row>
    <row r="9" spans="1:14" x14ac:dyDescent="0.25">
      <c r="A9" s="148"/>
      <c r="B9" s="5"/>
      <c r="C9" s="5"/>
      <c r="D9" s="5"/>
      <c r="E9" s="5"/>
      <c r="F9" s="5"/>
      <c r="G9" s="5"/>
      <c r="H9" s="5"/>
      <c r="I9" s="5"/>
      <c r="J9" s="5"/>
      <c r="K9" s="5"/>
      <c r="L9" s="5"/>
      <c r="M9" s="5"/>
      <c r="N9" s="155"/>
    </row>
    <row r="10" spans="1:14" x14ac:dyDescent="0.25">
      <c r="A10" s="148"/>
      <c r="B10" s="5"/>
      <c r="C10" s="5"/>
      <c r="D10" s="5"/>
      <c r="E10" s="5"/>
      <c r="F10" s="5"/>
      <c r="G10" s="5"/>
      <c r="H10" s="5"/>
      <c r="I10" s="5"/>
      <c r="J10" s="5"/>
      <c r="K10" s="5"/>
      <c r="L10" s="5"/>
      <c r="M10" s="5"/>
      <c r="N10" s="155"/>
    </row>
    <row r="11" spans="1:14" x14ac:dyDescent="0.25">
      <c r="A11" s="148"/>
      <c r="B11" s="5"/>
      <c r="C11" s="5"/>
      <c r="D11" s="5"/>
      <c r="E11" s="5"/>
      <c r="F11" s="5"/>
      <c r="G11" s="5"/>
      <c r="H11" s="5"/>
      <c r="I11" s="5"/>
      <c r="J11" s="5"/>
      <c r="K11" s="5"/>
      <c r="L11" s="5"/>
      <c r="M11" s="5"/>
      <c r="N11" s="155"/>
    </row>
    <row r="12" spans="1:14" x14ac:dyDescent="0.25">
      <c r="A12" s="148"/>
      <c r="B12" s="5"/>
      <c r="C12" s="5"/>
      <c r="D12" s="5"/>
      <c r="E12" s="5"/>
      <c r="F12" s="5"/>
      <c r="G12" s="5"/>
      <c r="H12" s="5"/>
      <c r="I12" s="5"/>
      <c r="J12" s="5"/>
      <c r="K12" s="5"/>
      <c r="L12" s="5"/>
      <c r="M12" s="5"/>
      <c r="N12" s="155"/>
    </row>
    <row r="13" spans="1:14" x14ac:dyDescent="0.25">
      <c r="A13" s="148"/>
      <c r="B13" s="5"/>
      <c r="C13" s="5"/>
      <c r="D13" s="5"/>
      <c r="E13" s="5"/>
      <c r="F13" s="5"/>
      <c r="G13" s="5"/>
      <c r="H13" s="5"/>
      <c r="I13" s="5"/>
      <c r="J13" s="5"/>
      <c r="K13" s="5"/>
      <c r="L13" s="5"/>
      <c r="M13" s="5"/>
      <c r="N13" s="155"/>
    </row>
    <row r="14" spans="1:14" x14ac:dyDescent="0.25">
      <c r="A14" s="148"/>
      <c r="B14" s="5"/>
      <c r="C14" s="5"/>
      <c r="D14" s="5"/>
      <c r="E14" s="5"/>
      <c r="F14" s="5"/>
      <c r="G14" s="5"/>
      <c r="H14" s="5"/>
      <c r="I14" s="5"/>
      <c r="J14" s="5"/>
      <c r="K14" s="5"/>
      <c r="L14" s="5"/>
      <c r="M14" s="5"/>
      <c r="N14" s="155"/>
    </row>
    <row r="15" spans="1:14" x14ac:dyDescent="0.25">
      <c r="A15" s="148"/>
      <c r="B15" s="5"/>
      <c r="C15" s="5"/>
      <c r="D15" s="5"/>
      <c r="E15" s="5"/>
      <c r="F15" s="5"/>
      <c r="G15" s="5"/>
      <c r="H15" s="5"/>
      <c r="I15" s="5"/>
      <c r="J15" s="5"/>
      <c r="K15" s="5"/>
      <c r="L15" s="5"/>
      <c r="M15" s="5"/>
      <c r="N15" s="155"/>
    </row>
    <row r="16" spans="1:14" x14ac:dyDescent="0.25">
      <c r="A16" s="148"/>
      <c r="B16" s="5"/>
      <c r="C16" s="5"/>
      <c r="D16" s="5"/>
      <c r="E16" s="5"/>
      <c r="F16" s="5"/>
      <c r="G16" s="5"/>
      <c r="H16" s="5"/>
      <c r="I16" s="5"/>
      <c r="J16" s="5"/>
      <c r="K16" s="5"/>
      <c r="L16" s="5"/>
      <c r="M16" s="5"/>
      <c r="N16" s="155"/>
    </row>
    <row r="17" spans="1:14" x14ac:dyDescent="0.25">
      <c r="A17" s="148"/>
      <c r="B17" s="5"/>
      <c r="C17" s="5"/>
      <c r="D17" s="5"/>
      <c r="E17" s="5"/>
      <c r="F17" s="5"/>
      <c r="G17" s="5"/>
      <c r="H17" s="5"/>
      <c r="I17" s="5"/>
      <c r="J17" s="5"/>
      <c r="K17" s="5"/>
      <c r="L17" s="5"/>
      <c r="M17" s="5"/>
      <c r="N17" s="155"/>
    </row>
    <row r="18" spans="1:14" x14ac:dyDescent="0.25">
      <c r="A18" s="148"/>
      <c r="B18" s="5"/>
      <c r="C18" s="5"/>
      <c r="D18" s="5"/>
      <c r="E18" s="5"/>
      <c r="F18" s="5"/>
      <c r="G18" s="5"/>
      <c r="H18" s="5"/>
      <c r="I18" s="5"/>
      <c r="J18" s="5"/>
      <c r="K18" s="5"/>
      <c r="L18" s="5"/>
      <c r="M18" s="5"/>
      <c r="N18" s="155"/>
    </row>
    <row r="19" spans="1:14" x14ac:dyDescent="0.25">
      <c r="A19" s="148"/>
      <c r="B19" s="5"/>
      <c r="C19" s="5"/>
      <c r="D19" s="5"/>
      <c r="E19" s="5"/>
      <c r="F19" s="5"/>
      <c r="G19" s="5"/>
      <c r="H19" s="5"/>
      <c r="I19" s="5"/>
      <c r="J19" s="5"/>
      <c r="K19" s="5"/>
      <c r="L19" s="5"/>
      <c r="M19" s="5"/>
      <c r="N19" s="155"/>
    </row>
    <row r="20" spans="1:14" x14ac:dyDescent="0.25">
      <c r="A20" s="148"/>
      <c r="B20" s="5"/>
      <c r="C20" s="5"/>
      <c r="D20" s="5"/>
      <c r="E20" s="5"/>
      <c r="F20" s="5"/>
      <c r="G20" s="5"/>
      <c r="H20" s="5"/>
      <c r="I20" s="5"/>
      <c r="J20" s="5"/>
      <c r="K20" s="5"/>
      <c r="L20" s="5"/>
      <c r="M20" s="5"/>
      <c r="N20" s="155"/>
    </row>
    <row r="21" spans="1:14" x14ac:dyDescent="0.25">
      <c r="A21" s="148"/>
      <c r="B21" s="5"/>
      <c r="C21" s="5"/>
      <c r="D21" s="5"/>
      <c r="E21" s="5"/>
      <c r="F21" s="5"/>
      <c r="G21" s="5"/>
      <c r="H21" s="5"/>
      <c r="I21" s="5"/>
      <c r="J21" s="5"/>
      <c r="K21" s="5"/>
      <c r="L21" s="5"/>
      <c r="M21" s="5"/>
      <c r="N21" s="155"/>
    </row>
    <row r="22" spans="1:14" x14ac:dyDescent="0.25">
      <c r="A22" s="148"/>
      <c r="B22" s="5"/>
      <c r="C22" s="5"/>
      <c r="D22" s="5"/>
      <c r="E22" s="5"/>
      <c r="F22" s="5"/>
      <c r="G22" s="5"/>
      <c r="H22" s="5"/>
      <c r="I22" s="5"/>
      <c r="J22" s="5"/>
      <c r="K22" s="5"/>
      <c r="L22" s="5"/>
      <c r="M22" s="5"/>
      <c r="N22" s="155"/>
    </row>
    <row r="23" spans="1:14" x14ac:dyDescent="0.25">
      <c r="A23" s="148"/>
      <c r="B23" s="5"/>
      <c r="C23" s="5"/>
      <c r="D23" s="5"/>
      <c r="E23" s="5"/>
      <c r="F23" s="5"/>
      <c r="G23" s="5"/>
      <c r="H23" s="5"/>
      <c r="I23" s="5"/>
      <c r="J23" s="5"/>
      <c r="K23" s="5"/>
      <c r="L23" s="5"/>
      <c r="M23" s="5"/>
      <c r="N23" s="155"/>
    </row>
    <row r="24" spans="1:14" x14ac:dyDescent="0.25">
      <c r="A24" s="148"/>
      <c r="B24" s="5"/>
      <c r="C24" s="5"/>
      <c r="D24" s="5"/>
      <c r="E24" s="5"/>
      <c r="F24" s="5"/>
      <c r="G24" s="5"/>
      <c r="H24" s="5"/>
      <c r="I24" s="5"/>
      <c r="J24" s="5"/>
      <c r="K24" s="5"/>
      <c r="L24" s="5"/>
      <c r="M24" s="5"/>
      <c r="N24" s="155"/>
    </row>
    <row r="25" spans="1:14" x14ac:dyDescent="0.25">
      <c r="A25" s="148"/>
      <c r="B25" s="5"/>
      <c r="C25" s="5"/>
      <c r="D25" s="5"/>
      <c r="E25" s="5"/>
      <c r="F25" s="5"/>
      <c r="G25" s="5"/>
      <c r="H25" s="5"/>
      <c r="I25" s="5"/>
      <c r="J25" s="5"/>
      <c r="K25" s="5"/>
      <c r="L25" s="5"/>
      <c r="M25" s="5"/>
      <c r="N25" s="155"/>
    </row>
    <row r="26" spans="1:14" x14ac:dyDescent="0.25">
      <c r="A26" s="148"/>
      <c r="B26" s="5"/>
      <c r="C26" s="5"/>
      <c r="D26" s="5"/>
      <c r="E26" s="5"/>
      <c r="F26" s="5"/>
      <c r="G26" s="5"/>
      <c r="H26" s="5"/>
      <c r="I26" s="5"/>
      <c r="J26" s="5"/>
      <c r="K26" s="5"/>
      <c r="L26" s="5"/>
      <c r="M26" s="5"/>
      <c r="N26" s="155"/>
    </row>
    <row r="27" spans="1:14" x14ac:dyDescent="0.25">
      <c r="A27" s="148"/>
      <c r="B27" s="5"/>
      <c r="C27" s="5"/>
      <c r="D27" s="5"/>
      <c r="E27" s="5"/>
      <c r="F27" s="5"/>
      <c r="G27" s="5"/>
      <c r="H27" s="5"/>
      <c r="I27" s="5"/>
      <c r="J27" s="5"/>
      <c r="K27" s="5"/>
      <c r="L27" s="5"/>
      <c r="M27" s="5"/>
      <c r="N27" s="155"/>
    </row>
    <row r="28" spans="1:14" x14ac:dyDescent="0.25">
      <c r="A28" s="148"/>
      <c r="B28" s="5"/>
      <c r="C28" s="5"/>
      <c r="D28" s="5"/>
      <c r="E28" s="5"/>
      <c r="F28" s="5"/>
      <c r="G28" s="5"/>
      <c r="H28" s="5"/>
      <c r="I28" s="5"/>
      <c r="J28" s="5"/>
      <c r="K28" s="5"/>
      <c r="L28" s="5"/>
      <c r="M28" s="5"/>
      <c r="N28" s="155"/>
    </row>
    <row r="29" spans="1:14" x14ac:dyDescent="0.25">
      <c r="A29" s="148"/>
      <c r="B29" s="5"/>
      <c r="C29" s="5"/>
      <c r="D29" s="5"/>
      <c r="E29" s="5"/>
      <c r="F29" s="5"/>
      <c r="G29" s="5"/>
      <c r="H29" s="5"/>
      <c r="I29" s="5"/>
      <c r="J29" s="5"/>
      <c r="K29" s="5"/>
      <c r="L29" s="5"/>
      <c r="M29" s="5"/>
      <c r="N29" s="155"/>
    </row>
    <row r="30" spans="1:14" x14ac:dyDescent="0.25">
      <c r="A30" s="148"/>
      <c r="B30" s="5"/>
      <c r="C30" s="5"/>
      <c r="D30" s="5"/>
      <c r="E30" s="5"/>
      <c r="F30" s="5"/>
      <c r="G30" s="5"/>
      <c r="H30" s="5"/>
      <c r="I30" s="5"/>
      <c r="J30" s="5"/>
      <c r="K30" s="5"/>
      <c r="L30" s="5"/>
      <c r="M30" s="5"/>
      <c r="N30" s="155"/>
    </row>
    <row r="31" spans="1:14" x14ac:dyDescent="0.25">
      <c r="A31" s="148"/>
      <c r="B31" s="5"/>
      <c r="C31" s="5"/>
      <c r="D31" s="5"/>
      <c r="E31" s="5"/>
      <c r="F31" s="5"/>
      <c r="G31" s="5"/>
      <c r="H31" s="5"/>
      <c r="I31" s="5"/>
      <c r="J31" s="5"/>
      <c r="K31" s="5"/>
      <c r="L31" s="5"/>
      <c r="M31" s="5"/>
      <c r="N31" s="155"/>
    </row>
    <row r="32" spans="1:14" x14ac:dyDescent="0.25">
      <c r="A32" s="148"/>
      <c r="B32" s="5"/>
      <c r="C32" s="5"/>
      <c r="D32" s="5"/>
      <c r="E32" s="5"/>
      <c r="F32" s="5"/>
      <c r="G32" s="5"/>
      <c r="H32" s="5"/>
      <c r="I32" s="5"/>
      <c r="J32" s="5"/>
      <c r="K32" s="5"/>
      <c r="L32" s="5"/>
      <c r="M32" s="5"/>
      <c r="N32" s="155"/>
    </row>
    <row r="33" spans="1:14" x14ac:dyDescent="0.25">
      <c r="A33" s="148"/>
      <c r="B33" s="5"/>
      <c r="C33" s="5"/>
      <c r="D33" s="5"/>
      <c r="E33" s="5"/>
      <c r="F33" s="5"/>
      <c r="G33" s="5"/>
      <c r="H33" s="5"/>
      <c r="I33" s="5"/>
      <c r="J33" s="5"/>
      <c r="K33" s="5"/>
      <c r="L33" s="5"/>
      <c r="M33" s="5"/>
      <c r="N33" s="155"/>
    </row>
    <row r="34" spans="1:14" x14ac:dyDescent="0.25">
      <c r="A34" s="148"/>
      <c r="B34" s="5"/>
      <c r="C34" s="5"/>
      <c r="D34" s="5"/>
      <c r="E34" s="5"/>
      <c r="F34" s="5"/>
      <c r="G34" s="5"/>
      <c r="H34" s="5"/>
      <c r="I34" s="5"/>
      <c r="J34" s="5"/>
      <c r="K34" s="5"/>
      <c r="L34" s="5"/>
      <c r="M34" s="5"/>
      <c r="N34" s="155"/>
    </row>
    <row r="35" spans="1:14" x14ac:dyDescent="0.25">
      <c r="A35" s="148"/>
      <c r="B35" s="5"/>
      <c r="C35" s="5"/>
      <c r="D35" s="5"/>
      <c r="E35" s="5"/>
      <c r="F35" s="5"/>
      <c r="G35" s="5"/>
      <c r="H35" s="5"/>
      <c r="I35" s="5"/>
      <c r="J35" s="5"/>
      <c r="K35" s="5"/>
      <c r="L35" s="5"/>
      <c r="M35" s="5"/>
      <c r="N35" s="155"/>
    </row>
    <row r="36" spans="1:14" x14ac:dyDescent="0.25">
      <c r="A36" s="148"/>
      <c r="B36" s="5"/>
      <c r="C36" s="5"/>
      <c r="D36" s="5"/>
      <c r="E36" s="5"/>
      <c r="F36" s="5"/>
      <c r="G36" s="5"/>
      <c r="H36" s="5"/>
      <c r="I36" s="5"/>
      <c r="J36" s="5"/>
      <c r="K36" s="5"/>
      <c r="L36" s="5"/>
      <c r="M36" s="5"/>
      <c r="N36" s="155"/>
    </row>
    <row r="37" spans="1:14" x14ac:dyDescent="0.25">
      <c r="A37" s="148"/>
      <c r="B37" s="5"/>
      <c r="C37" s="5"/>
      <c r="D37" s="5"/>
      <c r="E37" s="5"/>
      <c r="F37" s="5"/>
      <c r="G37" s="5"/>
      <c r="H37" s="5"/>
      <c r="I37" s="5"/>
      <c r="J37" s="5"/>
      <c r="K37" s="5"/>
      <c r="L37" s="5"/>
      <c r="M37" s="5"/>
      <c r="N37" s="155"/>
    </row>
    <row r="38" spans="1:14" x14ac:dyDescent="0.25">
      <c r="A38" s="148"/>
      <c r="B38" s="5"/>
      <c r="C38" s="5"/>
      <c r="D38" s="5"/>
      <c r="E38" s="5"/>
      <c r="F38" s="5"/>
      <c r="G38" s="5"/>
      <c r="H38" s="5"/>
      <c r="I38" s="5"/>
      <c r="J38" s="5"/>
      <c r="K38" s="5"/>
      <c r="L38" s="5"/>
      <c r="M38" s="5"/>
      <c r="N38" s="155"/>
    </row>
    <row r="39" spans="1:14" x14ac:dyDescent="0.25">
      <c r="A39" s="148"/>
      <c r="B39" s="5"/>
      <c r="C39" s="5"/>
      <c r="D39" s="5"/>
      <c r="E39" s="5"/>
      <c r="F39" s="5"/>
      <c r="G39" s="5"/>
      <c r="H39" s="5"/>
      <c r="I39" s="5"/>
      <c r="J39" s="5"/>
      <c r="K39" s="5"/>
      <c r="L39" s="5"/>
      <c r="M39" s="5"/>
      <c r="N39" s="155"/>
    </row>
    <row r="40" spans="1:14" x14ac:dyDescent="0.25">
      <c r="A40" s="148"/>
      <c r="B40" s="5"/>
      <c r="C40" s="5"/>
      <c r="D40" s="5"/>
      <c r="E40" s="5"/>
      <c r="F40" s="5"/>
      <c r="G40" s="5"/>
      <c r="H40" s="5"/>
      <c r="I40" s="5"/>
      <c r="J40" s="5"/>
      <c r="K40" s="5"/>
      <c r="L40" s="5"/>
      <c r="M40" s="5"/>
      <c r="N40" s="155"/>
    </row>
    <row r="41" spans="1:14" x14ac:dyDescent="0.25">
      <c r="A41" s="148"/>
      <c r="B41" s="5"/>
      <c r="C41" s="5"/>
      <c r="D41" s="5"/>
      <c r="E41" s="5"/>
      <c r="F41" s="5"/>
      <c r="G41" s="5"/>
      <c r="H41" s="5"/>
      <c r="I41" s="5"/>
      <c r="J41" s="5"/>
      <c r="K41" s="5"/>
      <c r="L41" s="5"/>
      <c r="M41" s="5"/>
      <c r="N41" s="155"/>
    </row>
    <row r="42" spans="1:14" x14ac:dyDescent="0.25">
      <c r="A42" s="148"/>
      <c r="B42" s="5"/>
      <c r="C42" s="5"/>
      <c r="D42" s="5"/>
      <c r="E42" s="5"/>
      <c r="F42" s="5"/>
      <c r="G42" s="5"/>
      <c r="H42" s="5"/>
      <c r="I42" s="5"/>
      <c r="J42" s="5"/>
      <c r="K42" s="5"/>
      <c r="L42" s="5"/>
      <c r="M42" s="5"/>
      <c r="N42" s="155"/>
    </row>
    <row r="43" spans="1:14" x14ac:dyDescent="0.25">
      <c r="A43" s="148"/>
      <c r="B43" s="5"/>
      <c r="C43" s="5"/>
      <c r="D43" s="5"/>
      <c r="E43" s="5"/>
      <c r="F43" s="5"/>
      <c r="G43" s="5"/>
      <c r="H43" s="5"/>
      <c r="I43" s="5"/>
      <c r="J43" s="5"/>
      <c r="K43" s="5"/>
      <c r="L43" s="5"/>
      <c r="M43" s="5"/>
      <c r="N43" s="155"/>
    </row>
    <row r="44" spans="1:14" x14ac:dyDescent="0.25">
      <c r="A44" s="148"/>
      <c r="B44" s="5"/>
      <c r="C44" s="5"/>
      <c r="D44" s="5"/>
      <c r="E44" s="5"/>
      <c r="F44" s="5"/>
      <c r="G44" s="5"/>
      <c r="H44" s="5"/>
      <c r="I44" s="5"/>
      <c r="J44" s="5"/>
      <c r="K44" s="5"/>
      <c r="L44" s="5"/>
      <c r="M44" s="5"/>
      <c r="N44" s="155"/>
    </row>
    <row r="45" spans="1:14" x14ac:dyDescent="0.25">
      <c r="A45" s="148"/>
      <c r="B45" s="5"/>
      <c r="C45" s="5"/>
      <c r="D45" s="5"/>
      <c r="E45" s="5"/>
      <c r="F45" s="5"/>
      <c r="G45" s="5"/>
      <c r="H45" s="5"/>
      <c r="I45" s="5"/>
      <c r="J45" s="5"/>
      <c r="K45" s="5"/>
      <c r="L45" s="5"/>
      <c r="M45" s="5"/>
      <c r="N45" s="155"/>
    </row>
    <row r="46" spans="1:14" x14ac:dyDescent="0.25">
      <c r="A46" s="148"/>
      <c r="B46" s="5"/>
      <c r="C46" s="5"/>
      <c r="D46" s="5"/>
      <c r="E46" s="5"/>
      <c r="F46" s="5"/>
      <c r="G46" s="5"/>
      <c r="H46" s="5"/>
      <c r="I46" s="5"/>
      <c r="J46" s="5"/>
      <c r="K46" s="5"/>
      <c r="L46" s="5"/>
      <c r="M46" s="5"/>
      <c r="N46" s="155"/>
    </row>
    <row r="47" spans="1:14" x14ac:dyDescent="0.25">
      <c r="A47" s="148"/>
      <c r="B47" s="5"/>
      <c r="C47" s="5"/>
      <c r="D47" s="5"/>
      <c r="E47" s="5"/>
      <c r="F47" s="5"/>
      <c r="G47" s="5"/>
      <c r="H47" s="5"/>
      <c r="I47" s="5"/>
      <c r="J47" s="5"/>
      <c r="K47" s="5"/>
      <c r="L47" s="5"/>
      <c r="M47" s="5"/>
      <c r="N47" s="155"/>
    </row>
    <row r="48" spans="1:14" x14ac:dyDescent="0.25">
      <c r="A48" s="148"/>
      <c r="B48" s="5"/>
      <c r="C48" s="5"/>
      <c r="D48" s="5"/>
      <c r="E48" s="5"/>
      <c r="F48" s="5"/>
      <c r="G48" s="5"/>
      <c r="H48" s="5"/>
      <c r="I48" s="5"/>
      <c r="J48" s="5"/>
      <c r="K48" s="5"/>
      <c r="L48" s="5"/>
      <c r="M48" s="5"/>
      <c r="N48" s="155"/>
    </row>
    <row r="49" spans="1:14" x14ac:dyDescent="0.25">
      <c r="A49" s="148"/>
      <c r="B49" s="5"/>
      <c r="C49" s="5"/>
      <c r="D49" s="5"/>
      <c r="E49" s="5"/>
      <c r="F49" s="5"/>
      <c r="G49" s="5"/>
      <c r="H49" s="5"/>
      <c r="I49" s="5"/>
      <c r="J49" s="5"/>
      <c r="K49" s="5"/>
      <c r="L49" s="5"/>
      <c r="M49" s="5"/>
      <c r="N49" s="155"/>
    </row>
    <row r="50" spans="1:14" x14ac:dyDescent="0.25">
      <c r="A50" s="148"/>
      <c r="B50" s="5"/>
      <c r="C50" s="5"/>
      <c r="D50" s="5"/>
      <c r="E50" s="5"/>
      <c r="F50" s="5"/>
      <c r="G50" s="5"/>
      <c r="H50" s="5"/>
      <c r="I50" s="5"/>
      <c r="J50" s="5"/>
      <c r="K50" s="5"/>
      <c r="L50" s="5"/>
      <c r="M50" s="5"/>
      <c r="N50" s="155"/>
    </row>
    <row r="51" spans="1:14" x14ac:dyDescent="0.25">
      <c r="A51" s="148"/>
      <c r="B51" s="5"/>
      <c r="C51" s="5"/>
      <c r="D51" s="5"/>
      <c r="E51" s="5"/>
      <c r="F51" s="5"/>
      <c r="G51" s="5"/>
      <c r="H51" s="5"/>
      <c r="I51" s="5"/>
      <c r="J51" s="5"/>
      <c r="K51" s="5"/>
      <c r="L51" s="5"/>
      <c r="M51" s="5"/>
      <c r="N51" s="155"/>
    </row>
    <row r="52" spans="1:14" x14ac:dyDescent="0.25">
      <c r="A52" s="148"/>
      <c r="B52" s="5"/>
      <c r="C52" s="5"/>
      <c r="D52" s="5"/>
      <c r="E52" s="5"/>
      <c r="F52" s="5"/>
      <c r="G52" s="5"/>
      <c r="H52" s="5"/>
      <c r="I52" s="5"/>
      <c r="J52" s="5"/>
      <c r="K52" s="5"/>
      <c r="L52" s="5"/>
      <c r="M52" s="5"/>
      <c r="N52" s="155"/>
    </row>
    <row r="53" spans="1:14" x14ac:dyDescent="0.25">
      <c r="A53" s="148"/>
      <c r="B53" s="5"/>
      <c r="C53" s="5"/>
      <c r="D53" s="5"/>
      <c r="E53" s="5"/>
      <c r="F53" s="5"/>
      <c r="G53" s="5"/>
      <c r="H53" s="5"/>
      <c r="I53" s="5"/>
      <c r="J53" s="5"/>
      <c r="K53" s="5"/>
      <c r="L53" s="5"/>
      <c r="M53" s="5"/>
      <c r="N53" s="155"/>
    </row>
    <row r="54" spans="1:14" x14ac:dyDescent="0.25">
      <c r="A54" s="148"/>
      <c r="B54" s="5"/>
      <c r="C54" s="5"/>
      <c r="D54" s="5"/>
      <c r="E54" s="5"/>
      <c r="F54" s="5"/>
      <c r="G54" s="5"/>
      <c r="H54" s="5"/>
      <c r="I54" s="5"/>
      <c r="J54" s="5"/>
      <c r="K54" s="5"/>
      <c r="L54" s="5"/>
      <c r="M54" s="5"/>
      <c r="N54" s="155"/>
    </row>
    <row r="55" spans="1:14" x14ac:dyDescent="0.25">
      <c r="A55" s="148"/>
      <c r="B55" s="5"/>
      <c r="C55" s="5"/>
      <c r="D55" s="5"/>
      <c r="E55" s="5"/>
      <c r="F55" s="5"/>
      <c r="G55" s="5"/>
      <c r="H55" s="5"/>
      <c r="I55" s="5"/>
      <c r="J55" s="5"/>
      <c r="K55" s="5"/>
      <c r="L55" s="5"/>
      <c r="M55" s="5"/>
      <c r="N55" s="155"/>
    </row>
    <row r="56" spans="1:14" x14ac:dyDescent="0.25">
      <c r="A56" s="148"/>
      <c r="B56" s="5"/>
      <c r="C56" s="5"/>
      <c r="D56" s="5"/>
      <c r="E56" s="5"/>
      <c r="F56" s="5"/>
      <c r="G56" s="5"/>
      <c r="H56" s="5"/>
      <c r="I56" s="5"/>
      <c r="J56" s="5"/>
      <c r="K56" s="5"/>
      <c r="L56" s="5"/>
      <c r="M56" s="5"/>
      <c r="N56" s="155"/>
    </row>
    <row r="57" spans="1:14" x14ac:dyDescent="0.25">
      <c r="A57" s="148"/>
      <c r="B57" s="5"/>
      <c r="C57" s="5"/>
      <c r="D57" s="5"/>
      <c r="E57" s="5"/>
      <c r="F57" s="5"/>
      <c r="G57" s="5"/>
      <c r="H57" s="5"/>
      <c r="I57" s="5"/>
      <c r="J57" s="5"/>
      <c r="K57" s="5"/>
      <c r="L57" s="5"/>
      <c r="M57" s="5"/>
      <c r="N57" s="155"/>
    </row>
    <row r="58" spans="1:14" x14ac:dyDescent="0.25">
      <c r="A58" s="148"/>
      <c r="B58" s="5"/>
      <c r="C58" s="5"/>
      <c r="D58" s="5"/>
      <c r="E58" s="5"/>
      <c r="F58" s="5"/>
      <c r="G58" s="5"/>
      <c r="H58" s="5"/>
      <c r="I58" s="5"/>
      <c r="J58" s="5"/>
      <c r="K58" s="5"/>
      <c r="L58" s="5"/>
      <c r="M58" s="5"/>
      <c r="N58" s="155"/>
    </row>
    <row r="59" spans="1:14" x14ac:dyDescent="0.25">
      <c r="A59" s="148"/>
      <c r="B59" s="5"/>
      <c r="C59" s="5"/>
      <c r="D59" s="5"/>
      <c r="E59" s="5"/>
      <c r="F59" s="5"/>
      <c r="G59" s="5"/>
      <c r="H59" s="5"/>
      <c r="I59" s="5"/>
      <c r="J59" s="5"/>
      <c r="K59" s="5"/>
      <c r="L59" s="5"/>
      <c r="M59" s="5"/>
      <c r="N59" s="155"/>
    </row>
    <row r="60" spans="1:14" x14ac:dyDescent="0.25">
      <c r="A60" s="148"/>
      <c r="B60" s="5"/>
      <c r="C60" s="5"/>
      <c r="D60" s="5"/>
      <c r="E60" s="5"/>
      <c r="F60" s="5"/>
      <c r="G60" s="5"/>
      <c r="H60" s="5"/>
      <c r="I60" s="5"/>
      <c r="J60" s="5"/>
      <c r="K60" s="5"/>
      <c r="L60" s="5"/>
      <c r="M60" s="5"/>
      <c r="N60" s="155"/>
    </row>
    <row r="61" spans="1:14" x14ac:dyDescent="0.25">
      <c r="A61" s="148"/>
      <c r="B61" s="5"/>
      <c r="C61" s="5"/>
      <c r="D61" s="5"/>
      <c r="E61" s="5"/>
      <c r="F61" s="5"/>
      <c r="G61" s="5"/>
      <c r="H61" s="5"/>
      <c r="I61" s="5"/>
      <c r="J61" s="5"/>
      <c r="K61" s="5"/>
      <c r="L61" s="5"/>
      <c r="M61" s="5"/>
      <c r="N61" s="155"/>
    </row>
    <row r="62" spans="1:14" x14ac:dyDescent="0.25">
      <c r="A62" s="148"/>
      <c r="B62" s="5"/>
      <c r="C62" s="5"/>
      <c r="D62" s="5"/>
      <c r="E62" s="5"/>
      <c r="F62" s="5"/>
      <c r="G62" s="5"/>
      <c r="H62" s="5"/>
      <c r="I62" s="5"/>
      <c r="J62" s="5"/>
      <c r="K62" s="5"/>
      <c r="L62" s="5"/>
      <c r="M62" s="5"/>
      <c r="N62" s="155"/>
    </row>
    <row r="63" spans="1:14" x14ac:dyDescent="0.25">
      <c r="A63" s="148"/>
      <c r="B63" s="5"/>
      <c r="C63" s="5"/>
      <c r="D63" s="5"/>
      <c r="E63" s="5"/>
      <c r="F63" s="5"/>
      <c r="G63" s="5"/>
      <c r="H63" s="5"/>
      <c r="I63" s="5"/>
      <c r="J63" s="5"/>
      <c r="K63" s="5"/>
      <c r="L63" s="5"/>
      <c r="M63" s="5"/>
      <c r="N63" s="155"/>
    </row>
    <row r="64" spans="1:14" x14ac:dyDescent="0.25">
      <c r="A64" s="148"/>
      <c r="B64" s="5"/>
      <c r="C64" s="5"/>
      <c r="D64" s="5"/>
      <c r="E64" s="5"/>
      <c r="F64" s="5"/>
      <c r="G64" s="5"/>
      <c r="H64" s="5"/>
      <c r="I64" s="5"/>
      <c r="J64" s="5"/>
      <c r="K64" s="5"/>
      <c r="L64" s="5"/>
      <c r="M64" s="5"/>
      <c r="N64" s="155"/>
    </row>
    <row r="65" spans="1:14" x14ac:dyDescent="0.25">
      <c r="A65" s="148"/>
      <c r="B65" s="5"/>
      <c r="C65" s="5"/>
      <c r="D65" s="5"/>
      <c r="E65" s="5"/>
      <c r="F65" s="5"/>
      <c r="G65" s="5"/>
      <c r="H65" s="5"/>
      <c r="I65" s="5"/>
      <c r="J65" s="5"/>
      <c r="K65" s="5"/>
      <c r="L65" s="5"/>
      <c r="M65" s="5"/>
      <c r="N65" s="155"/>
    </row>
    <row r="66" spans="1:14" x14ac:dyDescent="0.25">
      <c r="A66" s="148"/>
      <c r="B66" s="5"/>
      <c r="C66" s="5"/>
      <c r="D66" s="5"/>
      <c r="E66" s="5"/>
      <c r="F66" s="5"/>
      <c r="G66" s="5"/>
      <c r="H66" s="5"/>
      <c r="I66" s="5"/>
      <c r="J66" s="5"/>
      <c r="K66" s="5"/>
      <c r="L66" s="5"/>
      <c r="M66" s="5"/>
      <c r="N66" s="155"/>
    </row>
    <row r="67" spans="1:14" x14ac:dyDescent="0.25">
      <c r="A67" s="148"/>
      <c r="B67" s="5"/>
      <c r="C67" s="5"/>
      <c r="D67" s="5"/>
      <c r="E67" s="5"/>
      <c r="F67" s="5"/>
      <c r="G67" s="5"/>
      <c r="H67" s="5"/>
      <c r="I67" s="5"/>
      <c r="J67" s="5"/>
      <c r="K67" s="5"/>
      <c r="L67" s="5"/>
      <c r="M67" s="5"/>
      <c r="N67" s="155"/>
    </row>
    <row r="68" spans="1:14" x14ac:dyDescent="0.25">
      <c r="A68" s="148"/>
      <c r="B68" s="5"/>
      <c r="C68" s="5"/>
      <c r="D68" s="5"/>
      <c r="E68" s="5"/>
      <c r="F68" s="5"/>
      <c r="G68" s="5"/>
      <c r="H68" s="5"/>
      <c r="I68" s="5"/>
      <c r="J68" s="5"/>
      <c r="K68" s="5"/>
      <c r="L68" s="5"/>
      <c r="M68" s="5"/>
      <c r="N68" s="155"/>
    </row>
    <row r="69" spans="1:14" x14ac:dyDescent="0.25">
      <c r="A69" s="148"/>
      <c r="B69" s="5"/>
      <c r="C69" s="5"/>
      <c r="D69" s="5"/>
      <c r="E69" s="5"/>
      <c r="F69" s="5"/>
      <c r="G69" s="5"/>
      <c r="H69" s="5"/>
      <c r="I69" s="5"/>
      <c r="J69" s="5"/>
      <c r="K69" s="5"/>
      <c r="L69" s="5"/>
      <c r="M69" s="5"/>
      <c r="N69" s="155"/>
    </row>
    <row r="70" spans="1:14" x14ac:dyDescent="0.25">
      <c r="A70" s="148"/>
      <c r="B70" s="5"/>
      <c r="C70" s="5"/>
      <c r="D70" s="5"/>
      <c r="E70" s="5"/>
      <c r="F70" s="5"/>
      <c r="G70" s="5"/>
      <c r="H70" s="5"/>
      <c r="I70" s="5"/>
      <c r="J70" s="5"/>
      <c r="K70" s="5"/>
      <c r="L70" s="5"/>
      <c r="M70" s="5"/>
      <c r="N70" s="155"/>
    </row>
    <row r="71" spans="1:14" x14ac:dyDescent="0.25">
      <c r="A71" s="148"/>
      <c r="B71" s="5"/>
      <c r="C71" s="5"/>
      <c r="D71" s="5"/>
      <c r="E71" s="5"/>
      <c r="F71" s="5"/>
      <c r="G71" s="5"/>
      <c r="H71" s="5"/>
      <c r="I71" s="5"/>
      <c r="J71" s="5"/>
      <c r="K71" s="5"/>
      <c r="L71" s="5"/>
      <c r="M71" s="5"/>
      <c r="N71" s="155"/>
    </row>
    <row r="72" spans="1:14" x14ac:dyDescent="0.25">
      <c r="A72" s="148"/>
      <c r="B72" s="5"/>
      <c r="C72" s="5"/>
      <c r="D72" s="5"/>
      <c r="E72" s="5"/>
      <c r="F72" s="5"/>
      <c r="G72" s="5"/>
      <c r="H72" s="5"/>
      <c r="I72" s="5"/>
      <c r="J72" s="5"/>
      <c r="K72" s="5"/>
      <c r="L72" s="5"/>
      <c r="M72" s="5"/>
      <c r="N72" s="155"/>
    </row>
    <row r="73" spans="1:14" x14ac:dyDescent="0.25">
      <c r="A73" s="148"/>
      <c r="B73" s="5"/>
      <c r="C73" s="5"/>
      <c r="D73" s="5"/>
      <c r="E73" s="5"/>
      <c r="F73" s="5"/>
      <c r="G73" s="5"/>
      <c r="H73" s="5"/>
      <c r="I73" s="5"/>
      <c r="J73" s="5"/>
      <c r="K73" s="5"/>
      <c r="L73" s="5"/>
      <c r="M73" s="5"/>
      <c r="N73" s="155"/>
    </row>
    <row r="74" spans="1:14" x14ac:dyDescent="0.25">
      <c r="A74" s="148"/>
      <c r="B74" s="5"/>
      <c r="C74" s="5"/>
      <c r="D74" s="5"/>
      <c r="E74" s="5"/>
      <c r="F74" s="5"/>
      <c r="G74" s="5"/>
      <c r="H74" s="5"/>
      <c r="I74" s="5"/>
      <c r="J74" s="5"/>
      <c r="K74" s="5"/>
      <c r="L74" s="5"/>
      <c r="M74" s="5"/>
      <c r="N74" s="155"/>
    </row>
    <row r="75" spans="1:14" x14ac:dyDescent="0.25">
      <c r="A75" s="148"/>
      <c r="B75" s="5"/>
      <c r="C75" s="5"/>
      <c r="D75" s="5"/>
      <c r="E75" s="5"/>
      <c r="F75" s="5"/>
      <c r="G75" s="5"/>
      <c r="H75" s="5"/>
      <c r="I75" s="5"/>
      <c r="J75" s="5"/>
      <c r="K75" s="5"/>
      <c r="L75" s="5"/>
      <c r="M75" s="5"/>
      <c r="N75" s="155"/>
    </row>
    <row r="76" spans="1:14" x14ac:dyDescent="0.25">
      <c r="A76" s="148"/>
      <c r="B76" s="5"/>
      <c r="C76" s="5"/>
      <c r="D76" s="5"/>
      <c r="E76" s="5"/>
      <c r="F76" s="5"/>
      <c r="G76" s="5"/>
      <c r="H76" s="5"/>
      <c r="I76" s="5"/>
      <c r="J76" s="5"/>
      <c r="K76" s="5"/>
      <c r="L76" s="5"/>
      <c r="M76" s="5"/>
      <c r="N76" s="155"/>
    </row>
    <row r="77" spans="1:14" x14ac:dyDescent="0.25">
      <c r="A77" s="148"/>
      <c r="B77" s="5"/>
      <c r="C77" s="5"/>
      <c r="D77" s="5"/>
      <c r="E77" s="5"/>
      <c r="F77" s="5"/>
      <c r="G77" s="5"/>
      <c r="H77" s="5"/>
      <c r="I77" s="5"/>
      <c r="J77" s="5"/>
      <c r="K77" s="5"/>
      <c r="L77" s="5"/>
      <c r="M77" s="5"/>
      <c r="N77" s="155"/>
    </row>
    <row r="78" spans="1:14" x14ac:dyDescent="0.25">
      <c r="A78" s="148"/>
      <c r="B78" s="5"/>
      <c r="C78" s="5"/>
      <c r="D78" s="5"/>
      <c r="E78" s="5"/>
      <c r="F78" s="5"/>
      <c r="G78" s="5"/>
      <c r="H78" s="5"/>
      <c r="I78" s="5"/>
      <c r="J78" s="5"/>
      <c r="K78" s="5"/>
      <c r="L78" s="5"/>
      <c r="M78" s="5"/>
      <c r="N78" s="155"/>
    </row>
    <row r="79" spans="1:14" x14ac:dyDescent="0.25">
      <c r="A79" s="148"/>
      <c r="B79" s="5"/>
      <c r="C79" s="5"/>
      <c r="D79" s="5"/>
      <c r="E79" s="5"/>
      <c r="F79" s="5"/>
      <c r="G79" s="5"/>
      <c r="H79" s="5"/>
      <c r="I79" s="5"/>
      <c r="J79" s="5"/>
      <c r="K79" s="5"/>
      <c r="L79" s="5"/>
      <c r="M79" s="5"/>
      <c r="N79" s="155"/>
    </row>
    <row r="80" spans="1:14" x14ac:dyDescent="0.25">
      <c r="A80" s="148"/>
      <c r="B80" s="5"/>
      <c r="C80" s="5"/>
      <c r="D80" s="5"/>
      <c r="E80" s="5"/>
      <c r="F80" s="5"/>
      <c r="G80" s="5"/>
      <c r="H80" s="5"/>
      <c r="I80" s="5"/>
      <c r="J80" s="5"/>
      <c r="K80" s="5"/>
      <c r="L80" s="5"/>
      <c r="M80" s="5"/>
      <c r="N80" s="155"/>
    </row>
    <row r="81" spans="1:14" x14ac:dyDescent="0.25">
      <c r="A81" s="148"/>
      <c r="B81" s="5"/>
      <c r="C81" s="5"/>
      <c r="D81" s="5"/>
      <c r="E81" s="5"/>
      <c r="F81" s="5"/>
      <c r="G81" s="5"/>
      <c r="H81" s="5"/>
      <c r="I81" s="5"/>
      <c r="J81" s="5"/>
      <c r="K81" s="5"/>
      <c r="L81" s="5"/>
      <c r="M81" s="5"/>
      <c r="N81" s="155"/>
    </row>
    <row r="82" spans="1:14" x14ac:dyDescent="0.25">
      <c r="A82" s="148"/>
      <c r="B82" s="5"/>
      <c r="C82" s="5"/>
      <c r="D82" s="5"/>
      <c r="E82" s="5"/>
      <c r="F82" s="5"/>
      <c r="G82" s="5"/>
      <c r="H82" s="5"/>
      <c r="I82" s="5"/>
      <c r="J82" s="5"/>
      <c r="K82" s="5"/>
      <c r="L82" s="5"/>
      <c r="M82" s="5"/>
      <c r="N82" s="155"/>
    </row>
    <row r="83" spans="1:14" x14ac:dyDescent="0.25">
      <c r="A83" s="148"/>
      <c r="B83" s="5"/>
      <c r="C83" s="5"/>
      <c r="D83" s="5"/>
      <c r="E83" s="5"/>
      <c r="F83" s="5"/>
      <c r="G83" s="5"/>
      <c r="H83" s="5"/>
      <c r="I83" s="5"/>
      <c r="J83" s="5"/>
      <c r="K83" s="5"/>
      <c r="L83" s="5"/>
      <c r="M83" s="5"/>
      <c r="N83" s="155"/>
    </row>
    <row r="84" spans="1:14" x14ac:dyDescent="0.25">
      <c r="A84" s="148"/>
      <c r="B84" s="5"/>
      <c r="C84" s="5"/>
      <c r="D84" s="5"/>
      <c r="E84" s="5"/>
      <c r="F84" s="5"/>
      <c r="G84" s="5"/>
      <c r="H84" s="5"/>
      <c r="I84" s="5"/>
      <c r="J84" s="5"/>
      <c r="K84" s="5"/>
      <c r="L84" s="5"/>
      <c r="M84" s="5"/>
      <c r="N84" s="155"/>
    </row>
    <row r="85" spans="1:14" x14ac:dyDescent="0.25">
      <c r="A85" s="148"/>
      <c r="B85" s="5"/>
      <c r="C85" s="5"/>
      <c r="D85" s="5"/>
      <c r="E85" s="5"/>
      <c r="F85" s="5"/>
      <c r="G85" s="5"/>
      <c r="H85" s="5"/>
      <c r="I85" s="5"/>
      <c r="J85" s="5"/>
      <c r="K85" s="5"/>
      <c r="L85" s="5"/>
      <c r="M85" s="5"/>
      <c r="N85" s="155"/>
    </row>
    <row r="86" spans="1:14" x14ac:dyDescent="0.25">
      <c r="A86" s="148"/>
      <c r="B86" s="5"/>
      <c r="C86" s="5"/>
      <c r="D86" s="5"/>
      <c r="E86" s="5"/>
      <c r="F86" s="5"/>
      <c r="G86" s="5"/>
      <c r="H86" s="5"/>
      <c r="I86" s="5"/>
      <c r="J86" s="5"/>
      <c r="K86" s="5"/>
      <c r="L86" s="5"/>
      <c r="M86" s="5"/>
      <c r="N86" s="155"/>
    </row>
    <row r="87" spans="1:14" x14ac:dyDescent="0.25">
      <c r="A87" s="148"/>
      <c r="B87" s="5"/>
      <c r="C87" s="5"/>
      <c r="D87" s="5"/>
      <c r="E87" s="5"/>
      <c r="F87" s="5"/>
      <c r="G87" s="5"/>
      <c r="H87" s="5"/>
      <c r="I87" s="5"/>
      <c r="J87" s="5"/>
      <c r="K87" s="5"/>
      <c r="L87" s="5"/>
      <c r="M87" s="5"/>
      <c r="N87" s="155"/>
    </row>
    <row r="88" spans="1:14" x14ac:dyDescent="0.25">
      <c r="A88" s="148"/>
      <c r="B88" s="5"/>
      <c r="C88" s="5"/>
      <c r="D88" s="5"/>
      <c r="E88" s="5"/>
      <c r="F88" s="5"/>
      <c r="G88" s="5"/>
      <c r="H88" s="5"/>
      <c r="I88" s="5"/>
      <c r="J88" s="5"/>
      <c r="K88" s="5"/>
      <c r="L88" s="5"/>
      <c r="M88" s="5"/>
      <c r="N88" s="155"/>
    </row>
    <row r="89" spans="1:14" x14ac:dyDescent="0.25">
      <c r="A89" s="148"/>
      <c r="B89" s="5"/>
      <c r="C89" s="5"/>
      <c r="D89" s="5"/>
      <c r="E89" s="5"/>
      <c r="F89" s="5"/>
      <c r="G89" s="5"/>
      <c r="H89" s="5"/>
      <c r="I89" s="5"/>
      <c r="J89" s="5"/>
      <c r="K89" s="5"/>
      <c r="L89" s="5"/>
      <c r="M89" s="5"/>
      <c r="N89" s="155"/>
    </row>
    <row r="90" spans="1:14" x14ac:dyDescent="0.25">
      <c r="A90" s="148"/>
      <c r="B90" s="5"/>
      <c r="C90" s="5"/>
      <c r="D90" s="5"/>
      <c r="E90" s="5"/>
      <c r="F90" s="5"/>
      <c r="G90" s="5"/>
      <c r="H90" s="5"/>
      <c r="I90" s="5"/>
      <c r="J90" s="5"/>
      <c r="K90" s="5"/>
      <c r="L90" s="5"/>
      <c r="M90" s="5"/>
      <c r="N90" s="155"/>
    </row>
    <row r="91" spans="1:14" x14ac:dyDescent="0.25">
      <c r="A91" s="148"/>
      <c r="B91" s="5"/>
      <c r="C91" s="5"/>
      <c r="D91" s="5"/>
      <c r="E91" s="5"/>
      <c r="F91" s="5"/>
      <c r="G91" s="5"/>
      <c r="H91" s="5"/>
      <c r="I91" s="5"/>
      <c r="J91" s="5"/>
      <c r="K91" s="5"/>
      <c r="L91" s="5"/>
      <c r="M91" s="5"/>
      <c r="N91" s="155"/>
    </row>
    <row r="92" spans="1:14" x14ac:dyDescent="0.25">
      <c r="A92" s="148"/>
      <c r="B92" s="5"/>
      <c r="C92" s="5"/>
      <c r="D92" s="5"/>
      <c r="E92" s="5"/>
      <c r="F92" s="5"/>
      <c r="G92" s="5"/>
      <c r="H92" s="5"/>
      <c r="I92" s="5"/>
      <c r="J92" s="5"/>
      <c r="K92" s="5"/>
      <c r="L92" s="5"/>
      <c r="M92" s="5"/>
      <c r="N92" s="155"/>
    </row>
    <row r="93" spans="1:14" x14ac:dyDescent="0.25">
      <c r="A93" s="148"/>
      <c r="B93" s="5"/>
      <c r="C93" s="5"/>
      <c r="D93" s="5"/>
      <c r="E93" s="5"/>
      <c r="F93" s="5"/>
      <c r="G93" s="5"/>
      <c r="H93" s="5"/>
      <c r="I93" s="5"/>
      <c r="J93" s="5"/>
      <c r="K93" s="5"/>
      <c r="L93" s="5"/>
      <c r="M93" s="5"/>
      <c r="N93" s="155"/>
    </row>
    <row r="94" spans="1:14" x14ac:dyDescent="0.25">
      <c r="A94" s="148"/>
      <c r="B94" s="5"/>
      <c r="C94" s="5"/>
      <c r="D94" s="5"/>
      <c r="E94" s="5"/>
      <c r="F94" s="5"/>
      <c r="G94" s="5"/>
      <c r="H94" s="5"/>
      <c r="I94" s="5"/>
      <c r="J94" s="5"/>
      <c r="K94" s="5"/>
      <c r="L94" s="5"/>
      <c r="M94" s="5"/>
      <c r="N94" s="155"/>
    </row>
    <row r="95" spans="1:14" x14ac:dyDescent="0.25">
      <c r="A95" s="148"/>
      <c r="B95" s="5"/>
      <c r="C95" s="5"/>
      <c r="D95" s="5"/>
      <c r="E95" s="5"/>
      <c r="F95" s="5"/>
      <c r="G95" s="5"/>
      <c r="H95" s="5"/>
      <c r="I95" s="5"/>
      <c r="J95" s="5"/>
      <c r="K95" s="5"/>
      <c r="L95" s="5"/>
      <c r="M95" s="5"/>
      <c r="N95" s="155"/>
    </row>
    <row r="96" spans="1:14" x14ac:dyDescent="0.25">
      <c r="A96" s="148"/>
      <c r="B96" s="5"/>
      <c r="C96" s="5"/>
      <c r="D96" s="5"/>
      <c r="E96" s="5"/>
      <c r="F96" s="5"/>
      <c r="G96" s="5"/>
      <c r="H96" s="5"/>
      <c r="I96" s="5"/>
      <c r="J96" s="5"/>
      <c r="K96" s="5"/>
      <c r="L96" s="5"/>
      <c r="M96" s="5"/>
      <c r="N96" s="155"/>
    </row>
    <row r="97" spans="1:14" x14ac:dyDescent="0.25">
      <c r="A97" s="148"/>
      <c r="B97" s="5"/>
      <c r="C97" s="5"/>
      <c r="D97" s="5"/>
      <c r="E97" s="5"/>
      <c r="F97" s="5"/>
      <c r="G97" s="5"/>
      <c r="H97" s="5"/>
      <c r="I97" s="5"/>
      <c r="J97" s="5"/>
      <c r="K97" s="5"/>
      <c r="L97" s="5"/>
      <c r="M97" s="5"/>
      <c r="N97" s="155"/>
    </row>
    <row r="98" spans="1:14" x14ac:dyDescent="0.25">
      <c r="A98" s="148"/>
      <c r="B98" s="5"/>
      <c r="C98" s="5"/>
      <c r="D98" s="5"/>
      <c r="E98" s="5"/>
      <c r="F98" s="5"/>
      <c r="G98" s="5"/>
      <c r="H98" s="5"/>
      <c r="I98" s="5"/>
      <c r="J98" s="5"/>
      <c r="K98" s="5"/>
      <c r="L98" s="5"/>
      <c r="M98" s="5"/>
      <c r="N98" s="155"/>
    </row>
    <row r="99" spans="1:14" x14ac:dyDescent="0.25">
      <c r="A99" s="148"/>
      <c r="B99" s="5"/>
      <c r="C99" s="5"/>
      <c r="D99" s="5"/>
      <c r="E99" s="5"/>
      <c r="F99" s="5"/>
      <c r="G99" s="5"/>
      <c r="H99" s="5"/>
      <c r="I99" s="5"/>
      <c r="J99" s="5"/>
      <c r="K99" s="5"/>
      <c r="L99" s="5"/>
      <c r="M99" s="5"/>
      <c r="N99" s="155"/>
    </row>
    <row r="100" spans="1:14" x14ac:dyDescent="0.25">
      <c r="A100" s="148"/>
      <c r="B100" s="5"/>
      <c r="C100" s="5"/>
      <c r="D100" s="5"/>
      <c r="E100" s="5"/>
      <c r="F100" s="5"/>
      <c r="G100" s="5"/>
      <c r="H100" s="5"/>
      <c r="I100" s="5"/>
      <c r="J100" s="5"/>
      <c r="K100" s="5"/>
      <c r="L100" s="5"/>
      <c r="M100" s="5"/>
      <c r="N100" s="155"/>
    </row>
    <row r="101" spans="1:14" x14ac:dyDescent="0.25">
      <c r="A101" s="148"/>
      <c r="B101" s="5"/>
      <c r="C101" s="5"/>
      <c r="D101" s="5"/>
      <c r="E101" s="5"/>
      <c r="F101" s="5"/>
      <c r="G101" s="5"/>
      <c r="H101" s="5"/>
      <c r="I101" s="5"/>
      <c r="J101" s="5"/>
      <c r="K101" s="5"/>
      <c r="L101" s="5"/>
      <c r="M101" s="5"/>
      <c r="N101" s="155"/>
    </row>
    <row r="102" spans="1:14" x14ac:dyDescent="0.25">
      <c r="A102" s="148"/>
      <c r="B102" s="5"/>
      <c r="C102" s="5"/>
      <c r="D102" s="5"/>
      <c r="E102" s="5"/>
      <c r="F102" s="5"/>
      <c r="G102" s="5"/>
      <c r="H102" s="5"/>
      <c r="I102" s="5"/>
      <c r="J102" s="5"/>
      <c r="K102" s="5"/>
      <c r="L102" s="5"/>
      <c r="M102" s="5"/>
      <c r="N102" s="155"/>
    </row>
    <row r="103" spans="1:14" x14ac:dyDescent="0.25">
      <c r="A103" s="148"/>
      <c r="B103" s="5"/>
      <c r="C103" s="5"/>
      <c r="D103" s="5"/>
      <c r="E103" s="5"/>
      <c r="F103" s="5"/>
      <c r="G103" s="5"/>
      <c r="H103" s="5"/>
      <c r="I103" s="5"/>
      <c r="J103" s="5"/>
      <c r="K103" s="5"/>
      <c r="L103" s="5"/>
      <c r="M103" s="5"/>
      <c r="N103" s="155"/>
    </row>
    <row r="104" spans="1:14" x14ac:dyDescent="0.25">
      <c r="A104" s="148"/>
      <c r="B104" s="5"/>
      <c r="C104" s="5"/>
      <c r="D104" s="5"/>
      <c r="E104" s="5"/>
      <c r="F104" s="5"/>
      <c r="G104" s="5"/>
      <c r="H104" s="5"/>
      <c r="I104" s="5"/>
      <c r="J104" s="5"/>
      <c r="K104" s="5"/>
      <c r="L104" s="5"/>
      <c r="M104" s="5"/>
      <c r="N104" s="155"/>
    </row>
    <row r="105" spans="1:14" x14ac:dyDescent="0.25">
      <c r="A105" s="148"/>
      <c r="B105" s="5"/>
      <c r="C105" s="5"/>
      <c r="D105" s="5"/>
      <c r="E105" s="5"/>
      <c r="F105" s="5"/>
      <c r="G105" s="5"/>
      <c r="H105" s="5"/>
      <c r="I105" s="5"/>
      <c r="J105" s="5"/>
      <c r="K105" s="5"/>
      <c r="L105" s="5"/>
      <c r="M105" s="5"/>
      <c r="N105" s="155"/>
    </row>
    <row r="106" spans="1:14" x14ac:dyDescent="0.25">
      <c r="A106" s="148"/>
      <c r="B106" s="5"/>
      <c r="C106" s="5"/>
      <c r="D106" s="5"/>
      <c r="E106" s="5"/>
      <c r="F106" s="5"/>
      <c r="G106" s="5"/>
      <c r="H106" s="5"/>
      <c r="I106" s="5"/>
      <c r="J106" s="5"/>
      <c r="K106" s="5"/>
      <c r="L106" s="5"/>
      <c r="M106" s="5"/>
      <c r="N106" s="155"/>
    </row>
    <row r="107" spans="1:14" x14ac:dyDescent="0.25">
      <c r="A107" s="148"/>
      <c r="B107" s="5"/>
      <c r="C107" s="5"/>
      <c r="D107" s="5"/>
      <c r="E107" s="5"/>
      <c r="F107" s="5"/>
      <c r="G107" s="5"/>
      <c r="H107" s="5"/>
      <c r="I107" s="5"/>
      <c r="J107" s="5"/>
      <c r="K107" s="5"/>
      <c r="L107" s="5"/>
      <c r="M107" s="5"/>
      <c r="N107" s="155"/>
    </row>
    <row r="108" spans="1:14" x14ac:dyDescent="0.25">
      <c r="A108" s="148"/>
      <c r="B108" s="5"/>
      <c r="C108" s="5"/>
      <c r="D108" s="5"/>
      <c r="E108" s="5"/>
      <c r="F108" s="5"/>
      <c r="G108" s="5"/>
      <c r="H108" s="5"/>
      <c r="I108" s="5"/>
      <c r="J108" s="5"/>
      <c r="K108" s="5"/>
      <c r="L108" s="5"/>
      <c r="M108" s="5"/>
      <c r="N108" s="155"/>
    </row>
    <row r="109" spans="1:14" x14ac:dyDescent="0.25">
      <c r="A109" s="148"/>
      <c r="B109" s="5"/>
      <c r="C109" s="5"/>
      <c r="D109" s="5"/>
      <c r="E109" s="5"/>
      <c r="F109" s="5"/>
      <c r="G109" s="5"/>
      <c r="H109" s="5"/>
      <c r="I109" s="5"/>
      <c r="J109" s="5"/>
      <c r="K109" s="5"/>
      <c r="L109" s="5"/>
      <c r="M109" s="5"/>
      <c r="N109" s="155"/>
    </row>
    <row r="110" spans="1:14" x14ac:dyDescent="0.25">
      <c r="A110" s="148"/>
      <c r="B110" s="5"/>
      <c r="C110" s="5"/>
      <c r="D110" s="5"/>
      <c r="E110" s="5"/>
      <c r="F110" s="5"/>
      <c r="G110" s="5"/>
      <c r="H110" s="5"/>
      <c r="I110" s="5"/>
      <c r="J110" s="5"/>
      <c r="K110" s="5"/>
      <c r="L110" s="5"/>
      <c r="M110" s="5"/>
      <c r="N110" s="155"/>
    </row>
    <row r="111" spans="1:14" x14ac:dyDescent="0.25">
      <c r="A111" s="148"/>
      <c r="B111" s="5"/>
      <c r="C111" s="5"/>
      <c r="D111" s="5"/>
      <c r="E111" s="5"/>
      <c r="F111" s="5"/>
      <c r="G111" s="5"/>
      <c r="H111" s="5"/>
      <c r="I111" s="5"/>
      <c r="J111" s="5"/>
      <c r="K111" s="5"/>
      <c r="L111" s="5"/>
      <c r="M111" s="5"/>
      <c r="N111" s="155"/>
    </row>
    <row r="112" spans="1:14" x14ac:dyDescent="0.25">
      <c r="A112" s="148"/>
      <c r="B112" s="5"/>
      <c r="C112" s="5"/>
      <c r="D112" s="5"/>
      <c r="E112" s="5"/>
      <c r="F112" s="5"/>
      <c r="G112" s="5"/>
      <c r="H112" s="5"/>
      <c r="I112" s="5"/>
      <c r="J112" s="5"/>
      <c r="K112" s="5"/>
      <c r="L112" s="5"/>
      <c r="M112" s="5"/>
      <c r="N112" s="155"/>
    </row>
    <row r="113" spans="1:14" x14ac:dyDescent="0.25">
      <c r="A113" s="148"/>
      <c r="B113" s="5"/>
      <c r="C113" s="5"/>
      <c r="D113" s="5"/>
      <c r="E113" s="5"/>
      <c r="F113" s="5"/>
      <c r="G113" s="5"/>
      <c r="H113" s="5"/>
      <c r="I113" s="5"/>
      <c r="J113" s="5"/>
      <c r="K113" s="5"/>
      <c r="L113" s="5"/>
      <c r="M113" s="5"/>
      <c r="N113" s="155"/>
    </row>
    <row r="114" spans="1:14" x14ac:dyDescent="0.25">
      <c r="A114" s="148"/>
      <c r="B114" s="5"/>
      <c r="C114" s="5"/>
      <c r="D114" s="5"/>
      <c r="E114" s="5"/>
      <c r="F114" s="5"/>
      <c r="G114" s="5"/>
      <c r="H114" s="5"/>
      <c r="I114" s="5"/>
      <c r="J114" s="5"/>
      <c r="K114" s="5"/>
      <c r="L114" s="5"/>
      <c r="M114" s="5"/>
      <c r="N114" s="155"/>
    </row>
    <row r="115" spans="1:14" x14ac:dyDescent="0.25">
      <c r="A115" s="148"/>
      <c r="B115" s="5"/>
      <c r="C115" s="5"/>
      <c r="D115" s="5"/>
      <c r="E115" s="5"/>
      <c r="F115" s="5"/>
      <c r="G115" s="5"/>
      <c r="H115" s="5"/>
      <c r="I115" s="5"/>
      <c r="J115" s="5"/>
      <c r="K115" s="5"/>
      <c r="L115" s="5"/>
      <c r="M115" s="5"/>
      <c r="N115" s="155"/>
    </row>
    <row r="116" spans="1:14" x14ac:dyDescent="0.25">
      <c r="A116" s="148"/>
      <c r="B116" s="5"/>
      <c r="C116" s="5"/>
      <c r="D116" s="5"/>
      <c r="E116" s="5"/>
      <c r="F116" s="5"/>
      <c r="G116" s="5"/>
      <c r="H116" s="5"/>
      <c r="I116" s="5"/>
      <c r="J116" s="5"/>
      <c r="K116" s="5"/>
      <c r="L116" s="5"/>
      <c r="M116" s="5"/>
      <c r="N116" s="155"/>
    </row>
    <row r="117" spans="1:14" x14ac:dyDescent="0.25">
      <c r="A117" s="148"/>
      <c r="B117" s="5"/>
      <c r="C117" s="5"/>
      <c r="D117" s="5"/>
      <c r="E117" s="5"/>
      <c r="F117" s="5"/>
      <c r="G117" s="5"/>
      <c r="H117" s="5"/>
      <c r="I117" s="5"/>
      <c r="J117" s="5"/>
      <c r="K117" s="5"/>
      <c r="L117" s="5"/>
      <c r="M117" s="5"/>
      <c r="N117" s="155"/>
    </row>
    <row r="118" spans="1:14" x14ac:dyDescent="0.25">
      <c r="A118" s="148"/>
      <c r="B118" s="5"/>
      <c r="C118" s="5"/>
      <c r="D118" s="5"/>
      <c r="E118" s="5"/>
      <c r="F118" s="5"/>
      <c r="G118" s="5"/>
      <c r="H118" s="5"/>
      <c r="I118" s="5"/>
      <c r="J118" s="5"/>
      <c r="K118" s="5"/>
      <c r="L118" s="5"/>
      <c r="M118" s="5"/>
      <c r="N118" s="155"/>
    </row>
    <row r="119" spans="1:14" x14ac:dyDescent="0.25">
      <c r="A119" s="148"/>
      <c r="B119" s="5"/>
      <c r="C119" s="5"/>
      <c r="D119" s="5"/>
      <c r="E119" s="5"/>
      <c r="F119" s="5"/>
      <c r="G119" s="5"/>
      <c r="H119" s="5"/>
      <c r="I119" s="5"/>
      <c r="J119" s="5"/>
      <c r="K119" s="5"/>
      <c r="L119" s="5"/>
      <c r="M119" s="5"/>
      <c r="N119" s="155"/>
    </row>
    <row r="120" spans="1:14" x14ac:dyDescent="0.25">
      <c r="A120" s="148"/>
      <c r="B120" s="5"/>
      <c r="C120" s="5"/>
      <c r="D120" s="5"/>
      <c r="E120" s="5"/>
      <c r="F120" s="5"/>
      <c r="G120" s="5"/>
      <c r="H120" s="5"/>
      <c r="I120" s="5"/>
      <c r="J120" s="5"/>
      <c r="K120" s="5"/>
      <c r="L120" s="5"/>
      <c r="M120" s="5"/>
      <c r="N120" s="155"/>
    </row>
    <row r="121" spans="1:14" x14ac:dyDescent="0.25">
      <c r="A121" s="148"/>
      <c r="B121" s="5"/>
      <c r="C121" s="5"/>
      <c r="D121" s="5"/>
      <c r="E121" s="5"/>
      <c r="F121" s="5"/>
      <c r="G121" s="5"/>
      <c r="H121" s="5"/>
      <c r="I121" s="5"/>
      <c r="J121" s="5"/>
      <c r="K121" s="5"/>
      <c r="L121" s="5"/>
      <c r="M121" s="5"/>
      <c r="N121" s="155"/>
    </row>
    <row r="122" spans="1:14" x14ac:dyDescent="0.25">
      <c r="A122" s="148"/>
      <c r="B122" s="5"/>
      <c r="C122" s="5"/>
      <c r="D122" s="5"/>
      <c r="E122" s="5"/>
      <c r="F122" s="5"/>
      <c r="G122" s="5"/>
      <c r="H122" s="5"/>
      <c r="I122" s="5"/>
      <c r="J122" s="5"/>
      <c r="K122" s="5"/>
      <c r="L122" s="5"/>
      <c r="M122" s="5"/>
      <c r="N122" s="155"/>
    </row>
    <row r="123" spans="1:14" x14ac:dyDescent="0.25">
      <c r="A123" s="148"/>
      <c r="B123" s="5"/>
      <c r="C123" s="5"/>
      <c r="D123" s="5"/>
      <c r="E123" s="5"/>
      <c r="F123" s="5"/>
      <c r="G123" s="5"/>
      <c r="H123" s="5"/>
      <c r="I123" s="5"/>
      <c r="J123" s="5"/>
      <c r="K123" s="5"/>
      <c r="L123" s="5"/>
      <c r="M123" s="5"/>
      <c r="N123" s="155"/>
    </row>
    <row r="124" spans="1:14" x14ac:dyDescent="0.25">
      <c r="A124" s="148"/>
      <c r="B124" s="5"/>
      <c r="C124" s="5"/>
      <c r="D124" s="5"/>
      <c r="E124" s="5"/>
      <c r="F124" s="5"/>
      <c r="G124" s="5"/>
      <c r="H124" s="5"/>
      <c r="I124" s="5"/>
      <c r="J124" s="5"/>
      <c r="K124" s="5"/>
      <c r="L124" s="5"/>
      <c r="M124" s="5"/>
      <c r="N124" s="155"/>
    </row>
    <row r="125" spans="1:14" x14ac:dyDescent="0.25">
      <c r="A125" s="148"/>
      <c r="B125" s="5"/>
      <c r="C125" s="5"/>
      <c r="D125" s="5"/>
      <c r="E125" s="5"/>
      <c r="F125" s="5"/>
      <c r="G125" s="5"/>
      <c r="H125" s="5"/>
      <c r="I125" s="5"/>
      <c r="J125" s="5"/>
      <c r="K125" s="5"/>
      <c r="L125" s="5"/>
      <c r="M125" s="5"/>
      <c r="N125" s="155"/>
    </row>
    <row r="126" spans="1:14" x14ac:dyDescent="0.25">
      <c r="A126" s="148"/>
      <c r="B126" s="5"/>
      <c r="C126" s="5"/>
      <c r="D126" s="5"/>
      <c r="E126" s="5"/>
      <c r="F126" s="5"/>
      <c r="G126" s="5"/>
      <c r="H126" s="5"/>
      <c r="I126" s="5"/>
      <c r="J126" s="5"/>
      <c r="K126" s="5"/>
      <c r="L126" s="5"/>
      <c r="M126" s="5"/>
      <c r="N126" s="155"/>
    </row>
    <row r="127" spans="1:14" x14ac:dyDescent="0.25">
      <c r="A127" s="148"/>
      <c r="B127" s="5"/>
      <c r="C127" s="5"/>
      <c r="D127" s="5"/>
      <c r="E127" s="5"/>
      <c r="F127" s="5"/>
      <c r="G127" s="5"/>
      <c r="H127" s="5"/>
      <c r="I127" s="5"/>
      <c r="J127" s="5"/>
      <c r="K127" s="5"/>
      <c r="L127" s="5"/>
      <c r="M127" s="5"/>
      <c r="N127" s="155"/>
    </row>
    <row r="128" spans="1:14" x14ac:dyDescent="0.25">
      <c r="A128" s="148"/>
      <c r="B128" s="5"/>
      <c r="C128" s="5"/>
      <c r="D128" s="5"/>
      <c r="E128" s="5"/>
      <c r="F128" s="5"/>
      <c r="G128" s="5"/>
      <c r="H128" s="5"/>
      <c r="I128" s="5"/>
      <c r="J128" s="5"/>
      <c r="K128" s="5"/>
      <c r="L128" s="5"/>
      <c r="M128" s="5"/>
      <c r="N128" s="155"/>
    </row>
    <row r="129" spans="1:14" x14ac:dyDescent="0.25">
      <c r="A129" s="148"/>
      <c r="B129" s="5"/>
      <c r="C129" s="5"/>
      <c r="D129" s="5"/>
      <c r="E129" s="5"/>
      <c r="F129" s="5"/>
      <c r="G129" s="5"/>
      <c r="H129" s="5"/>
      <c r="I129" s="5"/>
      <c r="J129" s="5"/>
      <c r="K129" s="5"/>
      <c r="L129" s="5"/>
      <c r="M129" s="5"/>
      <c r="N129" s="155"/>
    </row>
    <row r="130" spans="1:14" x14ac:dyDescent="0.25">
      <c r="A130" s="148"/>
      <c r="B130" s="5"/>
      <c r="C130" s="5"/>
      <c r="D130" s="5"/>
      <c r="E130" s="5"/>
      <c r="F130" s="5"/>
      <c r="G130" s="5"/>
      <c r="H130" s="5"/>
      <c r="I130" s="5"/>
      <c r="J130" s="5"/>
      <c r="K130" s="5"/>
      <c r="L130" s="5"/>
      <c r="M130" s="5"/>
      <c r="N130" s="155"/>
    </row>
    <row r="131" spans="1:14" x14ac:dyDescent="0.25">
      <c r="A131" s="148"/>
      <c r="B131" s="5"/>
      <c r="C131" s="5"/>
      <c r="D131" s="5"/>
      <c r="E131" s="5"/>
      <c r="F131" s="5"/>
      <c r="G131" s="5"/>
      <c r="H131" s="5"/>
      <c r="I131" s="5"/>
      <c r="J131" s="5"/>
      <c r="K131" s="5"/>
      <c r="L131" s="5"/>
      <c r="M131" s="5"/>
      <c r="N131" s="155"/>
    </row>
    <row r="132" spans="1:14" x14ac:dyDescent="0.25">
      <c r="A132" s="148"/>
      <c r="B132" s="5"/>
      <c r="C132" s="5"/>
      <c r="D132" s="5"/>
      <c r="E132" s="5"/>
      <c r="F132" s="5"/>
      <c r="G132" s="5"/>
      <c r="H132" s="5"/>
      <c r="I132" s="5"/>
      <c r="J132" s="5"/>
      <c r="K132" s="5"/>
      <c r="L132" s="5"/>
      <c r="M132" s="5"/>
      <c r="N132" s="155"/>
    </row>
    <row r="133" spans="1:14" x14ac:dyDescent="0.25">
      <c r="A133" s="148"/>
      <c r="B133" s="5"/>
      <c r="C133" s="5"/>
      <c r="D133" s="5"/>
      <c r="E133" s="5"/>
      <c r="F133" s="5"/>
      <c r="G133" s="5"/>
      <c r="H133" s="5"/>
      <c r="I133" s="5"/>
      <c r="J133" s="5"/>
      <c r="K133" s="5"/>
      <c r="L133" s="5"/>
      <c r="M133" s="5"/>
      <c r="N133" s="155"/>
    </row>
    <row r="134" spans="1:14" x14ac:dyDescent="0.25">
      <c r="A134" s="148"/>
      <c r="B134" s="5"/>
      <c r="C134" s="5"/>
      <c r="D134" s="5"/>
      <c r="E134" s="5"/>
      <c r="F134" s="5"/>
      <c r="G134" s="5"/>
      <c r="H134" s="5"/>
      <c r="I134" s="5"/>
      <c r="J134" s="5"/>
      <c r="K134" s="5"/>
      <c r="L134" s="5"/>
      <c r="M134" s="5"/>
      <c r="N134" s="155"/>
    </row>
    <row r="135" spans="1:14" x14ac:dyDescent="0.25">
      <c r="A135" s="148"/>
      <c r="B135" s="5"/>
      <c r="C135" s="5"/>
      <c r="D135" s="5"/>
      <c r="E135" s="5"/>
      <c r="F135" s="5"/>
      <c r="G135" s="5"/>
      <c r="H135" s="5"/>
      <c r="I135" s="5"/>
      <c r="J135" s="5"/>
      <c r="K135" s="5"/>
      <c r="L135" s="5"/>
      <c r="M135" s="5"/>
      <c r="N135" s="155"/>
    </row>
    <row r="136" spans="1:14" x14ac:dyDescent="0.25">
      <c r="A136" s="148"/>
      <c r="B136" s="5"/>
      <c r="C136" s="5"/>
      <c r="D136" s="5"/>
      <c r="E136" s="5"/>
      <c r="F136" s="5"/>
      <c r="G136" s="5"/>
      <c r="H136" s="5"/>
      <c r="I136" s="5"/>
      <c r="J136" s="5"/>
      <c r="K136" s="5"/>
      <c r="L136" s="5"/>
      <c r="M136" s="5"/>
      <c r="N136" s="155"/>
    </row>
    <row r="137" spans="1:14" x14ac:dyDescent="0.25">
      <c r="A137" s="148"/>
      <c r="B137" s="5"/>
      <c r="C137" s="5"/>
      <c r="D137" s="5"/>
      <c r="E137" s="5"/>
      <c r="F137" s="5"/>
      <c r="G137" s="5"/>
      <c r="H137" s="5"/>
      <c r="I137" s="5"/>
      <c r="J137" s="5"/>
      <c r="K137" s="5"/>
      <c r="L137" s="5"/>
      <c r="M137" s="5"/>
      <c r="N137" s="155"/>
    </row>
    <row r="138" spans="1:14" x14ac:dyDescent="0.25">
      <c r="A138" s="148"/>
      <c r="B138" s="5"/>
      <c r="C138" s="5"/>
      <c r="D138" s="5"/>
      <c r="E138" s="5"/>
      <c r="F138" s="5"/>
      <c r="G138" s="5"/>
      <c r="H138" s="5"/>
      <c r="I138" s="5"/>
      <c r="J138" s="5"/>
      <c r="K138" s="5"/>
      <c r="L138" s="5"/>
      <c r="M138" s="5"/>
      <c r="N138" s="155"/>
    </row>
    <row r="139" spans="1:14" x14ac:dyDescent="0.25">
      <c r="A139" s="148"/>
      <c r="B139" s="5"/>
      <c r="C139" s="5"/>
      <c r="D139" s="5"/>
      <c r="E139" s="5"/>
      <c r="F139" s="5"/>
      <c r="G139" s="5"/>
      <c r="H139" s="5"/>
      <c r="I139" s="5"/>
      <c r="J139" s="5"/>
      <c r="K139" s="5"/>
      <c r="L139" s="5"/>
      <c r="M139" s="5"/>
      <c r="N139" s="155"/>
    </row>
    <row r="140" spans="1:14" x14ac:dyDescent="0.25">
      <c r="A140" s="148"/>
      <c r="B140" s="5"/>
      <c r="C140" s="5"/>
      <c r="D140" s="5"/>
      <c r="E140" s="5"/>
      <c r="F140" s="5"/>
      <c r="G140" s="5"/>
      <c r="H140" s="5"/>
      <c r="I140" s="5"/>
      <c r="J140" s="5"/>
      <c r="K140" s="5"/>
      <c r="L140" s="5"/>
      <c r="M140" s="5"/>
      <c r="N140" s="155"/>
    </row>
    <row r="141" spans="1:14" x14ac:dyDescent="0.25">
      <c r="A141" s="148"/>
      <c r="B141" s="5"/>
      <c r="C141" s="5"/>
      <c r="D141" s="5"/>
      <c r="E141" s="5"/>
      <c r="F141" s="5"/>
      <c r="G141" s="5"/>
      <c r="H141" s="5"/>
      <c r="I141" s="5"/>
      <c r="J141" s="5"/>
      <c r="K141" s="5"/>
      <c r="L141" s="5"/>
      <c r="M141" s="5"/>
      <c r="N141" s="155"/>
    </row>
    <row r="142" spans="1:14" x14ac:dyDescent="0.25">
      <c r="A142" s="148"/>
      <c r="B142" s="5"/>
      <c r="C142" s="5"/>
      <c r="D142" s="5"/>
      <c r="E142" s="5"/>
      <c r="F142" s="5"/>
      <c r="G142" s="5"/>
      <c r="H142" s="5"/>
      <c r="I142" s="5"/>
      <c r="J142" s="5"/>
      <c r="K142" s="5"/>
      <c r="L142" s="5"/>
      <c r="M142" s="5"/>
      <c r="N142" s="155"/>
    </row>
    <row r="143" spans="1:14" x14ac:dyDescent="0.25">
      <c r="A143" s="148"/>
      <c r="B143" s="5"/>
      <c r="C143" s="5"/>
      <c r="D143" s="5"/>
      <c r="E143" s="5"/>
      <c r="F143" s="5"/>
      <c r="G143" s="5"/>
      <c r="H143" s="5"/>
      <c r="I143" s="5"/>
      <c r="J143" s="5"/>
      <c r="K143" s="5"/>
      <c r="L143" s="5"/>
      <c r="M143" s="5"/>
      <c r="N143" s="155"/>
    </row>
    <row r="144" spans="1:14" x14ac:dyDescent="0.25">
      <c r="A144" s="148"/>
      <c r="B144" s="5"/>
      <c r="C144" s="5"/>
      <c r="D144" s="5"/>
      <c r="E144" s="5"/>
      <c r="F144" s="5"/>
      <c r="G144" s="5"/>
      <c r="H144" s="5"/>
      <c r="I144" s="5"/>
      <c r="J144" s="5"/>
      <c r="K144" s="5"/>
      <c r="L144" s="5"/>
      <c r="M144" s="5"/>
      <c r="N144" s="155"/>
    </row>
    <row r="145" spans="1:14" x14ac:dyDescent="0.25">
      <c r="A145" s="148"/>
      <c r="B145" s="5"/>
      <c r="C145" s="5"/>
      <c r="D145" s="5"/>
      <c r="E145" s="5"/>
      <c r="F145" s="5"/>
      <c r="G145" s="5"/>
      <c r="H145" s="5"/>
      <c r="I145" s="5"/>
      <c r="J145" s="5"/>
      <c r="K145" s="5"/>
      <c r="L145" s="5"/>
      <c r="M145" s="5"/>
      <c r="N145" s="155"/>
    </row>
    <row r="146" spans="1:14" x14ac:dyDescent="0.25">
      <c r="A146" s="148"/>
      <c r="B146" s="5"/>
      <c r="C146" s="5"/>
      <c r="D146" s="5"/>
      <c r="E146" s="5"/>
      <c r="F146" s="5"/>
      <c r="G146" s="5"/>
      <c r="H146" s="5"/>
      <c r="I146" s="5"/>
      <c r="J146" s="5"/>
      <c r="K146" s="5"/>
      <c r="L146" s="5"/>
      <c r="M146" s="5"/>
      <c r="N146" s="155"/>
    </row>
    <row r="147" spans="1:14" x14ac:dyDescent="0.25">
      <c r="A147" s="148"/>
      <c r="B147" s="5"/>
      <c r="C147" s="5"/>
      <c r="D147" s="5"/>
      <c r="E147" s="5"/>
      <c r="F147" s="5"/>
      <c r="G147" s="5"/>
      <c r="H147" s="5"/>
      <c r="I147" s="5"/>
      <c r="J147" s="5"/>
      <c r="K147" s="5"/>
      <c r="L147" s="5"/>
      <c r="M147" s="5"/>
      <c r="N147" s="155"/>
    </row>
    <row r="148" spans="1:14" x14ac:dyDescent="0.25">
      <c r="A148" s="148"/>
      <c r="B148" s="5"/>
      <c r="C148" s="5"/>
      <c r="D148" s="5"/>
      <c r="E148" s="5"/>
      <c r="F148" s="5"/>
      <c r="G148" s="5"/>
      <c r="H148" s="5"/>
      <c r="I148" s="5"/>
      <c r="J148" s="5"/>
      <c r="K148" s="5"/>
      <c r="L148" s="5"/>
      <c r="M148" s="5"/>
      <c r="N148" s="155"/>
    </row>
    <row r="149" spans="1:14" x14ac:dyDescent="0.25">
      <c r="A149" s="148"/>
      <c r="B149" s="5"/>
      <c r="C149" s="5"/>
      <c r="D149" s="5"/>
      <c r="E149" s="5"/>
      <c r="F149" s="5"/>
      <c r="G149" s="5"/>
      <c r="H149" s="5"/>
      <c r="I149" s="5"/>
      <c r="J149" s="5"/>
      <c r="K149" s="5"/>
      <c r="L149" s="5"/>
      <c r="M149" s="5"/>
      <c r="N149" s="155"/>
    </row>
    <row r="150" spans="1:14" x14ac:dyDescent="0.25">
      <c r="A150" s="148"/>
      <c r="B150" s="5"/>
      <c r="C150" s="5"/>
      <c r="D150" s="5"/>
      <c r="E150" s="5"/>
      <c r="F150" s="5"/>
      <c r="G150" s="5"/>
      <c r="H150" s="5"/>
      <c r="I150" s="5"/>
      <c r="J150" s="5"/>
      <c r="K150" s="5"/>
      <c r="L150" s="5"/>
      <c r="M150" s="5"/>
      <c r="N150" s="155"/>
    </row>
    <row r="151" spans="1:14" x14ac:dyDescent="0.25">
      <c r="A151" s="148"/>
      <c r="B151" s="5"/>
      <c r="C151" s="5"/>
      <c r="D151" s="5"/>
      <c r="E151" s="5"/>
      <c r="F151" s="5"/>
      <c r="G151" s="5"/>
      <c r="H151" s="5"/>
      <c r="I151" s="5"/>
      <c r="J151" s="5"/>
      <c r="K151" s="5"/>
      <c r="L151" s="5"/>
      <c r="M151" s="5"/>
      <c r="N151" s="155"/>
    </row>
    <row r="152" spans="1:14" x14ac:dyDescent="0.25">
      <c r="A152" s="148"/>
      <c r="B152" s="5"/>
      <c r="C152" s="5"/>
      <c r="D152" s="5"/>
      <c r="E152" s="5"/>
      <c r="F152" s="5"/>
      <c r="G152" s="5"/>
      <c r="H152" s="5"/>
      <c r="I152" s="5"/>
      <c r="J152" s="5"/>
      <c r="K152" s="5"/>
      <c r="L152" s="5"/>
      <c r="M152" s="5"/>
      <c r="N152" s="155"/>
    </row>
    <row r="153" spans="1:14" x14ac:dyDescent="0.25">
      <c r="A153" s="148"/>
      <c r="B153" s="5"/>
      <c r="C153" s="5"/>
      <c r="D153" s="5"/>
      <c r="E153" s="5"/>
      <c r="F153" s="5"/>
      <c r="G153" s="5"/>
      <c r="H153" s="5"/>
      <c r="I153" s="5"/>
      <c r="J153" s="5"/>
      <c r="K153" s="5"/>
      <c r="L153" s="5"/>
      <c r="M153" s="5"/>
      <c r="N153" s="155"/>
    </row>
    <row r="154" spans="1:14" x14ac:dyDescent="0.25">
      <c r="A154" s="148"/>
      <c r="B154" s="5"/>
      <c r="C154" s="5"/>
      <c r="D154" s="5"/>
      <c r="E154" s="5"/>
      <c r="F154" s="5"/>
      <c r="G154" s="5"/>
      <c r="H154" s="5"/>
      <c r="I154" s="5"/>
      <c r="J154" s="5"/>
      <c r="K154" s="5"/>
      <c r="L154" s="5"/>
      <c r="M154" s="5"/>
      <c r="N154" s="155"/>
    </row>
    <row r="155" spans="1:14" x14ac:dyDescent="0.25">
      <c r="A155" s="148"/>
      <c r="B155" s="5"/>
      <c r="C155" s="5"/>
      <c r="D155" s="5"/>
      <c r="E155" s="5"/>
      <c r="F155" s="5"/>
      <c r="G155" s="5"/>
      <c r="H155" s="5"/>
      <c r="I155" s="5"/>
      <c r="J155" s="5"/>
      <c r="K155" s="5"/>
      <c r="L155" s="5"/>
      <c r="M155" s="5"/>
      <c r="N155" s="155"/>
    </row>
    <row r="156" spans="1:14" x14ac:dyDescent="0.25">
      <c r="A156" s="148"/>
      <c r="B156" s="5"/>
      <c r="C156" s="5"/>
      <c r="D156" s="5"/>
      <c r="E156" s="5"/>
      <c r="F156" s="5"/>
      <c r="G156" s="5"/>
      <c r="H156" s="5"/>
      <c r="I156" s="5"/>
      <c r="J156" s="5"/>
      <c r="K156" s="5"/>
      <c r="L156" s="5"/>
      <c r="M156" s="5"/>
      <c r="N156" s="155"/>
    </row>
    <row r="157" spans="1:14" x14ac:dyDescent="0.25">
      <c r="A157" s="148"/>
      <c r="B157" s="5"/>
      <c r="C157" s="5"/>
      <c r="D157" s="5"/>
      <c r="E157" s="5"/>
      <c r="F157" s="5"/>
      <c r="G157" s="5"/>
      <c r="H157" s="5"/>
      <c r="I157" s="5"/>
      <c r="J157" s="5"/>
      <c r="K157" s="5"/>
      <c r="L157" s="5"/>
      <c r="M157" s="5"/>
      <c r="N157" s="155"/>
    </row>
    <row r="158" spans="1:14" x14ac:dyDescent="0.25">
      <c r="A158" s="148"/>
      <c r="B158" s="5"/>
      <c r="C158" s="5"/>
      <c r="D158" s="5"/>
      <c r="E158" s="5"/>
      <c r="F158" s="5"/>
      <c r="G158" s="5"/>
      <c r="H158" s="5"/>
      <c r="I158" s="5"/>
      <c r="J158" s="5"/>
      <c r="K158" s="5"/>
      <c r="L158" s="5"/>
      <c r="M158" s="5"/>
      <c r="N158" s="155"/>
    </row>
    <row r="159" spans="1:14" x14ac:dyDescent="0.25">
      <c r="A159" s="148"/>
      <c r="B159" s="5"/>
      <c r="C159" s="5"/>
      <c r="D159" s="5"/>
      <c r="E159" s="5"/>
      <c r="F159" s="5"/>
      <c r="G159" s="5"/>
      <c r="H159" s="5"/>
      <c r="I159" s="5"/>
      <c r="J159" s="5"/>
      <c r="K159" s="5"/>
      <c r="L159" s="5"/>
      <c r="M159" s="5"/>
      <c r="N159" s="155"/>
    </row>
    <row r="160" spans="1:14" x14ac:dyDescent="0.25">
      <c r="A160" s="148"/>
      <c r="B160" s="5"/>
      <c r="C160" s="5"/>
      <c r="D160" s="5"/>
      <c r="E160" s="5"/>
      <c r="F160" s="5"/>
      <c r="G160" s="5"/>
      <c r="H160" s="5"/>
      <c r="I160" s="5"/>
      <c r="J160" s="5"/>
      <c r="K160" s="5"/>
      <c r="L160" s="5"/>
      <c r="M160" s="5"/>
      <c r="N160" s="155"/>
    </row>
    <row r="161" spans="1:14" x14ac:dyDescent="0.25">
      <c r="A161" s="148"/>
      <c r="B161" s="5"/>
      <c r="C161" s="5"/>
      <c r="D161" s="5"/>
      <c r="E161" s="5"/>
      <c r="F161" s="5"/>
      <c r="G161" s="5"/>
      <c r="H161" s="5"/>
      <c r="I161" s="5"/>
      <c r="J161" s="5"/>
      <c r="K161" s="5"/>
      <c r="L161" s="5"/>
      <c r="M161" s="5"/>
      <c r="N161" s="155"/>
    </row>
    <row r="162" spans="1:14" x14ac:dyDescent="0.25">
      <c r="A162" s="148"/>
      <c r="B162" s="5"/>
      <c r="C162" s="5"/>
      <c r="D162" s="5"/>
      <c r="E162" s="5"/>
      <c r="F162" s="5"/>
      <c r="G162" s="5"/>
      <c r="H162" s="5"/>
      <c r="I162" s="5"/>
      <c r="J162" s="5"/>
      <c r="K162" s="5"/>
      <c r="L162" s="5"/>
      <c r="M162" s="5"/>
      <c r="N162" s="155"/>
    </row>
    <row r="163" spans="1:14" x14ac:dyDescent="0.25">
      <c r="A163" s="148"/>
      <c r="B163" s="5"/>
      <c r="C163" s="5"/>
      <c r="D163" s="5"/>
      <c r="E163" s="5"/>
      <c r="F163" s="5"/>
      <c r="G163" s="5"/>
      <c r="H163" s="5"/>
      <c r="I163" s="5"/>
      <c r="J163" s="5"/>
      <c r="K163" s="5"/>
      <c r="L163" s="5"/>
      <c r="M163" s="5"/>
      <c r="N163" s="155"/>
    </row>
    <row r="164" spans="1:14" x14ac:dyDescent="0.25">
      <c r="A164" s="148"/>
      <c r="B164" s="5"/>
      <c r="C164" s="5"/>
      <c r="D164" s="5"/>
      <c r="E164" s="5"/>
      <c r="F164" s="5"/>
      <c r="G164" s="5"/>
      <c r="H164" s="5"/>
      <c r="I164" s="5"/>
      <c r="J164" s="5"/>
      <c r="K164" s="5"/>
      <c r="L164" s="5"/>
      <c r="M164" s="5"/>
      <c r="N164" s="155"/>
    </row>
    <row r="165" spans="1:14" x14ac:dyDescent="0.25">
      <c r="A165" s="148"/>
      <c r="B165" s="5"/>
      <c r="C165" s="5"/>
      <c r="D165" s="5"/>
      <c r="E165" s="5"/>
      <c r="F165" s="5"/>
      <c r="G165" s="5"/>
      <c r="H165" s="5"/>
      <c r="I165" s="5"/>
      <c r="J165" s="5"/>
      <c r="K165" s="5"/>
      <c r="L165" s="5"/>
      <c r="M165" s="5"/>
      <c r="N165" s="155"/>
    </row>
    <row r="166" spans="1:14" x14ac:dyDescent="0.25">
      <c r="A166" s="148"/>
      <c r="B166" s="5"/>
      <c r="C166" s="5"/>
      <c r="D166" s="5"/>
      <c r="E166" s="5"/>
      <c r="F166" s="5"/>
      <c r="G166" s="5"/>
      <c r="H166" s="5"/>
      <c r="I166" s="5"/>
      <c r="J166" s="5"/>
      <c r="K166" s="5"/>
      <c r="L166" s="5"/>
      <c r="M166" s="5"/>
      <c r="N166" s="155"/>
    </row>
    <row r="167" spans="1:14" x14ac:dyDescent="0.25">
      <c r="A167" s="148"/>
      <c r="B167" s="5"/>
      <c r="C167" s="5"/>
      <c r="D167" s="5"/>
      <c r="E167" s="5"/>
      <c r="F167" s="5"/>
      <c r="G167" s="5"/>
      <c r="H167" s="5"/>
      <c r="I167" s="5"/>
      <c r="J167" s="5"/>
      <c r="K167" s="5"/>
      <c r="L167" s="5"/>
      <c r="M167" s="5"/>
      <c r="N167" s="155"/>
    </row>
    <row r="168" spans="1:14" x14ac:dyDescent="0.25">
      <c r="A168" s="148"/>
      <c r="B168" s="5"/>
      <c r="C168" s="5"/>
      <c r="D168" s="5"/>
      <c r="E168" s="5"/>
      <c r="F168" s="5"/>
      <c r="G168" s="5"/>
      <c r="H168" s="5"/>
      <c r="I168" s="5"/>
      <c r="J168" s="5"/>
      <c r="K168" s="5"/>
      <c r="L168" s="5"/>
      <c r="M168" s="5"/>
      <c r="N168" s="155"/>
    </row>
    <row r="169" spans="1:14" x14ac:dyDescent="0.25">
      <c r="A169" s="148"/>
      <c r="B169" s="5"/>
      <c r="C169" s="5"/>
      <c r="D169" s="5"/>
      <c r="E169" s="5"/>
      <c r="F169" s="5"/>
      <c r="G169" s="5"/>
      <c r="H169" s="5"/>
      <c r="I169" s="5"/>
      <c r="J169" s="5"/>
      <c r="K169" s="5"/>
      <c r="L169" s="5"/>
      <c r="M169" s="5"/>
      <c r="N169" s="155"/>
    </row>
    <row r="170" spans="1:14" x14ac:dyDescent="0.25">
      <c r="A170" s="148"/>
      <c r="B170" s="5"/>
      <c r="C170" s="5"/>
      <c r="D170" s="5"/>
      <c r="E170" s="5"/>
      <c r="F170" s="5"/>
      <c r="G170" s="5"/>
      <c r="H170" s="5"/>
      <c r="I170" s="5"/>
      <c r="J170" s="5"/>
      <c r="K170" s="5"/>
      <c r="L170" s="5"/>
      <c r="M170" s="5"/>
      <c r="N170" s="155"/>
    </row>
    <row r="171" spans="1:14" x14ac:dyDescent="0.25">
      <c r="A171" s="148"/>
      <c r="B171" s="5"/>
      <c r="C171" s="5"/>
      <c r="D171" s="5"/>
      <c r="E171" s="5"/>
      <c r="F171" s="5"/>
      <c r="G171" s="5"/>
      <c r="H171" s="5"/>
      <c r="I171" s="5"/>
      <c r="J171" s="5"/>
      <c r="K171" s="5"/>
      <c r="L171" s="5"/>
      <c r="M171" s="5"/>
      <c r="N171" s="155"/>
    </row>
    <row r="172" spans="1:14" x14ac:dyDescent="0.25">
      <c r="A172" s="148"/>
      <c r="B172" s="5"/>
      <c r="C172" s="5"/>
      <c r="D172" s="5"/>
      <c r="E172" s="5"/>
      <c r="F172" s="5"/>
      <c r="G172" s="5"/>
      <c r="H172" s="5"/>
      <c r="I172" s="5"/>
      <c r="J172" s="5"/>
      <c r="K172" s="5"/>
      <c r="L172" s="5"/>
      <c r="M172" s="5"/>
      <c r="N172" s="155"/>
    </row>
    <row r="173" spans="1:14" x14ac:dyDescent="0.25">
      <c r="A173" s="148"/>
      <c r="B173" s="5"/>
      <c r="C173" s="5"/>
      <c r="D173" s="5"/>
      <c r="E173" s="5"/>
      <c r="F173" s="5"/>
      <c r="G173" s="5"/>
      <c r="H173" s="5"/>
      <c r="I173" s="5"/>
      <c r="J173" s="5"/>
      <c r="K173" s="5"/>
      <c r="L173" s="5"/>
      <c r="M173" s="5"/>
      <c r="N173" s="155"/>
    </row>
    <row r="174" spans="1:14" x14ac:dyDescent="0.25">
      <c r="A174" s="148"/>
      <c r="B174" s="5"/>
      <c r="C174" s="5"/>
      <c r="D174" s="5"/>
      <c r="E174" s="5"/>
      <c r="F174" s="5"/>
      <c r="G174" s="5"/>
      <c r="H174" s="5"/>
      <c r="I174" s="5"/>
      <c r="J174" s="5"/>
      <c r="K174" s="5"/>
      <c r="L174" s="5"/>
      <c r="M174" s="5"/>
      <c r="N174" s="155"/>
    </row>
    <row r="175" spans="1:14" x14ac:dyDescent="0.25">
      <c r="A175" s="148"/>
      <c r="B175" s="5"/>
      <c r="C175" s="5"/>
      <c r="D175" s="5"/>
      <c r="E175" s="5"/>
      <c r="F175" s="5"/>
      <c r="G175" s="5"/>
      <c r="H175" s="5"/>
      <c r="I175" s="5"/>
      <c r="J175" s="5"/>
      <c r="K175" s="5"/>
      <c r="L175" s="5"/>
      <c r="M175" s="5"/>
      <c r="N175" s="155"/>
    </row>
    <row r="176" spans="1:14" x14ac:dyDescent="0.25">
      <c r="A176" s="148"/>
      <c r="B176" s="5"/>
      <c r="C176" s="5"/>
      <c r="D176" s="5"/>
      <c r="E176" s="5"/>
      <c r="F176" s="5"/>
      <c r="G176" s="5"/>
      <c r="H176" s="5"/>
      <c r="I176" s="5"/>
      <c r="J176" s="5"/>
      <c r="K176" s="5"/>
      <c r="L176" s="5"/>
      <c r="M176" s="5"/>
      <c r="N176" s="155"/>
    </row>
    <row r="177" spans="1:14" x14ac:dyDescent="0.25">
      <c r="A177" s="148"/>
      <c r="B177" s="5"/>
      <c r="C177" s="5"/>
      <c r="D177" s="5"/>
      <c r="E177" s="5"/>
      <c r="F177" s="5"/>
      <c r="G177" s="5"/>
      <c r="H177" s="5"/>
      <c r="I177" s="5"/>
      <c r="J177" s="5"/>
      <c r="K177" s="5"/>
      <c r="L177" s="5"/>
      <c r="M177" s="5"/>
      <c r="N177" s="155"/>
    </row>
    <row r="178" spans="1:14" x14ac:dyDescent="0.25">
      <c r="A178" s="148"/>
      <c r="B178" s="5"/>
      <c r="C178" s="5"/>
      <c r="D178" s="5"/>
      <c r="E178" s="5"/>
      <c r="F178" s="5"/>
      <c r="G178" s="5"/>
      <c r="H178" s="5"/>
      <c r="I178" s="5"/>
      <c r="J178" s="5"/>
      <c r="K178" s="5"/>
      <c r="L178" s="5"/>
      <c r="M178" s="5"/>
      <c r="N178" s="155"/>
    </row>
    <row r="179" spans="1:14" x14ac:dyDescent="0.25">
      <c r="A179" s="148"/>
      <c r="B179" s="5"/>
      <c r="C179" s="5"/>
      <c r="D179" s="5"/>
      <c r="E179" s="5"/>
      <c r="F179" s="5"/>
      <c r="G179" s="5"/>
      <c r="H179" s="5"/>
      <c r="I179" s="5"/>
      <c r="J179" s="5"/>
      <c r="K179" s="5"/>
      <c r="L179" s="5"/>
      <c r="M179" s="5"/>
      <c r="N179" s="155"/>
    </row>
    <row r="180" spans="1:14" x14ac:dyDescent="0.25">
      <c r="A180" s="148"/>
      <c r="B180" s="5"/>
      <c r="C180" s="5"/>
      <c r="D180" s="5"/>
      <c r="E180" s="5"/>
      <c r="F180" s="5"/>
      <c r="G180" s="5"/>
      <c r="H180" s="5"/>
      <c r="I180" s="5"/>
      <c r="J180" s="5"/>
      <c r="K180" s="5"/>
      <c r="L180" s="5"/>
      <c r="M180" s="5"/>
      <c r="N180" s="155"/>
    </row>
    <row r="181" spans="1:14" x14ac:dyDescent="0.25">
      <c r="A181" s="148"/>
      <c r="B181" s="5"/>
      <c r="C181" s="5"/>
      <c r="D181" s="5"/>
      <c r="E181" s="5"/>
      <c r="F181" s="5"/>
      <c r="G181" s="5"/>
      <c r="H181" s="5"/>
      <c r="I181" s="5"/>
      <c r="J181" s="5"/>
      <c r="K181" s="5"/>
      <c r="L181" s="5"/>
      <c r="M181" s="5"/>
      <c r="N181" s="155"/>
    </row>
    <row r="182" spans="1:14" x14ac:dyDescent="0.25">
      <c r="A182" s="148"/>
      <c r="B182" s="5"/>
      <c r="C182" s="5"/>
      <c r="D182" s="5"/>
      <c r="E182" s="5"/>
      <c r="F182" s="5"/>
      <c r="G182" s="5"/>
      <c r="H182" s="5"/>
      <c r="I182" s="5"/>
      <c r="J182" s="5"/>
      <c r="K182" s="5"/>
      <c r="L182" s="5"/>
      <c r="M182" s="5"/>
      <c r="N182" s="155"/>
    </row>
    <row r="183" spans="1:14" x14ac:dyDescent="0.25">
      <c r="A183" s="148"/>
      <c r="B183" s="5"/>
      <c r="C183" s="5"/>
      <c r="D183" s="5"/>
      <c r="E183" s="5"/>
      <c r="F183" s="5"/>
      <c r="G183" s="5"/>
      <c r="H183" s="5"/>
      <c r="I183" s="5"/>
      <c r="J183" s="5"/>
      <c r="K183" s="5"/>
      <c r="L183" s="5"/>
      <c r="M183" s="5"/>
      <c r="N183" s="155"/>
    </row>
    <row r="184" spans="1:14" x14ac:dyDescent="0.25">
      <c r="A184" s="148"/>
      <c r="B184" s="5"/>
      <c r="C184" s="5"/>
      <c r="D184" s="5"/>
      <c r="E184" s="5"/>
      <c r="F184" s="5"/>
      <c r="G184" s="5"/>
      <c r="H184" s="5"/>
      <c r="I184" s="5"/>
      <c r="J184" s="5"/>
      <c r="K184" s="5"/>
      <c r="L184" s="5"/>
      <c r="M184" s="5"/>
      <c r="N184" s="155"/>
    </row>
    <row r="185" spans="1:14" x14ac:dyDescent="0.25">
      <c r="A185" s="148"/>
      <c r="B185" s="5"/>
      <c r="C185" s="5"/>
      <c r="D185" s="5"/>
      <c r="E185" s="5"/>
      <c r="F185" s="5"/>
      <c r="G185" s="5"/>
      <c r="H185" s="5"/>
      <c r="I185" s="5"/>
      <c r="J185" s="5"/>
      <c r="K185" s="5"/>
      <c r="L185" s="5"/>
      <c r="M185" s="5"/>
      <c r="N185" s="155"/>
    </row>
    <row r="186" spans="1:14" x14ac:dyDescent="0.25">
      <c r="A186" s="148"/>
      <c r="B186" s="5"/>
      <c r="C186" s="5"/>
      <c r="D186" s="5"/>
      <c r="E186" s="5"/>
      <c r="F186" s="5"/>
      <c r="G186" s="5"/>
      <c r="H186" s="5"/>
      <c r="I186" s="5"/>
      <c r="J186" s="5"/>
      <c r="K186" s="5"/>
      <c r="L186" s="5"/>
      <c r="M186" s="5"/>
      <c r="N186" s="155"/>
    </row>
    <row r="187" spans="1:14" x14ac:dyDescent="0.25">
      <c r="A187" s="148"/>
      <c r="B187" s="5"/>
      <c r="C187" s="5"/>
      <c r="D187" s="5"/>
      <c r="E187" s="5"/>
      <c r="F187" s="5"/>
      <c r="G187" s="5"/>
      <c r="H187" s="5"/>
      <c r="I187" s="5"/>
      <c r="J187" s="5"/>
      <c r="K187" s="5"/>
      <c r="L187" s="5"/>
      <c r="M187" s="5"/>
      <c r="N187" s="155"/>
    </row>
    <row r="188" spans="1:14" x14ac:dyDescent="0.25">
      <c r="A188" s="148"/>
      <c r="B188" s="5"/>
      <c r="C188" s="5"/>
      <c r="D188" s="5"/>
      <c r="E188" s="5"/>
      <c r="F188" s="5"/>
      <c r="G188" s="5"/>
      <c r="H188" s="5"/>
      <c r="I188" s="5"/>
      <c r="J188" s="5"/>
      <c r="K188" s="5"/>
      <c r="L188" s="5"/>
      <c r="M188" s="5"/>
      <c r="N188" s="155"/>
    </row>
    <row r="189" spans="1:14" x14ac:dyDescent="0.25">
      <c r="A189" s="148"/>
      <c r="B189" s="5"/>
      <c r="C189" s="5"/>
      <c r="D189" s="5"/>
      <c r="E189" s="5"/>
      <c r="F189" s="5"/>
      <c r="G189" s="5"/>
      <c r="H189" s="5"/>
      <c r="I189" s="5"/>
      <c r="J189" s="5"/>
      <c r="K189" s="5"/>
      <c r="L189" s="5"/>
      <c r="M189" s="5"/>
      <c r="N189" s="155"/>
    </row>
    <row r="190" spans="1:14" x14ac:dyDescent="0.25">
      <c r="A190" s="148"/>
      <c r="B190" s="5"/>
      <c r="C190" s="5"/>
      <c r="D190" s="5"/>
      <c r="E190" s="5"/>
      <c r="F190" s="5"/>
      <c r="G190" s="5"/>
      <c r="H190" s="5"/>
      <c r="I190" s="5"/>
      <c r="J190" s="5"/>
      <c r="K190" s="5"/>
      <c r="L190" s="5"/>
      <c r="M190" s="5"/>
      <c r="N190" s="155"/>
    </row>
    <row r="191" spans="1:14" x14ac:dyDescent="0.25">
      <c r="A191" s="148"/>
      <c r="B191" s="5"/>
      <c r="C191" s="5"/>
      <c r="D191" s="5"/>
      <c r="E191" s="5"/>
      <c r="F191" s="5"/>
      <c r="G191" s="5"/>
      <c r="H191" s="5"/>
      <c r="I191" s="5"/>
      <c r="J191" s="5"/>
      <c r="K191" s="5"/>
      <c r="L191" s="5"/>
      <c r="M191" s="5"/>
      <c r="N191" s="155"/>
    </row>
    <row r="192" spans="1:14" x14ac:dyDescent="0.25">
      <c r="A192" s="148"/>
      <c r="B192" s="5"/>
      <c r="C192" s="5"/>
      <c r="D192" s="5"/>
      <c r="E192" s="5"/>
      <c r="F192" s="5"/>
      <c r="G192" s="5"/>
      <c r="H192" s="5"/>
      <c r="I192" s="5"/>
      <c r="J192" s="5"/>
      <c r="K192" s="5"/>
      <c r="L192" s="5"/>
      <c r="M192" s="5"/>
      <c r="N192" s="155"/>
    </row>
    <row r="193" spans="1:14" x14ac:dyDescent="0.25">
      <c r="A193" s="148"/>
      <c r="B193" s="5"/>
      <c r="C193" s="5"/>
      <c r="D193" s="5"/>
      <c r="E193" s="5"/>
      <c r="F193" s="5"/>
      <c r="G193" s="5"/>
      <c r="H193" s="5"/>
      <c r="I193" s="5"/>
      <c r="J193" s="5"/>
      <c r="K193" s="5"/>
      <c r="L193" s="5"/>
      <c r="M193" s="5"/>
      <c r="N193" s="155"/>
    </row>
    <row r="194" spans="1:14" x14ac:dyDescent="0.25">
      <c r="A194" s="148"/>
      <c r="B194" s="5"/>
      <c r="C194" s="5"/>
      <c r="D194" s="5"/>
      <c r="E194" s="5"/>
      <c r="F194" s="5"/>
      <c r="G194" s="5"/>
      <c r="H194" s="5"/>
      <c r="I194" s="5"/>
      <c r="J194" s="5"/>
      <c r="K194" s="5"/>
      <c r="L194" s="5"/>
      <c r="M194" s="5"/>
      <c r="N194" s="155"/>
    </row>
    <row r="195" spans="1:14" x14ac:dyDescent="0.25">
      <c r="A195" s="148"/>
      <c r="B195" s="5"/>
      <c r="C195" s="5"/>
      <c r="D195" s="5"/>
      <c r="E195" s="5"/>
      <c r="F195" s="5"/>
      <c r="G195" s="5"/>
      <c r="H195" s="5"/>
      <c r="I195" s="5"/>
      <c r="J195" s="5"/>
      <c r="K195" s="5"/>
      <c r="L195" s="5"/>
      <c r="M195" s="5"/>
      <c r="N195" s="155"/>
    </row>
    <row r="196" spans="1:14" x14ac:dyDescent="0.25">
      <c r="A196" s="148"/>
      <c r="B196" s="5"/>
      <c r="C196" s="5"/>
      <c r="D196" s="5"/>
      <c r="E196" s="5"/>
      <c r="F196" s="5"/>
      <c r="G196" s="5"/>
      <c r="H196" s="5"/>
      <c r="I196" s="5"/>
      <c r="J196" s="5"/>
      <c r="K196" s="5"/>
      <c r="L196" s="5"/>
      <c r="M196" s="5"/>
      <c r="N196" s="155"/>
    </row>
    <row r="197" spans="1:14" x14ac:dyDescent="0.25">
      <c r="A197" s="148"/>
      <c r="B197" s="5"/>
      <c r="C197" s="5"/>
      <c r="D197" s="5"/>
      <c r="E197" s="5"/>
      <c r="F197" s="5"/>
      <c r="G197" s="5"/>
      <c r="H197" s="5"/>
      <c r="I197" s="5"/>
      <c r="J197" s="5"/>
      <c r="K197" s="5"/>
      <c r="L197" s="5"/>
      <c r="M197" s="5"/>
      <c r="N197" s="155"/>
    </row>
    <row r="198" spans="1:14" x14ac:dyDescent="0.25">
      <c r="A198" s="148"/>
      <c r="B198" s="5"/>
      <c r="C198" s="5"/>
      <c r="D198" s="5"/>
      <c r="E198" s="5"/>
      <c r="F198" s="5"/>
      <c r="G198" s="5"/>
      <c r="H198" s="5"/>
      <c r="I198" s="5"/>
      <c r="J198" s="5"/>
      <c r="K198" s="5"/>
      <c r="L198" s="5"/>
      <c r="M198" s="5"/>
      <c r="N198" s="155"/>
    </row>
    <row r="199" spans="1:14" x14ac:dyDescent="0.25">
      <c r="A199" s="148"/>
      <c r="B199" s="5"/>
      <c r="C199" s="5"/>
      <c r="D199" s="5"/>
      <c r="E199" s="5"/>
      <c r="F199" s="5"/>
      <c r="G199" s="5"/>
      <c r="H199" s="5"/>
      <c r="I199" s="5"/>
      <c r="J199" s="5"/>
      <c r="K199" s="5"/>
      <c r="L199" s="5"/>
      <c r="M199" s="5"/>
      <c r="N199" s="155"/>
    </row>
    <row r="200" spans="1:14" x14ac:dyDescent="0.25">
      <c r="A200" s="148"/>
      <c r="B200" s="5"/>
      <c r="C200" s="5"/>
      <c r="D200" s="5"/>
      <c r="E200" s="5"/>
      <c r="F200" s="5"/>
      <c r="G200" s="5"/>
      <c r="H200" s="5"/>
      <c r="I200" s="5"/>
      <c r="J200" s="5"/>
      <c r="K200" s="5"/>
      <c r="L200" s="5"/>
      <c r="M200" s="5"/>
      <c r="N200" s="155"/>
    </row>
    <row r="201" spans="1:14" x14ac:dyDescent="0.25">
      <c r="A201" s="148"/>
      <c r="B201" s="5"/>
      <c r="C201" s="5"/>
      <c r="D201" s="5"/>
      <c r="E201" s="5"/>
      <c r="F201" s="5"/>
      <c r="G201" s="5"/>
      <c r="H201" s="5"/>
      <c r="I201" s="5"/>
      <c r="J201" s="5"/>
      <c r="K201" s="5"/>
      <c r="L201" s="5"/>
      <c r="M201" s="5"/>
      <c r="N201" s="155"/>
    </row>
    <row r="202" spans="1:14" x14ac:dyDescent="0.25">
      <c r="A202" s="148"/>
      <c r="B202" s="5"/>
      <c r="C202" s="5"/>
      <c r="D202" s="5"/>
      <c r="E202" s="5"/>
      <c r="F202" s="5"/>
      <c r="G202" s="5"/>
      <c r="H202" s="5"/>
      <c r="I202" s="5"/>
      <c r="J202" s="5"/>
      <c r="K202" s="5"/>
      <c r="L202" s="5"/>
      <c r="M202" s="5"/>
      <c r="N202" s="155"/>
    </row>
    <row r="203" spans="1:14" x14ac:dyDescent="0.25">
      <c r="A203" s="148"/>
      <c r="B203" s="5"/>
      <c r="C203" s="5"/>
      <c r="D203" s="5"/>
      <c r="E203" s="5"/>
      <c r="F203" s="5"/>
      <c r="G203" s="5"/>
      <c r="H203" s="5"/>
      <c r="I203" s="5"/>
      <c r="J203" s="5"/>
      <c r="K203" s="5"/>
      <c r="L203" s="5"/>
      <c r="M203" s="5"/>
      <c r="N203" s="155"/>
    </row>
    <row r="204" spans="1:14" x14ac:dyDescent="0.25">
      <c r="A204" s="148"/>
      <c r="B204" s="5"/>
      <c r="C204" s="5"/>
      <c r="D204" s="5"/>
      <c r="E204" s="5"/>
      <c r="F204" s="5"/>
      <c r="G204" s="5"/>
      <c r="H204" s="5"/>
      <c r="I204" s="5"/>
      <c r="J204" s="5"/>
      <c r="K204" s="5"/>
      <c r="L204" s="5"/>
      <c r="M204" s="5"/>
      <c r="N204" s="155"/>
    </row>
    <row r="205" spans="1:14" x14ac:dyDescent="0.25">
      <c r="A205" s="148"/>
      <c r="B205" s="5"/>
      <c r="C205" s="5"/>
      <c r="D205" s="5"/>
      <c r="E205" s="5"/>
      <c r="F205" s="5"/>
      <c r="G205" s="5"/>
      <c r="H205" s="5"/>
      <c r="I205" s="5"/>
      <c r="J205" s="5"/>
      <c r="K205" s="5"/>
      <c r="L205" s="5"/>
      <c r="M205" s="5"/>
      <c r="N205" s="155"/>
    </row>
    <row r="206" spans="1:14" x14ac:dyDescent="0.25">
      <c r="A206" s="148"/>
      <c r="B206" s="5"/>
      <c r="C206" s="5"/>
      <c r="D206" s="5"/>
      <c r="E206" s="5"/>
      <c r="F206" s="5"/>
      <c r="G206" s="5"/>
      <c r="H206" s="5"/>
      <c r="I206" s="5"/>
      <c r="J206" s="5"/>
      <c r="K206" s="5"/>
      <c r="L206" s="5"/>
      <c r="M206" s="5"/>
      <c r="N206" s="155"/>
    </row>
    <row r="207" spans="1:14" x14ac:dyDescent="0.25">
      <c r="A207" s="148"/>
      <c r="B207" s="5"/>
      <c r="C207" s="5"/>
      <c r="D207" s="5"/>
      <c r="E207" s="5"/>
      <c r="F207" s="5"/>
      <c r="G207" s="5"/>
      <c r="H207" s="5"/>
      <c r="I207" s="5"/>
      <c r="J207" s="5"/>
      <c r="K207" s="5"/>
      <c r="L207" s="5"/>
      <c r="M207" s="5"/>
      <c r="N207" s="155"/>
    </row>
    <row r="208" spans="1:14" x14ac:dyDescent="0.25">
      <c r="A208" s="148"/>
      <c r="B208" s="5"/>
      <c r="C208" s="5"/>
      <c r="D208" s="5"/>
      <c r="E208" s="5"/>
      <c r="F208" s="5"/>
      <c r="G208" s="5"/>
      <c r="H208" s="5"/>
      <c r="I208" s="5"/>
      <c r="J208" s="5"/>
      <c r="K208" s="5"/>
      <c r="L208" s="5"/>
      <c r="M208" s="5"/>
      <c r="N208" s="155"/>
    </row>
    <row r="209" spans="1:14" x14ac:dyDescent="0.25">
      <c r="A209" s="148"/>
      <c r="B209" s="5"/>
      <c r="C209" s="5"/>
      <c r="D209" s="5"/>
      <c r="E209" s="5"/>
      <c r="F209" s="5"/>
      <c r="G209" s="5"/>
      <c r="H209" s="5"/>
      <c r="I209" s="5"/>
      <c r="J209" s="5"/>
      <c r="K209" s="5"/>
      <c r="L209" s="5"/>
      <c r="M209" s="5"/>
      <c r="N209" s="155"/>
    </row>
    <row r="210" spans="1:14" x14ac:dyDescent="0.25">
      <c r="A210" s="148"/>
      <c r="B210" s="5"/>
      <c r="C210" s="5"/>
      <c r="D210" s="5"/>
      <c r="E210" s="5"/>
      <c r="F210" s="5"/>
      <c r="G210" s="5"/>
      <c r="H210" s="5"/>
      <c r="I210" s="5"/>
      <c r="J210" s="5"/>
      <c r="K210" s="5"/>
      <c r="L210" s="5"/>
      <c r="M210" s="5"/>
      <c r="N210" s="155"/>
    </row>
    <row r="211" spans="1:14" x14ac:dyDescent="0.25">
      <c r="A211" s="148"/>
      <c r="B211" s="5"/>
      <c r="C211" s="5"/>
      <c r="D211" s="5"/>
      <c r="E211" s="5"/>
      <c r="F211" s="5"/>
      <c r="G211" s="5"/>
      <c r="H211" s="5"/>
      <c r="I211" s="5"/>
      <c r="J211" s="5"/>
      <c r="K211" s="5"/>
      <c r="L211" s="5"/>
      <c r="M211" s="5"/>
      <c r="N211" s="155"/>
    </row>
    <row r="212" spans="1:14" x14ac:dyDescent="0.25">
      <c r="A212" s="148"/>
      <c r="B212" s="5"/>
      <c r="C212" s="5"/>
      <c r="D212" s="5"/>
      <c r="E212" s="5"/>
      <c r="F212" s="5"/>
      <c r="G212" s="5"/>
      <c r="H212" s="5"/>
      <c r="I212" s="5"/>
      <c r="J212" s="5"/>
      <c r="K212" s="5"/>
      <c r="L212" s="5"/>
      <c r="M212" s="5"/>
      <c r="N212" s="155"/>
    </row>
    <row r="213" spans="1:14" x14ac:dyDescent="0.25">
      <c r="A213" s="148"/>
      <c r="B213" s="5"/>
      <c r="C213" s="5"/>
      <c r="D213" s="5"/>
      <c r="E213" s="5"/>
      <c r="F213" s="5"/>
      <c r="G213" s="5"/>
      <c r="H213" s="5"/>
      <c r="I213" s="5"/>
      <c r="J213" s="5"/>
      <c r="K213" s="5"/>
      <c r="L213" s="5"/>
      <c r="M213" s="5"/>
      <c r="N213" s="155"/>
    </row>
    <row r="214" spans="1:14" x14ac:dyDescent="0.25">
      <c r="A214" s="148"/>
      <c r="B214" s="5"/>
      <c r="C214" s="5"/>
      <c r="D214" s="5"/>
      <c r="E214" s="5"/>
      <c r="F214" s="5"/>
      <c r="G214" s="5"/>
      <c r="H214" s="5"/>
      <c r="I214" s="5"/>
      <c r="J214" s="5"/>
      <c r="K214" s="5"/>
      <c r="L214" s="5"/>
      <c r="M214" s="5"/>
      <c r="N214" s="155"/>
    </row>
    <row r="215" spans="1:14" x14ac:dyDescent="0.25">
      <c r="A215" s="148"/>
      <c r="B215" s="5"/>
      <c r="C215" s="5"/>
      <c r="D215" s="5"/>
      <c r="E215" s="5"/>
      <c r="F215" s="5"/>
      <c r="G215" s="5"/>
      <c r="H215" s="5"/>
      <c r="I215" s="5"/>
      <c r="J215" s="5"/>
      <c r="K215" s="5"/>
      <c r="L215" s="5"/>
      <c r="M215" s="5"/>
      <c r="N215" s="155"/>
    </row>
    <row r="216" spans="1:14" x14ac:dyDescent="0.25">
      <c r="A216" s="148"/>
      <c r="B216" s="5"/>
      <c r="C216" s="5"/>
      <c r="D216" s="5"/>
      <c r="E216" s="5"/>
      <c r="F216" s="5"/>
      <c r="G216" s="5"/>
      <c r="H216" s="5"/>
      <c r="I216" s="5"/>
      <c r="J216" s="5"/>
      <c r="K216" s="5"/>
      <c r="L216" s="5"/>
      <c r="M216" s="5"/>
      <c r="N216" s="155"/>
    </row>
    <row r="217" spans="1:14" x14ac:dyDescent="0.25">
      <c r="A217" s="148"/>
      <c r="B217" s="5"/>
      <c r="C217" s="5"/>
      <c r="D217" s="5"/>
      <c r="E217" s="5"/>
      <c r="F217" s="5"/>
      <c r="G217" s="5"/>
      <c r="H217" s="5"/>
      <c r="I217" s="5"/>
      <c r="J217" s="5"/>
      <c r="K217" s="5"/>
      <c r="L217" s="5"/>
      <c r="M217" s="5"/>
      <c r="N217" s="155"/>
    </row>
    <row r="218" spans="1:14" x14ac:dyDescent="0.25">
      <c r="A218" s="148"/>
      <c r="B218" s="5"/>
      <c r="C218" s="5"/>
      <c r="D218" s="5"/>
      <c r="E218" s="5"/>
      <c r="F218" s="5"/>
      <c r="G218" s="5"/>
      <c r="H218" s="5"/>
      <c r="I218" s="5"/>
      <c r="J218" s="5"/>
      <c r="K218" s="5"/>
      <c r="L218" s="5"/>
      <c r="M218" s="5"/>
      <c r="N218" s="155"/>
    </row>
    <row r="219" spans="1:14" x14ac:dyDescent="0.25">
      <c r="A219" s="148"/>
      <c r="B219" s="5"/>
      <c r="C219" s="5"/>
      <c r="D219" s="5"/>
      <c r="E219" s="5"/>
      <c r="F219" s="5"/>
      <c r="G219" s="5"/>
      <c r="H219" s="5"/>
      <c r="I219" s="5"/>
      <c r="J219" s="5"/>
      <c r="K219" s="5"/>
      <c r="L219" s="5"/>
      <c r="M219" s="5"/>
      <c r="N219" s="155"/>
    </row>
    <row r="220" spans="1:14" x14ac:dyDescent="0.25">
      <c r="A220" s="148"/>
      <c r="B220" s="5"/>
      <c r="C220" s="5"/>
      <c r="D220" s="5"/>
      <c r="E220" s="5"/>
      <c r="F220" s="5"/>
      <c r="G220" s="5"/>
      <c r="H220" s="5"/>
      <c r="I220" s="5"/>
      <c r="J220" s="5"/>
      <c r="K220" s="5"/>
      <c r="L220" s="5"/>
      <c r="M220" s="5"/>
      <c r="N220" s="155"/>
    </row>
    <row r="221" spans="1:14" x14ac:dyDescent="0.25">
      <c r="A221" s="148"/>
      <c r="B221" s="5"/>
      <c r="C221" s="5"/>
      <c r="D221" s="5"/>
      <c r="E221" s="5"/>
      <c r="F221" s="5"/>
      <c r="G221" s="5"/>
      <c r="H221" s="5"/>
      <c r="I221" s="5"/>
      <c r="J221" s="5"/>
      <c r="K221" s="5"/>
      <c r="L221" s="5"/>
      <c r="M221" s="5"/>
      <c r="N221" s="155"/>
    </row>
    <row r="222" spans="1:14" x14ac:dyDescent="0.25">
      <c r="A222" s="148"/>
      <c r="B222" s="5"/>
      <c r="C222" s="5"/>
      <c r="D222" s="5"/>
      <c r="E222" s="5"/>
      <c r="F222" s="5"/>
      <c r="G222" s="5"/>
      <c r="H222" s="5"/>
      <c r="I222" s="5"/>
      <c r="J222" s="5"/>
      <c r="K222" s="5"/>
      <c r="L222" s="5"/>
      <c r="M222" s="5"/>
      <c r="N222" s="155"/>
    </row>
    <row r="223" spans="1:14" x14ac:dyDescent="0.25">
      <c r="A223" s="148"/>
      <c r="B223" s="5"/>
      <c r="C223" s="5"/>
      <c r="D223" s="5"/>
      <c r="E223" s="5"/>
      <c r="F223" s="5"/>
      <c r="G223" s="5"/>
      <c r="H223" s="5"/>
      <c r="I223" s="5"/>
      <c r="J223" s="5"/>
      <c r="K223" s="5"/>
      <c r="L223" s="5"/>
      <c r="M223" s="5"/>
      <c r="N223" s="155"/>
    </row>
    <row r="224" spans="1:14" x14ac:dyDescent="0.25">
      <c r="A224" s="148"/>
      <c r="B224" s="5"/>
      <c r="C224" s="5"/>
      <c r="D224" s="5"/>
      <c r="E224" s="5"/>
      <c r="F224" s="5"/>
      <c r="G224" s="5"/>
      <c r="H224" s="5"/>
      <c r="I224" s="5"/>
      <c r="J224" s="5"/>
      <c r="K224" s="5"/>
      <c r="L224" s="5"/>
      <c r="M224" s="5"/>
      <c r="N224" s="155"/>
    </row>
    <row r="225" spans="1:14" x14ac:dyDescent="0.25">
      <c r="A225" s="148"/>
      <c r="B225" s="5"/>
      <c r="C225" s="5"/>
      <c r="D225" s="5"/>
      <c r="E225" s="5"/>
      <c r="F225" s="5"/>
      <c r="G225" s="5"/>
      <c r="H225" s="5"/>
      <c r="I225" s="5"/>
      <c r="J225" s="5"/>
      <c r="K225" s="5"/>
      <c r="L225" s="5"/>
      <c r="M225" s="5"/>
      <c r="N225" s="155"/>
    </row>
    <row r="226" spans="1:14" x14ac:dyDescent="0.25">
      <c r="A226" s="148"/>
      <c r="B226" s="5"/>
      <c r="C226" s="5"/>
      <c r="D226" s="5"/>
      <c r="E226" s="5"/>
      <c r="F226" s="5"/>
      <c r="G226" s="5"/>
      <c r="H226" s="5"/>
      <c r="I226" s="5"/>
      <c r="J226" s="5"/>
      <c r="K226" s="5"/>
      <c r="L226" s="5"/>
      <c r="M226" s="5"/>
      <c r="N226" s="155"/>
    </row>
    <row r="227" spans="1:14" x14ac:dyDescent="0.25">
      <c r="A227" s="148"/>
      <c r="B227" s="5"/>
      <c r="C227" s="5"/>
      <c r="D227" s="5"/>
      <c r="E227" s="5"/>
      <c r="F227" s="5"/>
      <c r="G227" s="5"/>
      <c r="H227" s="5"/>
      <c r="I227" s="5"/>
      <c r="J227" s="5"/>
      <c r="K227" s="5"/>
      <c r="L227" s="5"/>
      <c r="M227" s="5"/>
      <c r="N227" s="155"/>
    </row>
    <row r="228" spans="1:14" x14ac:dyDescent="0.25">
      <c r="A228" s="148"/>
      <c r="B228" s="5"/>
      <c r="C228" s="5"/>
      <c r="D228" s="5"/>
      <c r="E228" s="5"/>
      <c r="F228" s="5"/>
      <c r="G228" s="5"/>
      <c r="H228" s="5"/>
      <c r="I228" s="5"/>
      <c r="J228" s="5"/>
      <c r="K228" s="5"/>
      <c r="L228" s="5"/>
      <c r="M228" s="5"/>
      <c r="N228" s="155"/>
    </row>
    <row r="229" spans="1:14" x14ac:dyDescent="0.25">
      <c r="A229" s="148"/>
      <c r="B229" s="5"/>
      <c r="C229" s="5"/>
      <c r="D229" s="5"/>
      <c r="E229" s="5"/>
      <c r="F229" s="5"/>
      <c r="G229" s="5"/>
      <c r="H229" s="5"/>
      <c r="I229" s="5"/>
      <c r="J229" s="5"/>
      <c r="K229" s="5"/>
      <c r="L229" s="5"/>
      <c r="M229" s="5"/>
      <c r="N229" s="155"/>
    </row>
    <row r="230" spans="1:14" x14ac:dyDescent="0.25">
      <c r="A230" s="148"/>
      <c r="B230" s="5"/>
      <c r="C230" s="5"/>
      <c r="D230" s="5"/>
      <c r="E230" s="5"/>
      <c r="F230" s="5"/>
      <c r="G230" s="5"/>
      <c r="H230" s="5"/>
      <c r="I230" s="5"/>
      <c r="J230" s="5"/>
      <c r="K230" s="5"/>
      <c r="L230" s="5"/>
      <c r="M230" s="5"/>
      <c r="N230" s="155"/>
    </row>
    <row r="231" spans="1:14" x14ac:dyDescent="0.25">
      <c r="A231" s="148"/>
      <c r="B231" s="5"/>
      <c r="C231" s="5"/>
      <c r="D231" s="5"/>
      <c r="E231" s="5"/>
      <c r="F231" s="5"/>
      <c r="G231" s="5"/>
      <c r="H231" s="5"/>
      <c r="I231" s="5"/>
      <c r="J231" s="5"/>
      <c r="K231" s="5"/>
      <c r="L231" s="5"/>
      <c r="M231" s="5"/>
      <c r="N231" s="155"/>
    </row>
    <row r="232" spans="1:14" x14ac:dyDescent="0.25">
      <c r="A232" s="148"/>
      <c r="B232" s="5"/>
      <c r="C232" s="5"/>
      <c r="D232" s="5"/>
      <c r="E232" s="5"/>
      <c r="F232" s="5"/>
      <c r="G232" s="5"/>
      <c r="H232" s="5"/>
      <c r="I232" s="5"/>
      <c r="J232" s="5"/>
      <c r="K232" s="5"/>
      <c r="L232" s="5"/>
      <c r="M232" s="5"/>
      <c r="N232" s="155"/>
    </row>
    <row r="233" spans="1:14" x14ac:dyDescent="0.25">
      <c r="A233" s="148"/>
      <c r="B233" s="5"/>
      <c r="C233" s="5"/>
      <c r="D233" s="5"/>
      <c r="E233" s="5"/>
      <c r="F233" s="5"/>
      <c r="G233" s="5"/>
      <c r="H233" s="5"/>
      <c r="I233" s="5"/>
      <c r="J233" s="5"/>
      <c r="K233" s="5"/>
      <c r="L233" s="5"/>
      <c r="M233" s="5"/>
      <c r="N233" s="155"/>
    </row>
    <row r="234" spans="1:14" x14ac:dyDescent="0.25">
      <c r="A234" s="148"/>
      <c r="B234" s="5"/>
      <c r="C234" s="5"/>
      <c r="D234" s="5"/>
      <c r="E234" s="5"/>
      <c r="F234" s="5"/>
      <c r="G234" s="5"/>
      <c r="H234" s="5"/>
      <c r="I234" s="5"/>
      <c r="J234" s="5"/>
      <c r="K234" s="5"/>
      <c r="L234" s="5"/>
      <c r="M234" s="5"/>
      <c r="N234" s="155"/>
    </row>
    <row r="235" spans="1:14" x14ac:dyDescent="0.25">
      <c r="A235" s="148"/>
      <c r="B235" s="5"/>
      <c r="C235" s="5"/>
      <c r="D235" s="5"/>
      <c r="E235" s="5"/>
      <c r="F235" s="5"/>
      <c r="G235" s="5"/>
      <c r="H235" s="5"/>
      <c r="I235" s="5"/>
      <c r="J235" s="5"/>
      <c r="K235" s="5"/>
      <c r="L235" s="5"/>
      <c r="M235" s="5"/>
      <c r="N235" s="155"/>
    </row>
    <row r="236" spans="1:14" x14ac:dyDescent="0.25">
      <c r="A236" s="148"/>
      <c r="B236" s="5"/>
      <c r="C236" s="5"/>
      <c r="D236" s="5"/>
      <c r="E236" s="5"/>
      <c r="F236" s="5"/>
      <c r="G236" s="5"/>
      <c r="H236" s="5"/>
      <c r="I236" s="5"/>
      <c r="J236" s="5"/>
      <c r="K236" s="5"/>
      <c r="L236" s="5"/>
      <c r="M236" s="5"/>
      <c r="N236" s="155"/>
    </row>
    <row r="237" spans="1:14" x14ac:dyDescent="0.25">
      <c r="A237" s="148"/>
      <c r="B237" s="5"/>
      <c r="C237" s="5"/>
      <c r="D237" s="5"/>
      <c r="E237" s="5"/>
      <c r="F237" s="5"/>
      <c r="G237" s="5"/>
      <c r="H237" s="5"/>
      <c r="I237" s="5"/>
      <c r="J237" s="5"/>
      <c r="K237" s="5"/>
      <c r="L237" s="5"/>
      <c r="M237" s="5"/>
      <c r="N237" s="155"/>
    </row>
    <row r="238" spans="1:14" x14ac:dyDescent="0.25">
      <c r="A238" s="148"/>
      <c r="B238" s="5"/>
      <c r="C238" s="5"/>
      <c r="D238" s="5"/>
      <c r="E238" s="5"/>
      <c r="F238" s="5"/>
      <c r="G238" s="5"/>
      <c r="H238" s="5"/>
      <c r="I238" s="5"/>
      <c r="J238" s="5"/>
      <c r="K238" s="5"/>
      <c r="L238" s="5"/>
      <c r="M238" s="5"/>
      <c r="N238" s="155"/>
    </row>
    <row r="239" spans="1:14" x14ac:dyDescent="0.25">
      <c r="A239" s="148"/>
      <c r="B239" s="5"/>
      <c r="C239" s="5"/>
      <c r="D239" s="5"/>
      <c r="E239" s="5"/>
      <c r="F239" s="5"/>
      <c r="G239" s="5"/>
      <c r="H239" s="5"/>
      <c r="I239" s="5"/>
      <c r="J239" s="5"/>
      <c r="K239" s="5"/>
      <c r="L239" s="5"/>
      <c r="M239" s="5"/>
      <c r="N239" s="155"/>
    </row>
    <row r="240" spans="1:14" x14ac:dyDescent="0.25">
      <c r="A240" s="148"/>
      <c r="B240" s="5"/>
      <c r="C240" s="5"/>
      <c r="D240" s="5"/>
      <c r="E240" s="5"/>
      <c r="F240" s="5"/>
      <c r="G240" s="5"/>
      <c r="H240" s="5"/>
      <c r="I240" s="5"/>
      <c r="J240" s="5"/>
      <c r="K240" s="5"/>
      <c r="L240" s="5"/>
      <c r="M240" s="5"/>
      <c r="N240" s="155"/>
    </row>
    <row r="241" spans="1:14" x14ac:dyDescent="0.25">
      <c r="A241" s="148"/>
      <c r="B241" s="5"/>
      <c r="C241" s="5"/>
      <c r="D241" s="5"/>
      <c r="E241" s="5"/>
      <c r="F241" s="5"/>
      <c r="G241" s="5"/>
      <c r="H241" s="5"/>
      <c r="I241" s="5"/>
      <c r="J241" s="5"/>
      <c r="K241" s="5"/>
      <c r="L241" s="5"/>
      <c r="M241" s="5"/>
      <c r="N241" s="155"/>
    </row>
    <row r="242" spans="1:14" x14ac:dyDescent="0.25">
      <c r="A242" s="148"/>
      <c r="B242" s="5"/>
      <c r="C242" s="5"/>
      <c r="D242" s="5"/>
      <c r="E242" s="5"/>
      <c r="F242" s="5"/>
      <c r="G242" s="5"/>
      <c r="H242" s="5"/>
      <c r="I242" s="5"/>
      <c r="J242" s="5"/>
      <c r="K242" s="5"/>
      <c r="L242" s="5"/>
      <c r="M242" s="5"/>
      <c r="N242" s="155"/>
    </row>
    <row r="243" spans="1:14" x14ac:dyDescent="0.25">
      <c r="A243" s="148"/>
      <c r="B243" s="5"/>
      <c r="C243" s="5"/>
      <c r="D243" s="5"/>
      <c r="E243" s="5"/>
      <c r="F243" s="5"/>
      <c r="G243" s="5"/>
      <c r="H243" s="5"/>
      <c r="I243" s="5"/>
      <c r="J243" s="5"/>
      <c r="K243" s="5"/>
      <c r="L243" s="5"/>
      <c r="M243" s="5"/>
      <c r="N243" s="155"/>
    </row>
    <row r="244" spans="1:14" x14ac:dyDescent="0.25">
      <c r="A244" s="148"/>
      <c r="B244" s="5"/>
      <c r="C244" s="5"/>
      <c r="D244" s="5"/>
      <c r="E244" s="5"/>
      <c r="F244" s="5"/>
      <c r="G244" s="5"/>
      <c r="H244" s="5"/>
      <c r="I244" s="5"/>
      <c r="J244" s="5"/>
      <c r="K244" s="5"/>
      <c r="L244" s="5"/>
      <c r="M244" s="5"/>
      <c r="N244" s="155"/>
    </row>
    <row r="245" spans="1:14" x14ac:dyDescent="0.25">
      <c r="A245" s="148"/>
      <c r="B245" s="5"/>
      <c r="C245" s="5"/>
      <c r="D245" s="5"/>
      <c r="E245" s="5"/>
      <c r="F245" s="5"/>
      <c r="G245" s="5"/>
      <c r="H245" s="5"/>
      <c r="I245" s="5"/>
      <c r="J245" s="5"/>
      <c r="K245" s="5"/>
      <c r="L245" s="5"/>
      <c r="M245" s="5"/>
      <c r="N245" s="155"/>
    </row>
    <row r="246" spans="1:14" x14ac:dyDescent="0.25">
      <c r="A246" s="148"/>
      <c r="B246" s="5"/>
      <c r="C246" s="5"/>
      <c r="D246" s="5"/>
      <c r="E246" s="5"/>
      <c r="F246" s="5"/>
      <c r="G246" s="5"/>
      <c r="H246" s="5"/>
      <c r="I246" s="5"/>
      <c r="J246" s="5"/>
      <c r="K246" s="5"/>
      <c r="L246" s="5"/>
      <c r="M246" s="5"/>
      <c r="N246" s="155"/>
    </row>
    <row r="247" spans="1:14" x14ac:dyDescent="0.25">
      <c r="A247" s="148"/>
      <c r="B247" s="5"/>
      <c r="C247" s="5"/>
      <c r="D247" s="5"/>
      <c r="E247" s="5"/>
      <c r="F247" s="5"/>
      <c r="G247" s="5"/>
      <c r="H247" s="5"/>
      <c r="I247" s="5"/>
      <c r="J247" s="5"/>
      <c r="K247" s="5"/>
      <c r="L247" s="5"/>
      <c r="M247" s="5"/>
      <c r="N247" s="155"/>
    </row>
    <row r="248" spans="1:14" x14ac:dyDescent="0.25">
      <c r="A248" s="148"/>
      <c r="B248" s="5"/>
      <c r="C248" s="5"/>
      <c r="D248" s="5"/>
      <c r="E248" s="5"/>
      <c r="F248" s="5"/>
      <c r="G248" s="5"/>
      <c r="H248" s="5"/>
      <c r="I248" s="5"/>
      <c r="J248" s="5"/>
      <c r="K248" s="5"/>
      <c r="L248" s="5"/>
      <c r="M248" s="5"/>
      <c r="N248" s="155"/>
    </row>
    <row r="249" spans="1:14" x14ac:dyDescent="0.25">
      <c r="A249" s="148"/>
      <c r="B249" s="5"/>
      <c r="C249" s="5"/>
      <c r="D249" s="5"/>
      <c r="E249" s="5"/>
      <c r="F249" s="5"/>
      <c r="G249" s="5"/>
      <c r="H249" s="5"/>
      <c r="I249" s="5"/>
      <c r="J249" s="5"/>
      <c r="K249" s="5"/>
      <c r="L249" s="5"/>
      <c r="M249" s="5"/>
      <c r="N249" s="155"/>
    </row>
    <row r="250" spans="1:14" x14ac:dyDescent="0.25">
      <c r="A250" s="148"/>
      <c r="B250" s="5"/>
      <c r="C250" s="5"/>
      <c r="D250" s="5"/>
      <c r="E250" s="5"/>
      <c r="F250" s="5"/>
      <c r="G250" s="5"/>
      <c r="H250" s="5"/>
      <c r="I250" s="5"/>
      <c r="J250" s="5"/>
      <c r="K250" s="5"/>
      <c r="L250" s="5"/>
      <c r="M250" s="5"/>
      <c r="N250" s="155"/>
    </row>
    <row r="251" spans="1:14" x14ac:dyDescent="0.25">
      <c r="A251" s="148"/>
      <c r="B251" s="5"/>
      <c r="C251" s="5"/>
      <c r="D251" s="5"/>
      <c r="E251" s="5"/>
      <c r="F251" s="5"/>
      <c r="G251" s="5"/>
      <c r="H251" s="5"/>
      <c r="I251" s="5"/>
      <c r="J251" s="5"/>
      <c r="K251" s="5"/>
      <c r="L251" s="5"/>
      <c r="M251" s="5"/>
      <c r="N251" s="155"/>
    </row>
    <row r="252" spans="1:14" x14ac:dyDescent="0.25">
      <c r="A252" s="148"/>
      <c r="B252" s="5"/>
      <c r="C252" s="5"/>
      <c r="D252" s="5"/>
      <c r="E252" s="5"/>
      <c r="F252" s="5"/>
      <c r="G252" s="5"/>
      <c r="H252" s="5"/>
      <c r="I252" s="5"/>
      <c r="J252" s="5"/>
      <c r="K252" s="5"/>
      <c r="L252" s="5"/>
      <c r="M252" s="5"/>
      <c r="N252" s="155"/>
    </row>
    <row r="253" spans="1:14" x14ac:dyDescent="0.25">
      <c r="A253" s="148"/>
      <c r="B253" s="5"/>
      <c r="C253" s="5"/>
      <c r="D253" s="5"/>
      <c r="E253" s="5"/>
      <c r="F253" s="5"/>
      <c r="G253" s="5"/>
      <c r="H253" s="5"/>
      <c r="I253" s="5"/>
      <c r="J253" s="5"/>
      <c r="K253" s="5"/>
      <c r="L253" s="5"/>
      <c r="M253" s="5"/>
      <c r="N253" s="155"/>
    </row>
    <row r="254" spans="1:14" x14ac:dyDescent="0.25">
      <c r="A254" s="148"/>
      <c r="B254" s="5"/>
      <c r="C254" s="5"/>
      <c r="D254" s="5"/>
      <c r="E254" s="5"/>
      <c r="F254" s="5"/>
      <c r="G254" s="5"/>
      <c r="H254" s="5"/>
      <c r="I254" s="5"/>
      <c r="J254" s="5"/>
      <c r="K254" s="5"/>
      <c r="L254" s="5"/>
      <c r="M254" s="5"/>
      <c r="N254" s="155"/>
    </row>
    <row r="255" spans="1:14" x14ac:dyDescent="0.25">
      <c r="A255" s="148"/>
      <c r="B255" s="5"/>
      <c r="C255" s="5"/>
      <c r="D255" s="5"/>
      <c r="E255" s="5"/>
      <c r="F255" s="5"/>
      <c r="G255" s="5"/>
      <c r="H255" s="5"/>
      <c r="I255" s="5"/>
      <c r="J255" s="5"/>
      <c r="K255" s="5"/>
      <c r="L255" s="5"/>
      <c r="M255" s="5"/>
      <c r="N255" s="155"/>
    </row>
    <row r="256" spans="1:14" x14ac:dyDescent="0.25">
      <c r="A256" s="148"/>
      <c r="B256" s="5"/>
      <c r="C256" s="5"/>
      <c r="D256" s="5"/>
      <c r="E256" s="5"/>
      <c r="F256" s="5"/>
      <c r="G256" s="5"/>
      <c r="H256" s="5"/>
      <c r="I256" s="5"/>
      <c r="J256" s="5"/>
      <c r="K256" s="5"/>
      <c r="L256" s="5"/>
      <c r="M256" s="5"/>
      <c r="N256" s="155"/>
    </row>
    <row r="257" spans="1:14" x14ac:dyDescent="0.25">
      <c r="A257" s="148"/>
      <c r="B257" s="5"/>
      <c r="C257" s="5"/>
      <c r="D257" s="5"/>
      <c r="E257" s="5"/>
      <c r="F257" s="5"/>
      <c r="G257" s="5"/>
      <c r="H257" s="5"/>
      <c r="I257" s="5"/>
      <c r="J257" s="5"/>
      <c r="K257" s="5"/>
      <c r="L257" s="5"/>
      <c r="M257" s="5"/>
      <c r="N257" s="155"/>
    </row>
    <row r="258" spans="1:14" x14ac:dyDescent="0.25">
      <c r="A258" s="148"/>
      <c r="B258" s="5"/>
      <c r="C258" s="5"/>
      <c r="D258" s="5"/>
      <c r="E258" s="5"/>
      <c r="F258" s="5"/>
      <c r="G258" s="5"/>
      <c r="H258" s="5"/>
      <c r="I258" s="5"/>
      <c r="J258" s="5"/>
      <c r="K258" s="5"/>
      <c r="L258" s="5"/>
      <c r="M258" s="5"/>
      <c r="N258" s="155"/>
    </row>
    <row r="259" spans="1:14" x14ac:dyDescent="0.25">
      <c r="A259" s="148"/>
      <c r="B259" s="5"/>
      <c r="C259" s="5"/>
      <c r="D259" s="5"/>
      <c r="E259" s="5"/>
      <c r="F259" s="5"/>
      <c r="G259" s="5"/>
      <c r="H259" s="5"/>
      <c r="I259" s="5"/>
      <c r="J259" s="5"/>
      <c r="K259" s="5"/>
      <c r="L259" s="5"/>
      <c r="M259" s="5"/>
      <c r="N259" s="155"/>
    </row>
    <row r="260" spans="1:14" x14ac:dyDescent="0.25">
      <c r="A260" s="148"/>
      <c r="B260" s="5"/>
      <c r="C260" s="5"/>
      <c r="D260" s="5"/>
      <c r="E260" s="5"/>
      <c r="F260" s="5"/>
      <c r="G260" s="5"/>
      <c r="H260" s="5"/>
      <c r="I260" s="5"/>
      <c r="J260" s="5"/>
      <c r="K260" s="5"/>
      <c r="L260" s="5"/>
      <c r="M260" s="5"/>
      <c r="N260" s="155"/>
    </row>
    <row r="261" spans="1:14" x14ac:dyDescent="0.25">
      <c r="A261" s="148"/>
      <c r="B261" s="5"/>
      <c r="C261" s="5"/>
      <c r="D261" s="5"/>
      <c r="E261" s="5"/>
      <c r="F261" s="5"/>
      <c r="G261" s="5"/>
      <c r="H261" s="5"/>
      <c r="I261" s="5"/>
      <c r="J261" s="5"/>
      <c r="K261" s="5"/>
      <c r="L261" s="5"/>
      <c r="M261" s="5"/>
      <c r="N261" s="155"/>
    </row>
    <row r="262" spans="1:14" x14ac:dyDescent="0.25">
      <c r="A262" s="148"/>
      <c r="B262" s="5"/>
      <c r="C262" s="5"/>
      <c r="D262" s="5"/>
      <c r="E262" s="5"/>
      <c r="F262" s="5"/>
      <c r="G262" s="5"/>
      <c r="H262" s="5"/>
      <c r="I262" s="5"/>
      <c r="J262" s="5"/>
      <c r="K262" s="5"/>
      <c r="L262" s="5"/>
      <c r="M262" s="5"/>
      <c r="N262" s="155"/>
    </row>
    <row r="263" spans="1:14" x14ac:dyDescent="0.25">
      <c r="A263" s="148"/>
      <c r="B263" s="5"/>
      <c r="C263" s="5"/>
      <c r="D263" s="5"/>
      <c r="E263" s="5"/>
      <c r="F263" s="5"/>
      <c r="G263" s="5"/>
      <c r="H263" s="5"/>
      <c r="I263" s="5"/>
      <c r="J263" s="5"/>
      <c r="K263" s="5"/>
      <c r="L263" s="5"/>
      <c r="M263" s="5"/>
      <c r="N263" s="155"/>
    </row>
    <row r="264" spans="1:14" x14ac:dyDescent="0.25">
      <c r="A264" s="148"/>
      <c r="B264" s="5"/>
      <c r="C264" s="5"/>
      <c r="D264" s="5"/>
      <c r="E264" s="5"/>
      <c r="F264" s="5"/>
      <c r="G264" s="5"/>
      <c r="H264" s="5"/>
      <c r="I264" s="5"/>
      <c r="J264" s="5"/>
      <c r="K264" s="5"/>
      <c r="L264" s="5"/>
      <c r="M264" s="5"/>
      <c r="N264" s="155"/>
    </row>
    <row r="265" spans="1:14" x14ac:dyDescent="0.25">
      <c r="A265" s="148"/>
      <c r="B265" s="5"/>
      <c r="C265" s="5"/>
      <c r="D265" s="5"/>
      <c r="E265" s="5"/>
      <c r="F265" s="5"/>
      <c r="G265" s="5"/>
      <c r="H265" s="5"/>
      <c r="I265" s="5"/>
      <c r="J265" s="5"/>
      <c r="K265" s="5"/>
      <c r="L265" s="5"/>
      <c r="M265" s="5"/>
      <c r="N265" s="155"/>
    </row>
    <row r="266" spans="1:14" x14ac:dyDescent="0.25">
      <c r="A266" s="148"/>
      <c r="B266" s="5"/>
      <c r="C266" s="5"/>
      <c r="D266" s="5"/>
      <c r="E266" s="5"/>
      <c r="F266" s="5"/>
      <c r="G266" s="5"/>
      <c r="H266" s="5"/>
      <c r="I266" s="5"/>
      <c r="J266" s="5"/>
      <c r="K266" s="5"/>
      <c r="L266" s="5"/>
      <c r="M266" s="5"/>
      <c r="N266" s="155"/>
    </row>
    <row r="267" spans="1:14" x14ac:dyDescent="0.25">
      <c r="A267" s="148"/>
      <c r="B267" s="5"/>
      <c r="C267" s="5"/>
      <c r="D267" s="5"/>
      <c r="E267" s="5"/>
      <c r="F267" s="5"/>
      <c r="G267" s="5"/>
      <c r="H267" s="5"/>
      <c r="I267" s="5"/>
      <c r="J267" s="5"/>
      <c r="K267" s="5"/>
      <c r="L267" s="5"/>
      <c r="M267" s="5"/>
      <c r="N267" s="155"/>
    </row>
    <row r="268" spans="1:14" x14ac:dyDescent="0.25">
      <c r="A268" s="148"/>
      <c r="B268" s="5"/>
      <c r="C268" s="5"/>
      <c r="D268" s="5"/>
      <c r="E268" s="5"/>
      <c r="F268" s="5"/>
      <c r="G268" s="5"/>
      <c r="H268" s="5"/>
      <c r="I268" s="5"/>
      <c r="J268" s="5"/>
      <c r="K268" s="5"/>
      <c r="L268" s="5"/>
      <c r="M268" s="5"/>
      <c r="N268" s="155"/>
    </row>
    <row r="269" spans="1:14" x14ac:dyDescent="0.25">
      <c r="A269" s="148"/>
      <c r="B269" s="5"/>
      <c r="C269" s="5"/>
      <c r="D269" s="5"/>
      <c r="E269" s="5"/>
      <c r="F269" s="5"/>
      <c r="G269" s="5"/>
      <c r="H269" s="5"/>
      <c r="I269" s="5"/>
      <c r="J269" s="5"/>
      <c r="K269" s="5"/>
      <c r="L269" s="5"/>
      <c r="M269" s="5"/>
      <c r="N269" s="155"/>
    </row>
    <row r="270" spans="1:14" x14ac:dyDescent="0.25">
      <c r="A270" s="148"/>
      <c r="B270" s="5"/>
      <c r="C270" s="5"/>
      <c r="D270" s="5"/>
      <c r="E270" s="5"/>
      <c r="F270" s="5"/>
      <c r="G270" s="5"/>
      <c r="H270" s="5"/>
      <c r="I270" s="5"/>
      <c r="J270" s="5"/>
      <c r="K270" s="5"/>
      <c r="L270" s="5"/>
      <c r="M270" s="5"/>
      <c r="N270" s="155"/>
    </row>
    <row r="271" spans="1:14" x14ac:dyDescent="0.25">
      <c r="A271" s="148"/>
      <c r="B271" s="5"/>
      <c r="C271" s="5"/>
      <c r="D271" s="5"/>
      <c r="E271" s="5"/>
      <c r="F271" s="5"/>
      <c r="G271" s="5"/>
      <c r="H271" s="5"/>
      <c r="I271" s="5"/>
      <c r="J271" s="5"/>
      <c r="K271" s="5"/>
      <c r="L271" s="5"/>
      <c r="M271" s="5"/>
      <c r="N271" s="155"/>
    </row>
    <row r="272" spans="1:14" x14ac:dyDescent="0.25">
      <c r="A272" s="148"/>
      <c r="B272" s="5"/>
      <c r="C272" s="5"/>
      <c r="D272" s="5"/>
      <c r="E272" s="5"/>
      <c r="F272" s="5"/>
      <c r="G272" s="5"/>
      <c r="H272" s="5"/>
      <c r="I272" s="5"/>
      <c r="J272" s="5"/>
      <c r="K272" s="5"/>
      <c r="L272" s="5"/>
      <c r="M272" s="5"/>
      <c r="N272" s="155"/>
    </row>
    <row r="273" spans="1:14" x14ac:dyDescent="0.25">
      <c r="A273" s="148"/>
      <c r="B273" s="5"/>
      <c r="C273" s="5"/>
      <c r="D273" s="5"/>
      <c r="E273" s="5"/>
      <c r="F273" s="5"/>
      <c r="G273" s="5"/>
      <c r="H273" s="5"/>
      <c r="I273" s="5"/>
      <c r="J273" s="5"/>
      <c r="K273" s="5"/>
      <c r="L273" s="5"/>
      <c r="M273" s="5"/>
      <c r="N273" s="155"/>
    </row>
    <row r="274" spans="1:14" x14ac:dyDescent="0.25">
      <c r="A274" s="148"/>
      <c r="B274" s="5"/>
      <c r="C274" s="5"/>
      <c r="D274" s="5"/>
      <c r="E274" s="5"/>
      <c r="F274" s="5"/>
      <c r="G274" s="5"/>
      <c r="H274" s="5"/>
      <c r="I274" s="5"/>
      <c r="J274" s="5"/>
      <c r="K274" s="5"/>
      <c r="L274" s="5"/>
      <c r="M274" s="5"/>
      <c r="N274" s="155"/>
    </row>
    <row r="275" spans="1:14" x14ac:dyDescent="0.25">
      <c r="A275" s="148"/>
      <c r="B275" s="5"/>
      <c r="C275" s="5"/>
      <c r="D275" s="5"/>
      <c r="E275" s="5"/>
      <c r="F275" s="5"/>
      <c r="G275" s="5"/>
      <c r="H275" s="5"/>
      <c r="I275" s="5"/>
      <c r="J275" s="5"/>
      <c r="K275" s="5"/>
      <c r="L275" s="5"/>
      <c r="M275" s="5"/>
      <c r="N275" s="155"/>
    </row>
    <row r="276" spans="1:14" x14ac:dyDescent="0.25">
      <c r="A276" s="148"/>
      <c r="B276" s="5"/>
      <c r="C276" s="5"/>
      <c r="D276" s="5"/>
      <c r="E276" s="5"/>
      <c r="F276" s="5"/>
      <c r="G276" s="5"/>
      <c r="H276" s="5"/>
      <c r="I276" s="5"/>
      <c r="J276" s="5"/>
      <c r="K276" s="5"/>
      <c r="L276" s="5"/>
      <c r="M276" s="5"/>
      <c r="N276" s="155"/>
    </row>
    <row r="277" spans="1:14" x14ac:dyDescent="0.25">
      <c r="A277" s="148"/>
      <c r="B277" s="5"/>
      <c r="C277" s="5"/>
      <c r="D277" s="5"/>
      <c r="E277" s="5"/>
      <c r="F277" s="5"/>
      <c r="G277" s="5"/>
      <c r="H277" s="5"/>
      <c r="I277" s="5"/>
      <c r="J277" s="5"/>
      <c r="K277" s="5"/>
      <c r="L277" s="5"/>
      <c r="M277" s="5"/>
      <c r="N277" s="155"/>
    </row>
    <row r="278" spans="1:14" x14ac:dyDescent="0.25">
      <c r="A278" s="148"/>
      <c r="B278" s="5"/>
      <c r="C278" s="5"/>
      <c r="D278" s="5"/>
      <c r="E278" s="5"/>
      <c r="F278" s="5"/>
      <c r="G278" s="5"/>
      <c r="H278" s="5"/>
      <c r="I278" s="5"/>
      <c r="J278" s="5"/>
      <c r="K278" s="5"/>
      <c r="L278" s="5"/>
      <c r="M278" s="5"/>
      <c r="N278" s="155"/>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7" sqref="A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82" customFormat="1" ht="30" x14ac:dyDescent="0.25">
      <c r="A1" s="210" t="s">
        <v>1354</v>
      </c>
      <c r="B1" s="210" t="s">
        <v>1385</v>
      </c>
      <c r="C1" s="210" t="s">
        <v>1345</v>
      </c>
      <c r="D1" s="210" t="s">
        <v>1299</v>
      </c>
      <c r="E1" s="210" t="s">
        <v>1384</v>
      </c>
      <c r="F1" s="210" t="s">
        <v>1386</v>
      </c>
      <c r="G1" s="210" t="s">
        <v>1358</v>
      </c>
      <c r="H1" s="210" t="s">
        <v>1388</v>
      </c>
      <c r="I1" s="210" t="s">
        <v>1389</v>
      </c>
      <c r="J1" s="210" t="s">
        <v>1383</v>
      </c>
      <c r="K1" s="210" t="s">
        <v>1403</v>
      </c>
      <c r="L1" s="210" t="s">
        <v>1390</v>
      </c>
    </row>
    <row r="2" spans="1:15" x14ac:dyDescent="0.25">
      <c r="A2" s="6" t="s">
        <v>1364</v>
      </c>
      <c r="B2" s="6" t="s">
        <v>1339</v>
      </c>
      <c r="C2" s="6" t="s">
        <v>1346</v>
      </c>
      <c r="D2" s="6" t="s">
        <v>1344</v>
      </c>
      <c r="E2" s="6" t="s">
        <v>1337</v>
      </c>
      <c r="F2" s="6">
        <f>MATCH(SpecimenColumnFinder[[#This Row],[DataType]],DataColumns[#Headers],0)</f>
        <v>8</v>
      </c>
      <c r="G2" s="6" t="e">
        <f>MATCH(SpecimenColumnFinder[[#This Row],[DataType]],DataColumns[ColumnType],0)</f>
        <v>#N/A</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11" t="str">
        <f>IF(SpecimenColumnFinder[[#This Row],[Num Given]]&lt;SpecimenColumnFinder[[#This Row],[Num Required]],
"MISSING",
"OK")</f>
        <v>OK</v>
      </c>
      <c r="K2"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11" t="e">
        <f>INDIRECT(SpecimenColumnFinder[[#This Row],[First Value Address]],FALSE)</f>
        <v>#N/A</v>
      </c>
    </row>
    <row r="3" spans="1:15" x14ac:dyDescent="0.25">
      <c r="A3" s="6" t="s">
        <v>1423</v>
      </c>
      <c r="B3" s="6" t="s">
        <v>1179</v>
      </c>
      <c r="D3" s="6" t="s">
        <v>1299</v>
      </c>
      <c r="E3" s="6" t="s">
        <v>1337</v>
      </c>
      <c r="F3" s="211">
        <f>MATCH(SpecimenColumnFinder[[#This Row],[DataType]],DataColumns[#Headers],0)</f>
        <v>9</v>
      </c>
      <c r="G3" s="211" t="e">
        <f>MATCH(SpecimenColumnFinder[[#This Row],[DataType]],DataColumns[ColumnType],0)</f>
        <v>#N/A</v>
      </c>
      <c r="H3" s="211">
        <f>IF(SpecimenColumnFinder[[#This Row],[REQUIRED]]="Optional",0,
IF(SpecimenColumnFinder[[#This Row],[VBV or Column]]="Value-By-Value",NumSpecimens,
1))</f>
        <v>1</v>
      </c>
      <c r="I3" s="211">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11" t="str">
        <f>IF(SpecimenColumnFinder[[#This Row],[Num Given]]&lt;SpecimenColumnFinder[[#This Row],[Num Required]],
"MISSING",
"OK")</f>
        <v>MISSING</v>
      </c>
      <c r="K3"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11" t="e">
        <f>INDIRECT(SpecimenColumnFinder[[#This Row],[First Value Address]],FALSE)</f>
        <v>#N/A</v>
      </c>
    </row>
    <row r="4" spans="1:15" x14ac:dyDescent="0.25">
      <c r="A4" s="6" t="s">
        <v>1332</v>
      </c>
      <c r="B4" s="6" t="s">
        <v>1387</v>
      </c>
      <c r="D4" s="6" t="s">
        <v>1299</v>
      </c>
      <c r="E4" s="6" t="s">
        <v>1338</v>
      </c>
      <c r="F4" s="6" t="e">
        <f>MATCH(SpecimenColumnFinder[[#This Row],[DataType]],DataColumns[#Headers],0)</f>
        <v>#N/A</v>
      </c>
      <c r="G4" s="6" t="e">
        <f>MATCH(SpecimenColumnFinder[[#This Row],[DataType]],DataColumns[ColumnType],0)</f>
        <v>#N/A</v>
      </c>
      <c r="H4" s="6">
        <f>IF(SpecimenColumnFinder[[#This Row],[REQUIRED]]="Optional",0,
IF(SpecimenColumnFinder[[#This Row],[VBV or Column]]="Value-By-Value",NumSpecimens,
1))</f>
        <v>1</v>
      </c>
      <c r="I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11" t="str">
        <f>IF(SpecimenColumnFinder[[#This Row],[Num Given]]&lt;SpecimenColumnFinder[[#This Row],[Num Required]],
"MISSING",
"OK")</f>
        <v>MISSING</v>
      </c>
      <c r="K4" s="21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11" t="e">
        <f>INDIRECT(SpecimenColumnFinder[[#This Row],[First Value Address]],FALSE)</f>
        <v>#REF!</v>
      </c>
    </row>
    <row r="5" spans="1:15" x14ac:dyDescent="0.25">
      <c r="A5" s="6" t="s">
        <v>1333</v>
      </c>
      <c r="B5" s="6" t="s">
        <v>1387</v>
      </c>
      <c r="D5" s="6" t="s">
        <v>1299</v>
      </c>
      <c r="E5" s="6" t="s">
        <v>1337</v>
      </c>
      <c r="F5" s="6">
        <f>MATCH(SpecimenColumnFinder[[#This Row],[DataType]],DataColumns[#Headers],0)</f>
        <v>7</v>
      </c>
      <c r="G5" s="6" t="e">
        <f>MATCH(SpecimenColumnFinder[[#This Row],[DataType]],DataColumns[ColumnType],0)</f>
        <v>#N/A</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11" t="str">
        <f>IF(SpecimenColumnFinder[[#This Row],[Num Given]]&lt;SpecimenColumnFinder[[#This Row],[Num Required]],
"MISSING",
"OK")</f>
        <v>MISSING</v>
      </c>
      <c r="K5"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11" t="e">
        <f>INDIRECT(SpecimenColumnFinder[[#This Row],[First Value Address]],FALSE)</f>
        <v>#N/A</v>
      </c>
    </row>
    <row r="6" spans="1:15" x14ac:dyDescent="0.25">
      <c r="A6" s="6" t="s">
        <v>1379</v>
      </c>
      <c r="B6" s="6" t="s">
        <v>1381</v>
      </c>
      <c r="C6" s="6" t="s">
        <v>1348</v>
      </c>
      <c r="D6" s="6" t="s">
        <v>1344</v>
      </c>
      <c r="E6" s="6" t="s">
        <v>1337</v>
      </c>
      <c r="F6" s="6">
        <f>MATCH(SpecimenColumnFinder[[#This Row],[DataType]],DataColumns[#Headers],0)</f>
        <v>5</v>
      </c>
      <c r="G6" s="6" t="e">
        <f>MATCH(SpecimenColumnFinder[[#This Row],[DataType]],DataColumns[ColumnType],0)</f>
        <v>#N/A</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11" t="str">
        <f>IF(SpecimenColumnFinder[[#This Row],[Num Given]]&lt;SpecimenColumnFinder[[#This Row],[Num Required]],
"MISSING",
"OK")</f>
        <v>OK</v>
      </c>
      <c r="K6"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11" t="e">
        <f>INDIRECT(SpecimenColumnFinder[[#This Row],[First Value Address]],FALSE)</f>
        <v>#N/A</v>
      </c>
    </row>
    <row r="7" spans="1:15" x14ac:dyDescent="0.25">
      <c r="A7" s="6" t="s">
        <v>1380</v>
      </c>
      <c r="B7" s="6" t="s">
        <v>1381</v>
      </c>
      <c r="C7" s="6" t="s">
        <v>1382</v>
      </c>
      <c r="D7" s="6" t="s">
        <v>1344</v>
      </c>
      <c r="E7" s="6" t="s">
        <v>1337</v>
      </c>
      <c r="F7" s="6">
        <f>MATCH(SpecimenColumnFinder[[#This Row],[DataType]],DataColumns[#Headers],0)</f>
        <v>13</v>
      </c>
      <c r="G7" s="211" t="e">
        <f>MATCH(SpecimenColumnFinder[[#This Row],[DataType]],DataColumns[ColumnType],0)</f>
        <v>#N/A</v>
      </c>
      <c r="H7" s="211">
        <f>IF(SpecimenColumnFinder[[#This Row],[REQUIRED]]="Optional",0,
IF(SpecimenColumnFinder[[#This Row],[VBV or Column]]="Value-By-Value",NumSpecimens,
1))</f>
        <v>0</v>
      </c>
      <c r="I7" s="211">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11" t="str">
        <f>IF(SpecimenColumnFinder[[#This Row],[Num Given]]&lt;SpecimenColumnFinder[[#This Row],[Num Required]],
"MISSING",
"OK")</f>
        <v>OK</v>
      </c>
      <c r="K7"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11" t="e">
        <f>INDIRECT(SpecimenColumnFinder[[#This Row],[First Value Address]],FALSE)</f>
        <v>#N/A</v>
      </c>
      <c r="O7" s="212"/>
    </row>
    <row r="8" spans="1:15" x14ac:dyDescent="0.25">
      <c r="A8" s="6" t="s">
        <v>198</v>
      </c>
      <c r="B8" s="6" t="s">
        <v>1381</v>
      </c>
      <c r="C8" s="6" t="s">
        <v>198</v>
      </c>
      <c r="D8" s="6" t="s">
        <v>1344</v>
      </c>
      <c r="E8" s="6" t="s">
        <v>1337</v>
      </c>
      <c r="F8" s="211">
        <f>MATCH(SpecimenColumnFinder[[#This Row],[DataType]],DataColumns[#Headers],0)</f>
        <v>6</v>
      </c>
      <c r="G8" s="211" t="e">
        <f>MATCH(SpecimenColumnFinder[[#This Row],[DataType]],DataColumns[ColumnType],0)</f>
        <v>#N/A</v>
      </c>
      <c r="H8" s="211">
        <f>IF(SpecimenColumnFinder[[#This Row],[REQUIRED]]="Optional",0,
IF(SpecimenColumnFinder[[#This Row],[VBV or Column]]="Value-By-Value",NumSpecimens,
1))</f>
        <v>0</v>
      </c>
      <c r="I8" s="211">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11" t="str">
        <f>IF(SpecimenColumnFinder[[#This Row],[Num Given]]&lt;SpecimenColumnFinder[[#This Row],[Num Required]],
"MISSING",
"OK")</f>
        <v>OK</v>
      </c>
      <c r="K8"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11" t="e">
        <f>INDIRECT(SpecimenColumnFinder[[#This Row],[First Value Address]],FALSE)</f>
        <v>#N/A</v>
      </c>
    </row>
    <row r="9" spans="1:15" x14ac:dyDescent="0.25">
      <c r="A9" s="6" t="s">
        <v>1433</v>
      </c>
      <c r="B9" s="6" t="s">
        <v>1342</v>
      </c>
      <c r="D9" s="6" t="s">
        <v>1299</v>
      </c>
      <c r="E9" s="6" t="s">
        <v>1338</v>
      </c>
      <c r="F9" s="6" t="e">
        <f>MATCH(SpecimenColumnFinder[[#This Row],[DataType]],DataColumns[#Headers],0)</f>
        <v>#N/A</v>
      </c>
      <c r="G9" s="6" t="e">
        <f>MATCH(SpecimenColumnFinder[[#This Row],[DataType]],DataColumns[ColumnType],0)</f>
        <v>#N/A</v>
      </c>
      <c r="H9" s="6">
        <f>IF(SpecimenColumnFinder[[#This Row],[REQUIRED]]="Optional",0,
IF(SpecimenColumnFinder[[#This Row],[VBV or Column]]="Value-By-Value",NumSpecimens,
1))</f>
        <v>1</v>
      </c>
      <c r="I9" s="6">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11" t="str">
        <f>IF(SpecimenColumnFinder[[#This Row],[Num Given]]&lt;SpecimenColumnFinder[[#This Row],[Num Required]],
"MISSING",
"OK")</f>
        <v>MISSING</v>
      </c>
      <c r="K9" s="21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11" t="e">
        <f>INDIRECT(SpecimenColumnFinder[[#This Row],[First Value Address]],FALSE)</f>
        <v>#REF!</v>
      </c>
    </row>
    <row r="10" spans="1:15" x14ac:dyDescent="0.25">
      <c r="A10" s="6" t="s">
        <v>1331</v>
      </c>
      <c r="B10" s="6" t="s">
        <v>1342</v>
      </c>
      <c r="D10" s="6" t="s">
        <v>1344</v>
      </c>
      <c r="E10" s="6" t="s">
        <v>1338</v>
      </c>
      <c r="F10" s="211" t="e">
        <f>MATCH(SpecimenColumnFinder[[#This Row],[DataType]],DataColumns[#Headers],0)</f>
        <v>#N/A</v>
      </c>
      <c r="G10" s="211" t="e">
        <f>MATCH(SpecimenColumnFinder[[#This Row],[DataType]],DataColumns[ColumnType],0)</f>
        <v>#N/A</v>
      </c>
      <c r="H10" s="211">
        <f>IF(SpecimenColumnFinder[[#This Row],[REQUIRED]]="Optional",0,
IF(SpecimenColumnFinder[[#This Row],[VBV or Column]]="Value-By-Value",NumSpecimens,
1))</f>
        <v>0</v>
      </c>
      <c r="I10" s="21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11" t="str">
        <f>IF(SpecimenColumnFinder[[#This Row],[Num Given]]&lt;SpecimenColumnFinder[[#This Row],[Num Required]],
"MISSING",
"OK")</f>
        <v>OK</v>
      </c>
      <c r="K10" s="21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11" t="e">
        <f>INDIRECT(SpecimenColumnFinder[[#This Row],[First Value Address]],FALSE)</f>
        <v>#REF!</v>
      </c>
    </row>
    <row r="11" spans="1:15" x14ac:dyDescent="0.25">
      <c r="A11" s="6" t="s">
        <v>1330</v>
      </c>
      <c r="B11" s="6" t="s">
        <v>1342</v>
      </c>
      <c r="D11" s="6" t="s">
        <v>1344</v>
      </c>
      <c r="E11" s="6" t="s">
        <v>1338</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11" t="str">
        <f>IF(SpecimenColumnFinder[[#This Row],[Num Given]]&lt;SpecimenColumnFinder[[#This Row],[Num Required]],
"MISSING",
"OK")</f>
        <v>OK</v>
      </c>
      <c r="K11" s="21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11" t="e">
        <f>INDIRECT(SpecimenColumnFinder[[#This Row],[First Value Address]],FALSE)</f>
        <v>#REF!</v>
      </c>
    </row>
    <row r="12" spans="1:15" x14ac:dyDescent="0.25">
      <c r="A12" s="6" t="s">
        <v>1305</v>
      </c>
      <c r="B12" s="6" t="s">
        <v>1342</v>
      </c>
      <c r="C12" s="6" t="s">
        <v>196</v>
      </c>
      <c r="D12" s="6" t="s">
        <v>1344</v>
      </c>
      <c r="E12" s="6" t="s">
        <v>1338</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11" t="str">
        <f>IF(SpecimenColumnFinder[[#This Row],[Num Given]]&lt;SpecimenColumnFinder[[#This Row],[Num Required]],
"MISSING",
"OK")</f>
        <v>OK</v>
      </c>
      <c r="K12" s="21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11" t="e">
        <f>INDIRECT(SpecimenColumnFinder[[#This Row],[First Value Address]],FALSE)</f>
        <v>#REF!</v>
      </c>
    </row>
    <row r="13" spans="1:15" x14ac:dyDescent="0.25">
      <c r="A13" s="6" t="s">
        <v>1304</v>
      </c>
      <c r="B13" s="6" t="s">
        <v>1453</v>
      </c>
      <c r="D13" s="6" t="s">
        <v>1344</v>
      </c>
      <c r="E13" s="6" t="s">
        <v>1338</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11" t="str">
        <f>IF(SpecimenColumnFinder[[#This Row],[Num Given]]&lt;SpecimenColumnFinder[[#This Row],[Num Required]],
"MISSING",
"OK")</f>
        <v>OK</v>
      </c>
      <c r="K13" s="21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11" t="e">
        <f>INDIRECT(SpecimenColumnFinder[[#This Row],[First Value Address]],FALSE)</f>
        <v>#REF!</v>
      </c>
    </row>
    <row r="14" spans="1:15" x14ac:dyDescent="0.25">
      <c r="A14" s="6" t="s">
        <v>1359</v>
      </c>
      <c r="B14" s="6" t="s">
        <v>226</v>
      </c>
      <c r="C14" s="6" t="s">
        <v>188</v>
      </c>
      <c r="D14" s="6" t="s">
        <v>1299</v>
      </c>
      <c r="E14" s="6" t="s">
        <v>1337</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11" t="str">
        <f>IF(SpecimenColumnFinder[[#This Row],[Num Given]]&lt;SpecimenColumnFinder[[#This Row],[Num Required]],
"MISSING",
"OK")</f>
        <v>MISSING</v>
      </c>
      <c r="K14"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11" t="e">
        <f>INDIRECT(SpecimenColumnFinder[[#This Row],[First Value Address]],FALSE)</f>
        <v>#N/A</v>
      </c>
    </row>
    <row r="15" spans="1:15" x14ac:dyDescent="0.25">
      <c r="A15" s="6" t="s">
        <v>1301</v>
      </c>
      <c r="B15" s="6" t="s">
        <v>226</v>
      </c>
      <c r="C15" s="6" t="s">
        <v>201</v>
      </c>
      <c r="D15" s="6" t="s">
        <v>1299</v>
      </c>
      <c r="E15" s="6" t="s">
        <v>1337</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11" t="str">
        <f>IF(SpecimenColumnFinder[[#This Row],[Num Given]]&lt;SpecimenColumnFinder[[#This Row],[Num Required]],
"MISSING",
"OK")</f>
        <v>MISSING</v>
      </c>
      <c r="K15"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11" t="e">
        <f>INDIRECT(SpecimenColumnFinder[[#This Row],[First Value Address]],FALSE)</f>
        <v>#N/A</v>
      </c>
    </row>
    <row r="16" spans="1:15" x14ac:dyDescent="0.25">
      <c r="A16" s="6" t="s">
        <v>196</v>
      </c>
      <c r="B16" s="6" t="s">
        <v>226</v>
      </c>
      <c r="D16" s="6" t="s">
        <v>1299</v>
      </c>
      <c r="E16" s="6" t="s">
        <v>1337</v>
      </c>
      <c r="F16" s="6">
        <f>MATCH(SpecimenColumnFinder[[#This Row],[DataType]],DataColumns[#Headers],0)</f>
        <v>11</v>
      </c>
      <c r="G16" s="6" t="e">
        <f>MATCH(SpecimenColumnFinder[[#This Row],[DataType]],DataColumns[ColumnType],0)</f>
        <v>#N/A</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11" t="str">
        <f>IF(SpecimenColumnFinder[[#This Row],[Num Given]]&lt;SpecimenColumnFinder[[#This Row],[Num Required]],
"MISSING",
"OK")</f>
        <v>MISSING</v>
      </c>
      <c r="K16" s="21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11"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13" t="s">
        <v>1354</v>
      </c>
      <c r="B1" s="213" t="s">
        <v>1385</v>
      </c>
      <c r="C1" s="213" t="s">
        <v>1345</v>
      </c>
      <c r="D1" s="213" t="s">
        <v>1299</v>
      </c>
      <c r="E1" s="213" t="s">
        <v>1384</v>
      </c>
      <c r="F1" s="213" t="s">
        <v>1400</v>
      </c>
      <c r="G1" s="213" t="s">
        <v>1399</v>
      </c>
      <c r="H1" s="213" t="s">
        <v>1401</v>
      </c>
      <c r="I1" s="213" t="s">
        <v>1405</v>
      </c>
      <c r="J1" s="213" t="s">
        <v>1386</v>
      </c>
      <c r="K1" s="213" t="s">
        <v>1402</v>
      </c>
      <c r="L1" s="213" t="s">
        <v>1358</v>
      </c>
      <c r="M1" s="213" t="s">
        <v>1388</v>
      </c>
      <c r="N1" s="213" t="s">
        <v>1389</v>
      </c>
      <c r="O1" s="213" t="s">
        <v>1383</v>
      </c>
      <c r="P1" s="213" t="s">
        <v>1403</v>
      </c>
      <c r="Q1" s="213" t="s">
        <v>1390</v>
      </c>
    </row>
    <row r="2" spans="1:17" x14ac:dyDescent="0.25">
      <c r="A2" s="6" t="s">
        <v>1365</v>
      </c>
      <c r="B2" s="6" t="s">
        <v>1339</v>
      </c>
      <c r="C2" s="6" t="s">
        <v>1346</v>
      </c>
      <c r="D2" s="6" t="s">
        <v>1344</v>
      </c>
      <c r="E2" s="6" t="s">
        <v>1337</v>
      </c>
      <c r="F2" s="6">
        <v>1</v>
      </c>
      <c r="G2" s="6" t="e">
        <f>INDEX(DataColumns[ColumnLabel],MATCH(ResultColumnFinder[[#This Row],[DV Num]],DataColumns[DVNum],0))</f>
        <v>#N/A</v>
      </c>
      <c r="H2" s="6" t="e">
        <f>CONCATENATE(ResultColumnFinder[[#This Row],[DataType]],ResultColumnFinder[[#This Row],[Data Value Label]])</f>
        <v>#N/A</v>
      </c>
      <c r="I2" s="6" t="str">
        <f>CONCATENATE(ResultColumnFinder[[#This Row],[DataType]],ResultColumnFinder[[#This Row],[DV Num]])</f>
        <v>ResultAnalyst1</v>
      </c>
      <c r="J2" s="6">
        <f>MATCH(ResultColumnFinder[[#This Row],[DataType]],DataColumns[#Headers],0)</f>
        <v>18</v>
      </c>
      <c r="K2" s="6" t="e">
        <f>MATCH(CONCATENATE("ResultValue",ResultColumnFinder[[#This Row],[Data Value Label]]),DataColumns[Concat],0)</f>
        <v>#N/A</v>
      </c>
      <c r="L2" s="6" t="e">
        <f>MATCH(ResultColumnFinder[[#This Row],[Concat]],DataColumns[Concat],0)</f>
        <v>#N/A</v>
      </c>
      <c r="M2" s="6">
        <f>IF(ResultColumnFinder[[#This Row],[REQUIRED]]="Optional",0,
IF(ResultColumnFinder[[#This Row],[VBV or Column]]="Value-By-Value",NumSpecimens,
1))</f>
        <v>0</v>
      </c>
      <c r="N2" s="6" t="e">
        <f>IF(ISERROR(ResultColumnFinder[[#This Row],[Data Values Column Number]]),
IF(ISERROR(ResultColumnFinder[[#This Row],[Data Columns Input Column]]),
0,
IF(INDEX(DataColumns[],ResultColumnFinder[[#This Row],[Data Values Input Row]],ResultColumnFinder[[#This Row],[Data Columns Input Column]])="",
0,
1)),
1)</f>
        <v>#N/A</v>
      </c>
      <c r="O2" s="6" t="e">
        <f>IF(ResultColumnFinder[[#This Row],[Num Given]]&lt;ResultColumnFinder[[#This Row],[Num Required]],
"MISSING",
"OK")</f>
        <v>#N/A</v>
      </c>
      <c r="P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6" t="e">
        <f>INDIRECT(ResultColumnFinder[[#This Row],[First Value Address]],FALSE)</f>
        <v>#N/A</v>
      </c>
    </row>
    <row r="3" spans="1:17" x14ac:dyDescent="0.25">
      <c r="A3" s="6" t="s">
        <v>1424</v>
      </c>
      <c r="B3" s="6" t="s">
        <v>1179</v>
      </c>
      <c r="C3" s="6" t="s">
        <v>1350</v>
      </c>
      <c r="D3" s="6" t="s">
        <v>1299</v>
      </c>
      <c r="E3" s="6" t="s">
        <v>1337</v>
      </c>
      <c r="F3" s="6">
        <v>1</v>
      </c>
      <c r="G3" s="6" t="e">
        <f>INDEX(DataColumns[ColumnLabel],MATCH(ResultColumnFinder[[#This Row],[DV Num]],DataColumns[DVNum],0))</f>
        <v>#N/A</v>
      </c>
      <c r="H3" s="6" t="e">
        <f>CONCATENATE(ResultColumnFinder[[#This Row],[DataType]],ResultColumnFinder[[#This Row],[Data Value Label]])</f>
        <v>#N/A</v>
      </c>
      <c r="I3" s="6" t="str">
        <f>CONCATENATE(ResultColumnFinder[[#This Row],[DataType]],ResultColumnFinder[[#This Row],[DV Num]])</f>
        <v>AnalysisMethodCode1</v>
      </c>
      <c r="J3" s="6">
        <f>MATCH(ResultColumnFinder[[#This Row],[DataType]],DataColumns[#Headers],0)</f>
        <v>20</v>
      </c>
      <c r="K3" s="6" t="e">
        <f>MATCH(CONCATENATE("ResultValue",ResultColumnFinder[[#This Row],[Data Value Label]]),DataColumns[Concat],0)</f>
        <v>#N/A</v>
      </c>
      <c r="L3" s="6" t="e">
        <f>MATCH(ResultColumnFinder[[#This Row],[Concat]],DataColumns[Concat],0)</f>
        <v>#N/A</v>
      </c>
      <c r="M3" s="6">
        <f>IF(ResultColumnFinder[[#This Row],[REQUIRED]]="Optional",0,
IF(ResultColumnFinder[[#This Row],[VBV or Column]]="Value-By-Value",NumSpecimens,
1))</f>
        <v>1</v>
      </c>
      <c r="N3" s="6" t="e">
        <f>IF(ISERROR(ResultColumnFinder[[#This Row],[Data Values Column Number]]),
IF(ISERROR(ResultColumnFinder[[#This Row],[Data Columns Input Column]]),
0,
IF(INDEX(DataColumns[],ResultColumnFinder[[#This Row],[Data Values Input Row]],ResultColumnFinder[[#This Row],[Data Columns Input Column]])="",
0,
1)),
1)</f>
        <v>#N/A</v>
      </c>
      <c r="O3" s="6" t="e">
        <f>IF(ResultColumnFinder[[#This Row],[Num Given]]&lt;ResultColumnFinder[[#This Row],[Num Required]],
"MISSING",
"OK")</f>
        <v>#N/A</v>
      </c>
      <c r="P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6" t="e">
        <f>INDIRECT(ResultColumnFinder[[#This Row],[First Value Address]],FALSE)</f>
        <v>#N/A</v>
      </c>
    </row>
    <row r="4" spans="1:17" x14ac:dyDescent="0.25">
      <c r="A4" s="6" t="s">
        <v>1154</v>
      </c>
      <c r="B4" s="6" t="s">
        <v>1340</v>
      </c>
      <c r="C4" s="6" t="s">
        <v>1154</v>
      </c>
      <c r="D4" s="6" t="s">
        <v>1299</v>
      </c>
      <c r="E4" s="6" t="s">
        <v>1337</v>
      </c>
      <c r="F4" s="6">
        <v>1</v>
      </c>
      <c r="G4" s="6" t="e">
        <f>INDEX(DataColumns[ColumnLabel],MATCH(ResultColumnFinder[[#This Row],[DV Num]],DataColumns[DVNum],0))</f>
        <v>#N/A</v>
      </c>
      <c r="H4" s="6" t="e">
        <f>CONCATENATE(ResultColumnFinder[[#This Row],[DataType]],ResultColumnFinder[[#This Row],[Data Value Label]])</f>
        <v>#N/A</v>
      </c>
      <c r="I4" s="6" t="str">
        <f>CONCATENATE(ResultColumnFinder[[#This Row],[DataType]],ResultColumnFinder[[#This Row],[DV Num]])</f>
        <v>AggregationStatisticCV1</v>
      </c>
      <c r="J4" s="6">
        <f>MATCH(ResultColumnFinder[[#This Row],[DataType]],DataColumns[#Headers],0)</f>
        <v>27</v>
      </c>
      <c r="K4" s="6" t="e">
        <f>MATCH(CONCATENATE("ResultValue",ResultColumnFinder[[#This Row],[Data Value Label]]),DataColumns[Concat],0)</f>
        <v>#N/A</v>
      </c>
      <c r="L4" s="6" t="e">
        <f>MATCH(ResultColumnFinder[[#This Row],[Concat]],DataColumns[Concat],0)</f>
        <v>#N/A</v>
      </c>
      <c r="M4" s="6">
        <f>IF(ResultColumnFinder[[#This Row],[REQUIRED]]="Optional",0,
IF(ResultColumnFinder[[#This Row],[VBV or Column]]="Value-By-Value",NumSpecimens,
1))</f>
        <v>1</v>
      </c>
      <c r="N4" s="6" t="e">
        <f>IF(ISERROR(ResultColumnFinder[[#This Row],[Data Values Column Number]]),
IF(ISERROR(ResultColumnFinder[[#This Row],[Data Columns Input Column]]),
0,
IF(INDEX(DataColumns[],ResultColumnFinder[[#This Row],[Data Values Input Row]],ResultColumnFinder[[#This Row],[Data Columns Input Column]])="",
0,
1)),
1)</f>
        <v>#N/A</v>
      </c>
      <c r="O4" s="6" t="e">
        <f>IF(ResultColumnFinder[[#This Row],[Num Given]]&lt;ResultColumnFinder[[#This Row],[Num Required]],
"MISSING",
"OK")</f>
        <v>#N/A</v>
      </c>
      <c r="P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6" t="e">
        <f>INDIRECT(ResultColumnFinder[[#This Row],[First Value Address]],FALSE)</f>
        <v>#N/A</v>
      </c>
    </row>
    <row r="5" spans="1:17" x14ac:dyDescent="0.25">
      <c r="A5" s="6" t="s">
        <v>1143</v>
      </c>
      <c r="B5" s="6" t="s">
        <v>1340</v>
      </c>
      <c r="C5" s="6" t="s">
        <v>1143</v>
      </c>
      <c r="D5" s="6" t="s">
        <v>1299</v>
      </c>
      <c r="E5" s="6" t="s">
        <v>1337</v>
      </c>
      <c r="F5" s="6">
        <v>1</v>
      </c>
      <c r="G5" s="6" t="e">
        <f>INDEX(DataColumns[ColumnLabel],MATCH(ResultColumnFinder[[#This Row],[DV Num]],DataColumns[DVNum],0))</f>
        <v>#N/A</v>
      </c>
      <c r="H5" s="6" t="e">
        <f>CONCATENATE(ResultColumnFinder[[#This Row],[DataType]],ResultColumnFinder[[#This Row],[Data Value Label]])</f>
        <v>#N/A</v>
      </c>
      <c r="I5" s="6" t="str">
        <f>CONCATENATE(ResultColumnFinder[[#This Row],[DataType]],ResultColumnFinder[[#This Row],[DV Num]])</f>
        <v>CensorCodeCV1</v>
      </c>
      <c r="J5" s="6">
        <f>MATCH(ResultColumnFinder[[#This Row],[DataType]],DataColumns[#Headers],0)</f>
        <v>22</v>
      </c>
      <c r="K5" s="6" t="e">
        <f>MATCH(CONCATENATE("ResultValue",ResultColumnFinder[[#This Row],[Data Value Label]]),DataColumns[Concat],0)</f>
        <v>#N/A</v>
      </c>
      <c r="L5" s="6" t="e">
        <f>MATCH(ResultColumnFinder[[#This Row],[Concat]],DataColumns[Concat],0)</f>
        <v>#N/A</v>
      </c>
      <c r="M5" s="6">
        <f>IF(ResultColumnFinder[[#This Row],[REQUIRED]]="Optional",0,
IF(ResultColumnFinder[[#This Row],[VBV or Column]]="Value-By-Value",NumSpecimens,
1))</f>
        <v>1</v>
      </c>
      <c r="N5" s="6" t="e">
        <f>IF(ISERROR(ResultColumnFinder[[#This Row],[Data Values Column Number]]),
IF(ISERROR(ResultColumnFinder[[#This Row],[Data Columns Input Column]]),
0,
IF(INDEX(DataColumns[],ResultColumnFinder[[#This Row],[Data Values Input Row]],ResultColumnFinder[[#This Row],[Data Columns Input Column]])="",
0,
1)),
1)</f>
        <v>#N/A</v>
      </c>
      <c r="O5" s="6" t="e">
        <f>IF(ResultColumnFinder[[#This Row],[Num Given]]&lt;ResultColumnFinder[[#This Row],[Num Required]],
"MISSING",
"OK")</f>
        <v>#N/A</v>
      </c>
      <c r="P5"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6" t="e">
        <f>INDIRECT(ResultColumnFinder[[#This Row],[First Value Address]],FALSE)</f>
        <v>#N/A</v>
      </c>
    </row>
    <row r="6" spans="1:17" x14ac:dyDescent="0.25">
      <c r="A6" s="6" t="s">
        <v>1144</v>
      </c>
      <c r="B6" s="6" t="s">
        <v>1340</v>
      </c>
      <c r="C6" s="6" t="s">
        <v>1144</v>
      </c>
      <c r="D6" s="6" t="s">
        <v>1299</v>
      </c>
      <c r="E6" s="6" t="s">
        <v>1337</v>
      </c>
      <c r="F6" s="6">
        <v>1</v>
      </c>
      <c r="G6" s="6" t="e">
        <f>INDEX(DataColumns[ColumnLabel],MATCH(ResultColumnFinder[[#This Row],[DV Num]],DataColumns[DVNum],0))</f>
        <v>#N/A</v>
      </c>
      <c r="H6" s="6" t="e">
        <f>CONCATENATE(ResultColumnFinder[[#This Row],[DataType]],ResultColumnFinder[[#This Row],[Data Value Label]])</f>
        <v>#N/A</v>
      </c>
      <c r="I6" s="6" t="str">
        <f>CONCATENATE(ResultColumnFinder[[#This Row],[DataType]],ResultColumnFinder[[#This Row],[DV Num]])</f>
        <v>QualityCodeCV1</v>
      </c>
      <c r="J6" s="6">
        <f>MATCH(ResultColumnFinder[[#This Row],[DataType]],DataColumns[#Headers],0)</f>
        <v>23</v>
      </c>
      <c r="K6" s="6" t="e">
        <f>MATCH(CONCATENATE("ResultValue",ResultColumnFinder[[#This Row],[Data Value Label]]),DataColumns[Concat],0)</f>
        <v>#N/A</v>
      </c>
      <c r="L6" s="6" t="e">
        <f>MATCH(ResultColumnFinder[[#This Row],[Concat]],DataColumns[Concat],0)</f>
        <v>#N/A</v>
      </c>
      <c r="M6" s="6">
        <f>IF(ResultColumnFinder[[#This Row],[REQUIRED]]="Optional",0,
IF(ResultColumnFinder[[#This Row],[VBV or Column]]="Value-By-Value",NumSpecimens,
1))</f>
        <v>1</v>
      </c>
      <c r="N6" s="6" t="e">
        <f>IF(ISERROR(ResultColumnFinder[[#This Row],[Data Values Column Number]]),
IF(ISERROR(ResultColumnFinder[[#This Row],[Data Columns Input Column]]),
0,
IF(INDEX(DataColumns[],ResultColumnFinder[[#This Row],[Data Values Input Row]],ResultColumnFinder[[#This Row],[Data Columns Input Column]])="",
0,
1)),
1)</f>
        <v>#N/A</v>
      </c>
      <c r="O6" s="6" t="e">
        <f>IF(ResultColumnFinder[[#This Row],[Num Given]]&lt;ResultColumnFinder[[#This Row],[Num Required]],
"MISSING",
"OK")</f>
        <v>#N/A</v>
      </c>
      <c r="P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6" t="e">
        <f>INDIRECT(ResultColumnFinder[[#This Row],[First Value Address]],FALSE)</f>
        <v>#N/A</v>
      </c>
    </row>
    <row r="7" spans="1:17" x14ac:dyDescent="0.25">
      <c r="A7" s="6" t="s">
        <v>1279</v>
      </c>
      <c r="B7" s="6" t="s">
        <v>1340</v>
      </c>
      <c r="D7" s="6" t="s">
        <v>1299</v>
      </c>
      <c r="E7" s="6" t="s">
        <v>1337</v>
      </c>
      <c r="F7" s="6">
        <v>1</v>
      </c>
      <c r="G7" s="6" t="e">
        <f>INDEX(DataColumns[ColumnLabel],MATCH(ResultColumnFinder[[#This Row],[DV Num]],DataColumns[DVNum],0))</f>
        <v>#N/A</v>
      </c>
      <c r="H7" s="6" t="e">
        <f>CONCATENATE(ResultColumnFinder[[#This Row],[DataType]],ResultColumnFinder[[#This Row],[Data Value Label]])</f>
        <v>#N/A</v>
      </c>
      <c r="I7" s="6" t="str">
        <f>CONCATENATE(ResultColumnFinder[[#This Row],[DataType]],ResultColumnFinder[[#This Row],[DV Num]])</f>
        <v>TimeAggregationInterval1</v>
      </c>
      <c r="J7" s="6">
        <f>MATCH(ResultColumnFinder[[#This Row],[DataType]],DataColumns[#Headers],0)</f>
        <v>25</v>
      </c>
      <c r="K7" s="6" t="e">
        <f>MATCH(CONCATENATE("ResultValue",ResultColumnFinder[[#This Row],[Data Value Label]]),DataColumns[Concat],0)</f>
        <v>#N/A</v>
      </c>
      <c r="L7" s="6" t="e">
        <f>MATCH(ResultColumnFinder[[#This Row],[Concat]],DataColumns[Concat],0)</f>
        <v>#N/A</v>
      </c>
      <c r="M7" s="6">
        <f>IF(ResultColumnFinder[[#This Row],[REQUIRED]]="Optional",0,
IF(ResultColumnFinder[[#This Row],[VBV or Column]]="Value-By-Value",NumSpecimens,
1))</f>
        <v>1</v>
      </c>
      <c r="N7" s="6" t="e">
        <f>IF(ISERROR(ResultColumnFinder[[#This Row],[Data Values Column Number]]),
IF(ISERROR(ResultColumnFinder[[#This Row],[Data Columns Input Column]]),
0,
IF(INDEX(DataColumns[],ResultColumnFinder[[#This Row],[Data Values Input Row]],ResultColumnFinder[[#This Row],[Data Columns Input Column]])="",
0,
1)),
1)</f>
        <v>#N/A</v>
      </c>
      <c r="O7" s="6" t="e">
        <f>IF(ResultColumnFinder[[#This Row],[Num Given]]&lt;ResultColumnFinder[[#This Row],[Num Required]],
"MISSING",
"OK")</f>
        <v>#N/A</v>
      </c>
      <c r="P7"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6" t="e">
        <f>INDIRECT(ResultColumnFinder[[#This Row],[First Value Address]],FALSE)</f>
        <v>#N/A</v>
      </c>
    </row>
    <row r="8" spans="1:17" x14ac:dyDescent="0.25">
      <c r="A8" s="6" t="s">
        <v>1280</v>
      </c>
      <c r="B8" s="6" t="s">
        <v>1340</v>
      </c>
      <c r="D8" s="6" t="s">
        <v>1299</v>
      </c>
      <c r="E8" s="6" t="s">
        <v>1337</v>
      </c>
      <c r="F8" s="6">
        <v>1</v>
      </c>
      <c r="G8" s="6" t="e">
        <f>INDEX(DataColumns[ColumnLabel],MATCH(ResultColumnFinder[[#This Row],[DV Num]],DataColumns[DVNum],0))</f>
        <v>#N/A</v>
      </c>
      <c r="H8" s="6" t="e">
        <f>CONCATENATE(ResultColumnFinder[[#This Row],[DataType]],ResultColumnFinder[[#This Row],[Data Value Label]])</f>
        <v>#N/A</v>
      </c>
      <c r="I8" s="6" t="str">
        <f>CONCATENATE(ResultColumnFinder[[#This Row],[DataType]],ResultColumnFinder[[#This Row],[DV Num]])</f>
        <v>TimeAggregationIntervalUnitCode1</v>
      </c>
      <c r="J8" s="6">
        <f>MATCH(ResultColumnFinder[[#This Row],[DataType]],DataColumns[#Headers],0)</f>
        <v>26</v>
      </c>
      <c r="K8" s="6" t="e">
        <f>MATCH(CONCATENATE("ResultValue",ResultColumnFinder[[#This Row],[Data Value Label]]),DataColumns[Concat],0)</f>
        <v>#N/A</v>
      </c>
      <c r="L8" s="6" t="e">
        <f>MATCH(ResultColumnFinder[[#This Row],[Concat]],DataColumns[Concat],0)</f>
        <v>#N/A</v>
      </c>
      <c r="M8" s="6">
        <f>IF(ResultColumnFinder[[#This Row],[REQUIRED]]="Optional",0,
IF(ResultColumnFinder[[#This Row],[VBV or Column]]="Value-By-Value",NumSpecimens,
1))</f>
        <v>1</v>
      </c>
      <c r="N8" s="6" t="e">
        <f>IF(ISERROR(ResultColumnFinder[[#This Row],[Data Values Column Number]]),
IF(ISERROR(ResultColumnFinder[[#This Row],[Data Columns Input Column]]),
0,
IF(INDEX(DataColumns[],ResultColumnFinder[[#This Row],[Data Values Input Row]],ResultColumnFinder[[#This Row],[Data Columns Input Column]])="",
0,
1)),
1)</f>
        <v>#N/A</v>
      </c>
      <c r="O8" s="6" t="e">
        <f>IF(ResultColumnFinder[[#This Row],[Num Given]]&lt;ResultColumnFinder[[#This Row],[Num Required]],
"MISSING",
"OK")</f>
        <v>#N/A</v>
      </c>
      <c r="P8"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6" t="e">
        <f>INDIRECT(ResultColumnFinder[[#This Row],[First Value Address]],FALSE)</f>
        <v>#N/A</v>
      </c>
    </row>
    <row r="9" spans="1:17" x14ac:dyDescent="0.25">
      <c r="A9" s="6" t="s">
        <v>1281</v>
      </c>
      <c r="B9" s="6" t="s">
        <v>1184</v>
      </c>
      <c r="C9" s="6" t="s">
        <v>1347</v>
      </c>
      <c r="D9" s="6" t="s">
        <v>1299</v>
      </c>
      <c r="E9" s="6" t="s">
        <v>1337</v>
      </c>
      <c r="F9" s="6">
        <v>1</v>
      </c>
      <c r="G9" s="6" t="e">
        <f>INDEX(DataColumns[ColumnLabel],MATCH(ResultColumnFinder[[#This Row],[DV Num]],DataColumns[DVNum],0))</f>
        <v>#N/A</v>
      </c>
      <c r="H9" s="6" t="e">
        <f>CONCATENATE(ResultColumnFinder[[#This Row],[DataType]],ResultColumnFinder[[#This Row],[Data Value Label]])</f>
        <v>#N/A</v>
      </c>
      <c r="I9" s="6" t="str">
        <f>CONCATENATE(ResultColumnFinder[[#This Row],[DataType]],ResultColumnFinder[[#This Row],[DV Num]])</f>
        <v>ProcessingLevelCode1</v>
      </c>
      <c r="J9" s="6">
        <f>MATCH(ResultColumnFinder[[#This Row],[DataType]],DataColumns[#Headers],0)</f>
        <v>21</v>
      </c>
      <c r="K9" s="6" t="e">
        <f>MATCH(CONCATENATE("ResultValue",ResultColumnFinder[[#This Row],[Data Value Label]]),DataColumns[Concat],0)</f>
        <v>#N/A</v>
      </c>
      <c r="L9" s="6" t="e">
        <f>MATCH(ResultColumnFinder[[#This Row],[Concat]],DataColumns[Concat],0)</f>
        <v>#N/A</v>
      </c>
      <c r="M9" s="6">
        <f>IF(ResultColumnFinder[[#This Row],[REQUIRED]]="Optional",0,
IF(ResultColumnFinder[[#This Row],[VBV or Column]]="Value-By-Value",NumSpecimens,
1))</f>
        <v>1</v>
      </c>
      <c r="N9" s="6" t="e">
        <f>IF(ISERROR(ResultColumnFinder[[#This Row],[Data Values Column Number]]),
IF(ISERROR(ResultColumnFinder[[#This Row],[Data Columns Input Column]]),
0,
IF(INDEX(DataColumns[],ResultColumnFinder[[#This Row],[Data Values Input Row]],ResultColumnFinder[[#This Row],[Data Columns Input Column]])="",
0,
1)),
1)</f>
        <v>#N/A</v>
      </c>
      <c r="O9" s="6" t="e">
        <f>IF(ResultColumnFinder[[#This Row],[Num Given]]&lt;ResultColumnFinder[[#This Row],[Num Required]],
"MISSING",
"OK")</f>
        <v>#N/A</v>
      </c>
      <c r="P9"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6" t="e">
        <f>INDIRECT(ResultColumnFinder[[#This Row],[First Value Address]],FALSE)</f>
        <v>#N/A</v>
      </c>
    </row>
    <row r="10" spans="1:17" x14ac:dyDescent="0.25">
      <c r="A10" s="6" t="s">
        <v>1138</v>
      </c>
      <c r="B10" s="6" t="s">
        <v>1184</v>
      </c>
      <c r="C10" s="6" t="s">
        <v>1138</v>
      </c>
      <c r="D10" s="6" t="s">
        <v>1299</v>
      </c>
      <c r="E10" s="6" t="s">
        <v>1337</v>
      </c>
      <c r="F10" s="6">
        <v>1</v>
      </c>
      <c r="G10" s="6" t="e">
        <f>INDEX(DataColumns[ColumnLabel],MATCH(ResultColumnFinder[[#This Row],[DV Num]],DataColumns[DVNum],0))</f>
        <v>#N/A</v>
      </c>
      <c r="H10" s="6" t="e">
        <f>CONCATENATE(ResultColumnFinder[[#This Row],[DataType]],ResultColumnFinder[[#This Row],[Data Value Label]])</f>
        <v>#N/A</v>
      </c>
      <c r="I10" s="6" t="str">
        <f>CONCATENATE(ResultColumnFinder[[#This Row],[DataType]],ResultColumnFinder[[#This Row],[DV Num]])</f>
        <v>ResultTypeCV1</v>
      </c>
      <c r="J10" s="6">
        <f>MATCH(ResultColumnFinder[[#This Row],[DataType]],DataColumns[#Headers],0)</f>
        <v>14</v>
      </c>
      <c r="K10" s="6" t="e">
        <f>MATCH(CONCATENATE("ResultValue",ResultColumnFinder[[#This Row],[Data Value Label]]),DataColumns[Concat],0)</f>
        <v>#N/A</v>
      </c>
      <c r="L10" s="6" t="e">
        <f>MATCH(ResultColumnFinder[[#This Row],[Concat]],DataColumns[Concat],0)</f>
        <v>#N/A</v>
      </c>
      <c r="M10" s="6">
        <f>IF(ResultColumnFinder[[#This Row],[REQUIRED]]="Optional",0,
IF(ResultColumnFinder[[#This Row],[VBV or Column]]="Value-By-Value",NumSpecimens,
1))</f>
        <v>1</v>
      </c>
      <c r="N10" s="6" t="e">
        <f>IF(ISERROR(ResultColumnFinder[[#This Row],[Data Values Column Number]]),
IF(ISERROR(ResultColumnFinder[[#This Row],[Data Columns Input Column]]),
0,
IF(INDEX(DataColumns[],ResultColumnFinder[[#This Row],[Data Values Input Row]],ResultColumnFinder[[#This Row],[Data Columns Input Column]])="",
0,
1)),
1)</f>
        <v>#N/A</v>
      </c>
      <c r="O10" s="6" t="e">
        <f>IF(ResultColumnFinder[[#This Row],[Num Given]]&lt;ResultColumnFinder[[#This Row],[Num Required]],
"MISSING",
"OK")</f>
        <v>#N/A</v>
      </c>
      <c r="P10"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6" t="e">
        <f>INDIRECT(ResultColumnFinder[[#This Row],[First Value Address]],FALSE)</f>
        <v>#N/A</v>
      </c>
    </row>
    <row r="11" spans="1:17" x14ac:dyDescent="0.25">
      <c r="A11" s="6" t="s">
        <v>201</v>
      </c>
      <c r="B11" s="6" t="s">
        <v>1184</v>
      </c>
      <c r="C11" s="6" t="s">
        <v>201</v>
      </c>
      <c r="D11" s="6" t="s">
        <v>1299</v>
      </c>
      <c r="E11" s="6" t="s">
        <v>1337</v>
      </c>
      <c r="F11" s="6">
        <v>1</v>
      </c>
      <c r="G11" s="6" t="e">
        <f>INDEX(DataColumns[ColumnLabel],MATCH(ResultColumnFinder[[#This Row],[DV Num]],DataColumns[DVNum],0))</f>
        <v>#N/A</v>
      </c>
      <c r="H11" s="6" t="e">
        <f>CONCATENATE(ResultColumnFinder[[#This Row],[DataType]],ResultColumnFinder[[#This Row],[Data Value Label]])</f>
        <v>#N/A</v>
      </c>
      <c r="I11" s="6" t="str">
        <f>CONCATENATE(ResultColumnFinder[[#This Row],[DataType]],ResultColumnFinder[[#This Row],[DV Num]])</f>
        <v>SampledMediumCV1</v>
      </c>
      <c r="J11" s="6">
        <f>MATCH(ResultColumnFinder[[#This Row],[DataType]],DataColumns[#Headers],0)</f>
        <v>17</v>
      </c>
      <c r="K11" s="6" t="e">
        <f>MATCH(CONCATENATE("ResultValue",ResultColumnFinder[[#This Row],[Data Value Label]]),DataColumns[Concat],0)</f>
        <v>#N/A</v>
      </c>
      <c r="L11" s="6" t="e">
        <f>MATCH(ResultColumnFinder[[#This Row],[Concat]],DataColumns[Concat],0)</f>
        <v>#N/A</v>
      </c>
      <c r="M11" s="6">
        <f>IF(ResultColumnFinder[[#This Row],[REQUIRED]]="Optional",0,
IF(ResultColumnFinder[[#This Row],[VBV or Column]]="Value-By-Value",NumSpecimens,
1))</f>
        <v>1</v>
      </c>
      <c r="N11" s="6" t="e">
        <f>IF(ISERROR(ResultColumnFinder[[#This Row],[Data Values Column Number]]),
IF(ISERROR(ResultColumnFinder[[#This Row],[Data Columns Input Column]]),
0,
IF(INDEX(DataColumns[],ResultColumnFinder[[#This Row],[Data Values Input Row]],ResultColumnFinder[[#This Row],[Data Columns Input Column]])="",
0,
1)),
1)</f>
        <v>#N/A</v>
      </c>
      <c r="O11" s="6" t="e">
        <f>IF(ResultColumnFinder[[#This Row],[Num Given]]&lt;ResultColumnFinder[[#This Row],[Num Required]],
"MISSING",
"OK")</f>
        <v>#N/A</v>
      </c>
      <c r="P11"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6" t="e">
        <f>INDIRECT(ResultColumnFinder[[#This Row],[First Value Address]],FALSE)</f>
        <v>#N/A</v>
      </c>
    </row>
    <row r="12" spans="1:17" x14ac:dyDescent="0.25">
      <c r="A12" s="6" t="s">
        <v>1298</v>
      </c>
      <c r="B12" s="6" t="s">
        <v>1184</v>
      </c>
      <c r="C12" s="6" t="s">
        <v>1349</v>
      </c>
      <c r="D12" s="6" t="s">
        <v>1344</v>
      </c>
      <c r="E12" s="6" t="s">
        <v>1337</v>
      </c>
      <c r="F12" s="6">
        <v>1</v>
      </c>
      <c r="G12" s="6" t="e">
        <f>INDEX(DataColumns[ColumnLabel],MATCH(ResultColumnFinder[[#This Row],[DV Num]],DataColumns[DVNum],0))</f>
        <v>#N/A</v>
      </c>
      <c r="H12" s="6" t="e">
        <f>CONCATENATE(ResultColumnFinder[[#This Row],[DataType]],ResultColumnFinder[[#This Row],[Data Value Label]])</f>
        <v>#N/A</v>
      </c>
      <c r="I12" s="6" t="str">
        <f>CONCATENATE(ResultColumnFinder[[#This Row],[DataType]],ResultColumnFinder[[#This Row],[DV Num]])</f>
        <v>TaxonomicClassifierName1</v>
      </c>
      <c r="J12" s="6">
        <f>MATCH(ResultColumnFinder[[#This Row],[DataType]],DataColumns[#Headers],0)</f>
        <v>24</v>
      </c>
      <c r="K12" s="6" t="e">
        <f>MATCH(CONCATENATE("ResultValue",ResultColumnFinder[[#This Row],[Data Value Label]]),DataColumns[Concat],0)</f>
        <v>#N/A</v>
      </c>
      <c r="L12" s="6" t="e">
        <f>MATCH(ResultColumnFinder[[#This Row],[Concat]],DataColumns[Concat],0)</f>
        <v>#N/A</v>
      </c>
      <c r="M12" s="6">
        <f>IF(ResultColumnFinder[[#This Row],[REQUIRED]]="Optional",0,
IF(ResultColumnFinder[[#This Row],[VBV or Column]]="Value-By-Value",NumSpecimens,
1))</f>
        <v>0</v>
      </c>
      <c r="N12" s="6" t="e">
        <f>IF(ISERROR(ResultColumnFinder[[#This Row],[Data Values Column Number]]),
IF(ISERROR(ResultColumnFinder[[#This Row],[Data Columns Input Column]]),
0,
IF(INDEX(DataColumns[],ResultColumnFinder[[#This Row],[Data Values Input Row]],ResultColumnFinder[[#This Row],[Data Columns Input Column]])="",
0,
1)),
1)</f>
        <v>#N/A</v>
      </c>
      <c r="O12" s="6" t="e">
        <f>IF(ResultColumnFinder[[#This Row],[Num Given]]&lt;ResultColumnFinder[[#This Row],[Num Required]],
"MISSING",
"OK")</f>
        <v>#N/A</v>
      </c>
      <c r="P1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6" t="e">
        <f>INDIRECT(ResultColumnFinder[[#This Row],[First Value Address]],FALSE)</f>
        <v>#N/A</v>
      </c>
    </row>
    <row r="13" spans="1:17" x14ac:dyDescent="0.25">
      <c r="A13" s="6" t="s">
        <v>1352</v>
      </c>
      <c r="B13" s="6" t="s">
        <v>1184</v>
      </c>
      <c r="D13" s="6" t="s">
        <v>1299</v>
      </c>
      <c r="E13" s="6" t="s">
        <v>1337</v>
      </c>
      <c r="F13" s="6">
        <v>1</v>
      </c>
      <c r="G13" s="6" t="e">
        <f>INDEX(DataColumns[ColumnLabel],MATCH(ResultColumnFinder[[#This Row],[DV Num]],DataColumns[DVNum],0))</f>
        <v>#N/A</v>
      </c>
      <c r="H13" s="6" t="e">
        <f>CONCATENATE(ResultColumnFinder[[#This Row],[DataType]],ResultColumnFinder[[#This Row],[Data Value Label]])</f>
        <v>#N/A</v>
      </c>
      <c r="I13" s="6" t="str">
        <f>CONCATENATE(ResultColumnFinder[[#This Row],[DataType]],ResultColumnFinder[[#This Row],[DV Num]])</f>
        <v>UnitName1</v>
      </c>
      <c r="J13" s="6">
        <f>MATCH(ResultColumnFinder[[#This Row],[DataType]],DataColumns[#Headers],0)</f>
        <v>16</v>
      </c>
      <c r="K13" s="6" t="e">
        <f>MATCH(CONCATENATE("ResultValue",ResultColumnFinder[[#This Row],[Data Value Label]]),DataColumns[Concat],0)</f>
        <v>#N/A</v>
      </c>
      <c r="L13" s="6" t="e">
        <f>MATCH(ResultColumnFinder[[#This Row],[Concat]],DataColumns[Concat],0)</f>
        <v>#N/A</v>
      </c>
      <c r="M13" s="6">
        <f>IF(ResultColumnFinder[[#This Row],[REQUIRED]]="Optional",0,
IF(ResultColumnFinder[[#This Row],[VBV or Column]]="Value-By-Value",NumSpecimens,
1))</f>
        <v>1</v>
      </c>
      <c r="N13" s="6" t="e">
        <f>IF(ISERROR(ResultColumnFinder[[#This Row],[Data Values Column Number]]),
IF(ISERROR(ResultColumnFinder[[#This Row],[Data Columns Input Column]]),
0,
IF(INDEX(DataColumns[],ResultColumnFinder[[#This Row],[Data Values Input Row]],ResultColumnFinder[[#This Row],[Data Columns Input Column]])="",
0,
1)),
1)</f>
        <v>#N/A</v>
      </c>
      <c r="O13" s="6" t="e">
        <f>IF(ResultColumnFinder[[#This Row],[Num Given]]&lt;ResultColumnFinder[[#This Row],[Num Required]],
"MISSING",
"OK")</f>
        <v>#N/A</v>
      </c>
      <c r="P1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6" t="e">
        <f>INDIRECT(ResultColumnFinder[[#This Row],[First Value Address]],FALSE)</f>
        <v>#N/A</v>
      </c>
    </row>
    <row r="14" spans="1:17" x14ac:dyDescent="0.25">
      <c r="A14" s="6" t="s">
        <v>1353</v>
      </c>
      <c r="B14" s="6" t="s">
        <v>1184</v>
      </c>
      <c r="C14" s="6" t="s">
        <v>1351</v>
      </c>
      <c r="D14" s="6" t="s">
        <v>1299</v>
      </c>
      <c r="E14" s="6" t="s">
        <v>1337</v>
      </c>
      <c r="F14" s="6">
        <v>1</v>
      </c>
      <c r="G14" s="6" t="e">
        <f>INDEX(DataColumns[ColumnLabel],MATCH(ResultColumnFinder[[#This Row],[DV Num]],DataColumns[DVNum],0))</f>
        <v>#N/A</v>
      </c>
      <c r="H14" s="6" t="e">
        <f>CONCATENATE(ResultColumnFinder[[#This Row],[DataType]],ResultColumnFinder[[#This Row],[Data Value Label]])</f>
        <v>#N/A</v>
      </c>
      <c r="I14" s="6" t="str">
        <f>CONCATENATE(ResultColumnFinder[[#This Row],[DataType]],ResultColumnFinder[[#This Row],[DV Num]])</f>
        <v>VariableCode1</v>
      </c>
      <c r="J14" s="6">
        <f>MATCH(ResultColumnFinder[[#This Row],[DataType]],DataColumns[#Headers],0)</f>
        <v>15</v>
      </c>
      <c r="K14" s="6" t="e">
        <f>MATCH(CONCATENATE("ResultValue",ResultColumnFinder[[#This Row],[Data Value Label]]),DataColumns[Concat],0)</f>
        <v>#N/A</v>
      </c>
      <c r="L14" s="6" t="e">
        <f>MATCH(ResultColumnFinder[[#This Row],[Concat]],DataColumns[Concat],0)</f>
        <v>#N/A</v>
      </c>
      <c r="M14" s="6">
        <f>IF(ResultColumnFinder[[#This Row],[REQUIRED]]="Optional",0,
IF(ResultColumnFinder[[#This Row],[VBV or Column]]="Value-By-Value",NumSpecimens,
1))</f>
        <v>1</v>
      </c>
      <c r="N14" s="6" t="e">
        <f>IF(ISERROR(ResultColumnFinder[[#This Row],[Data Values Column Number]]),
IF(ISERROR(ResultColumnFinder[[#This Row],[Data Columns Input Column]]),
0,
IF(INDEX(DataColumns[],ResultColumnFinder[[#This Row],[Data Values Input Row]],ResultColumnFinder[[#This Row],[Data Columns Input Column]])="",
0,
1)),
1)</f>
        <v>#N/A</v>
      </c>
      <c r="O14" s="6" t="e">
        <f>IF(ResultColumnFinder[[#This Row],[Num Given]]&lt;ResultColumnFinder[[#This Row],[Num Required]],
"MISSING",
"OK")</f>
        <v>#N/A</v>
      </c>
      <c r="P1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6" t="e">
        <f>INDIRECT(ResultColumnFinder[[#This Row],[First Value Address]],FALSE)</f>
        <v>#N/A</v>
      </c>
    </row>
    <row r="15" spans="1:17" x14ac:dyDescent="0.25">
      <c r="A15" s="6" t="s">
        <v>1334</v>
      </c>
      <c r="B15" s="6" t="s">
        <v>1179</v>
      </c>
      <c r="D15" s="6" t="s">
        <v>1344</v>
      </c>
      <c r="E15" s="6" t="s">
        <v>1338</v>
      </c>
      <c r="F15" s="6">
        <v>1</v>
      </c>
      <c r="G15" s="6" t="e">
        <f>INDEX(DataColumns[ColumnLabel],MATCH(ResultColumnFinder[[#This Row],[DV Num]],DataColumns[DVNum],0))</f>
        <v>#N/A</v>
      </c>
      <c r="H15" s="6" t="e">
        <f>CONCATENATE(ResultColumnFinder[[#This Row],[DataType]],ResultColumnFinder[[#This Row],[Data Value Label]])</f>
        <v>#N/A</v>
      </c>
      <c r="I15" s="6" t="str">
        <f>CONCATENATE(ResultColumnFinder[[#This Row],[DataType]],ResultColumnFinder[[#This Row],[DV Num]])</f>
        <v>AnalysisDateTime1</v>
      </c>
      <c r="J15" s="6" t="e">
        <f>MATCH(ResultColumnFinder[[#This Row],[DataType]],DataColumns[#Headers],0)</f>
        <v>#N/A</v>
      </c>
      <c r="K15" s="6" t="e">
        <f>MATCH(CONCATENATE("ResultValue",ResultColumnFinder[[#This Row],[Data Value Label]]),DataColumns[Concat],0)</f>
        <v>#N/A</v>
      </c>
      <c r="L15" s="6" t="e">
        <f>MATCH(ResultColumnFinder[[#This Row],[Concat]],DataColumns[Concat],0)</f>
        <v>#N/A</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0</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6" t="e">
        <f>INDIRECT(ResultColumnFinder[[#This Row],[First Value Address]],FALSE)</f>
        <v>#REF!</v>
      </c>
    </row>
    <row r="16" spans="1:17" x14ac:dyDescent="0.25">
      <c r="A16" s="6" t="s">
        <v>1335</v>
      </c>
      <c r="B16" s="6" t="s">
        <v>1179</v>
      </c>
      <c r="D16" s="6" t="s">
        <v>1344</v>
      </c>
      <c r="E16" s="6" t="s">
        <v>1337</v>
      </c>
      <c r="F16" s="6">
        <v>1</v>
      </c>
      <c r="G16" s="6" t="e">
        <f>INDEX(DataColumns[ColumnLabel],MATCH(ResultColumnFinder[[#This Row],[DV Num]],DataColumns[DVNum],0))</f>
        <v>#N/A</v>
      </c>
      <c r="H16" s="6" t="e">
        <f>CONCATENATE(ResultColumnFinder[[#This Row],[DataType]],ResultColumnFinder[[#This Row],[Data Value Label]])</f>
        <v>#N/A</v>
      </c>
      <c r="I16" s="6" t="str">
        <f>CONCATENATE(ResultColumnFinder[[#This Row],[DataType]],ResultColumnFinder[[#This Row],[DV Num]])</f>
        <v>AnalysisDateTimeUTCOffset1</v>
      </c>
      <c r="J16" s="6">
        <f>MATCH(ResultColumnFinder[[#This Row],[DataType]],DataColumns[#Headers],0)</f>
        <v>19</v>
      </c>
      <c r="K16" s="6" t="e">
        <f>MATCH(CONCATENATE("ResultValue",ResultColumnFinder[[#This Row],[Data Value Label]]),DataColumns[Concat],0)</f>
        <v>#N/A</v>
      </c>
      <c r="L16" s="6" t="e">
        <f>MATCH(ResultColumnFinder[[#This Row],[Concat]],DataColumns[Concat],0)</f>
        <v>#N/A</v>
      </c>
      <c r="M16" s="6">
        <f>IF(ResultColumnFinder[[#This Row],[REQUIRED]]="Optional",0,
IF(ResultColumnFinder[[#This Row],[VBV or Column]]="Value-By-Value",NumSpecimens,
1))</f>
        <v>0</v>
      </c>
      <c r="N16" s="6" t="e">
        <f>IF(ISERROR(ResultColumnFinder[[#This Row],[Data Values Column Number]]),
IF(ISERROR(ResultColumnFinder[[#This Row],[Data Columns Input Column]]),
0,
IF(INDEX(DataColumns[],ResultColumnFinder[[#This Row],[Data Values Input Row]],ResultColumnFinder[[#This Row],[Data Columns Input Column]])="",
0,
1)),
1)</f>
        <v>#N/A</v>
      </c>
      <c r="O16" s="6" t="e">
        <f>IF(ResultColumnFinder[[#This Row],[Num Given]]&lt;ResultColumnFinder[[#This Row],[Num Required]],
"MISSING",
"OK")</f>
        <v>#N/A</v>
      </c>
      <c r="P1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6" t="e">
        <f>INDIRECT(ResultColumnFinder[[#This Row],[First Value Address]],FALSE)</f>
        <v>#N/A</v>
      </c>
    </row>
    <row r="17" spans="1:17" x14ac:dyDescent="0.25">
      <c r="A17" s="6" t="s">
        <v>1336</v>
      </c>
      <c r="B17" s="6" t="s">
        <v>1343</v>
      </c>
      <c r="D17" s="6" t="s">
        <v>1344</v>
      </c>
      <c r="E17" s="6" t="s">
        <v>1338</v>
      </c>
      <c r="F17" s="6">
        <v>1</v>
      </c>
      <c r="G17" s="6" t="e">
        <f>INDEX(DataColumns[ColumnLabel],MATCH(ResultColumnFinder[[#This Row],[DV Num]],DataColumns[DVNum],0))</f>
        <v>#N/A</v>
      </c>
      <c r="H17" s="6" t="e">
        <f>CONCATENATE(ResultColumnFinder[[#This Row],[DataType]],ResultColumnFinder[[#This Row],[Data Value Label]])</f>
        <v>#N/A</v>
      </c>
      <c r="I17" s="6" t="str">
        <f>CONCATENATE(ResultColumnFinder[[#This Row],[DataType]],ResultColumnFinder[[#This Row],[DV Num]])</f>
        <v>ValueAnnotation1</v>
      </c>
      <c r="J17" s="6" t="e">
        <f>MATCH(ResultColumnFinder[[#This Row],[DataType]],DataColumns[#Headers],0)</f>
        <v>#N/A</v>
      </c>
      <c r="K17" s="6" t="e">
        <f>MATCH(CONCATENATE("ResultValue",ResultColumnFinder[[#This Row],[Data Value Label]]),DataColumns[Concat],0)</f>
        <v>#N/A</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1184</v>
      </c>
      <c r="D18" s="6" t="s">
        <v>1344</v>
      </c>
      <c r="E18" s="6" t="s">
        <v>1338</v>
      </c>
      <c r="F18" s="6">
        <v>1</v>
      </c>
      <c r="G18" s="6" t="e">
        <f>INDEX(DataColumns[ColumnLabel],MATCH(ResultColumnFinder[[#This Row],[DV Num]],DataColumns[DVNum],0))</f>
        <v>#N/A</v>
      </c>
      <c r="H18" s="6" t="e">
        <f>CONCATENATE(ResultColumnFinder[[#This Row],[DataType]],ResultColumnFinder[[#This Row],[Data Value Label]])</f>
        <v>#N/A</v>
      </c>
      <c r="I18" s="6" t="str">
        <f>CONCATENATE(ResultColumnFinder[[#This Row],[DataType]],ResultColumnFinder[[#This Row],[DV Num]])</f>
        <v>ResultUUID1</v>
      </c>
      <c r="J18" s="6" t="e">
        <f>MATCH(ResultColumnFinder[[#This Row],[DataType]],DataColumns[#Headers],0)</f>
        <v>#N/A</v>
      </c>
      <c r="K18" s="6" t="e">
        <f>MATCH(CONCATENATE("ResultValue",ResultColumnFinder[[#This Row],[Data Value Label]]),DataColumns[Concat],0)</f>
        <v>#N/A</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1415</v>
      </c>
      <c r="B19" s="6" t="s">
        <v>1341</v>
      </c>
      <c r="D19" s="6" t="s">
        <v>1299</v>
      </c>
      <c r="E19" s="6" t="s">
        <v>1338</v>
      </c>
      <c r="F19" s="6">
        <v>1</v>
      </c>
      <c r="G19" s="6" t="e">
        <f>INDEX(DataColumns[ColumnLabel],MATCH(ResultColumnFinder[[#This Row],[DV Num]],DataColumns[DVNum],0))</f>
        <v>#N/A</v>
      </c>
      <c r="H19" s="6" t="e">
        <f>CONCATENATE(ResultColumnFinder[[#This Row],[DataType]],ResultColumnFinder[[#This Row],[Data Value Label]])</f>
        <v>#N/A</v>
      </c>
      <c r="I19" s="6" t="str">
        <f>CONCATENATE(ResultColumnFinder[[#This Row],[DataType]],ResultColumnFinder[[#This Row],[DV Num]])</f>
        <v>ResultValue1</v>
      </c>
      <c r="J19" s="6" t="e">
        <f>MATCH(ResultColumnFinder[[#This Row],[DataType]],DataColumns[#Headers],0)</f>
        <v>#N/A</v>
      </c>
      <c r="K19" s="6" t="e">
        <f>MATCH(CONCATENATE("ResultValue",ResultColumnFinder[[#This Row],[Data Value Label]]),DataColumns[Concat],0)</f>
        <v>#N/A</v>
      </c>
      <c r="L19" s="6" t="e">
        <f>MATCH(ResultColumnFinder[[#This Row],[Concat]],DataColumns[Concat],0)</f>
        <v>#N/A</v>
      </c>
      <c r="M19" s="6">
        <f>IF(ResultColumnFinder[[#This Row],[REQUIRED]]="Optional",0,
IF(ResultColumnFinder[[#This Row],[VBV or Column]]="Value-By-Value",NumSpecimens,
1))</f>
        <v>1</v>
      </c>
      <c r="N19" s="6">
        <f>IF(ISERROR(ResultColumnFinder[[#This Row],[Data Values Column Number]]),
IF(ISERROR(ResultColumnFinder[[#This Row],[Data Columns Input Column]]),
0,
IF(INDEX(DataColumns[],ResultColumnFinder[[#This Row],[Data Values Input Row]],ResultColumnFinder[[#This Row],[Data Columns Input Column]])="",
0,
1)),
1)</f>
        <v>0</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6"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C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1433</v>
      </c>
      <c r="Q1" s="26" t="s">
        <v>1330</v>
      </c>
      <c r="R1" s="26" t="s">
        <v>1331</v>
      </c>
      <c r="S1" s="26" t="s">
        <v>1304</v>
      </c>
      <c r="T1" s="26" t="s">
        <v>1434</v>
      </c>
      <c r="U1" s="26" t="s">
        <v>1435</v>
      </c>
      <c r="V1" s="26" t="s">
        <v>1359</v>
      </c>
      <c r="W1" s="26" t="s">
        <v>223</v>
      </c>
      <c r="X1" s="26" t="s">
        <v>1263</v>
      </c>
      <c r="Y1" s="26" t="s">
        <v>224</v>
      </c>
      <c r="Z1" s="26" t="s">
        <v>226</v>
      </c>
      <c r="AA1" s="26" t="s">
        <v>243</v>
      </c>
      <c r="AB1" s="26" t="s">
        <v>1391</v>
      </c>
      <c r="AC1" s="26" t="s">
        <v>1392</v>
      </c>
      <c r="AD1" s="26" t="s">
        <v>1393</v>
      </c>
      <c r="AE1" s="26" t="s">
        <v>1394</v>
      </c>
      <c r="AF1" s="26" t="s">
        <v>244</v>
      </c>
      <c r="AG1" s="26" t="s">
        <v>248</v>
      </c>
      <c r="AH1" s="26" t="s">
        <v>1078</v>
      </c>
      <c r="AI1" s="26" t="s">
        <v>238</v>
      </c>
      <c r="AJ1" s="26" t="s">
        <v>1396</v>
      </c>
      <c r="AK1" s="26" t="s">
        <v>1178</v>
      </c>
      <c r="AL1" s="26" t="s">
        <v>1425</v>
      </c>
      <c r="AM1" s="26" t="s">
        <v>1426</v>
      </c>
      <c r="AN1" s="26" t="s">
        <v>1427</v>
      </c>
      <c r="AO1" s="26" t="s">
        <v>1443</v>
      </c>
      <c r="AP1" s="26" t="s">
        <v>1431</v>
      </c>
      <c r="AQ1" s="26" t="s">
        <v>1436</v>
      </c>
      <c r="AR1" s="26" t="s">
        <v>1404</v>
      </c>
      <c r="AS1" s="26" t="s">
        <v>1407</v>
      </c>
      <c r="AT1" s="26" t="s">
        <v>1415</v>
      </c>
      <c r="AU1" s="26" t="s">
        <v>1428</v>
      </c>
      <c r="AV1" s="26" t="s">
        <v>1429</v>
      </c>
      <c r="AW1" s="26" t="s">
        <v>1430</v>
      </c>
      <c r="AX1" s="26" t="s">
        <v>1442</v>
      </c>
      <c r="AY1" s="26" t="s">
        <v>1432</v>
      </c>
      <c r="AZ1" s="26" t="s">
        <v>1437</v>
      </c>
      <c r="BA1" s="26" t="s">
        <v>1438</v>
      </c>
      <c r="BB1" s="26" t="s">
        <v>1439</v>
      </c>
      <c r="BC1" s="26" t="s">
        <v>1440</v>
      </c>
      <c r="BD1" s="26" t="s">
        <v>1441</v>
      </c>
      <c r="BE1" s="26" t="s">
        <v>1137</v>
      </c>
      <c r="BF1" s="26" t="s">
        <v>1406</v>
      </c>
      <c r="BG1" s="26" t="s">
        <v>1408</v>
      </c>
      <c r="BH1" s="26" t="s">
        <v>1409</v>
      </c>
      <c r="BI1" s="26" t="s">
        <v>1410</v>
      </c>
      <c r="BJ1" s="26" t="s">
        <v>1411</v>
      </c>
      <c r="BK1" s="26" t="s">
        <v>1412</v>
      </c>
      <c r="BL1" s="26" t="s">
        <v>1413</v>
      </c>
      <c r="BM1" s="26" t="s">
        <v>1414</v>
      </c>
      <c r="BN1" s="26" t="s">
        <v>1418</v>
      </c>
      <c r="BO1" s="26" t="s">
        <v>1419</v>
      </c>
      <c r="BP1" s="26" t="s">
        <v>1420</v>
      </c>
      <c r="BQ1" s="26" t="s">
        <v>1421</v>
      </c>
      <c r="BR1" s="26" t="s">
        <v>1422</v>
      </c>
      <c r="BS1" s="26" t="s">
        <v>1184</v>
      </c>
      <c r="BT1" s="26" t="s">
        <v>1451</v>
      </c>
      <c r="BU1" s="26" t="s">
        <v>1186</v>
      </c>
      <c r="BV1" s="26" t="s">
        <v>1187</v>
      </c>
      <c r="BW1" s="26" t="s">
        <v>1416</v>
      </c>
      <c r="BX1" s="26" t="s">
        <v>1417</v>
      </c>
      <c r="BY1" s="26" t="s">
        <v>1445</v>
      </c>
      <c r="BZ1" s="26" t="s">
        <v>1446</v>
      </c>
      <c r="CA1" s="26" t="s">
        <v>1447</v>
      </c>
      <c r="CB1" s="26" t="s">
        <v>1444</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1397</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1450</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NULL",
"}")))</f>
        <v>#N/A</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v0.1.0-alpha+20150424.175154", DateCreated: "2015-04-24", DateUpdated: "2015-04-24"}</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NULL",
"}")))</f>
        <v/>
      </c>
      <c r="BD5" s="26" t="str">
        <f>IF(ROW()-3&gt;NumDataColumns*NumSpecimens,"",
IF(AT5="","",
IF(AX5="","",
CONCATENATE("  - {",
"ActionObj:  *ActionID",TEXT(ROW()-3+NumSpecimens,"00000"),
", AffiliationObj:  ",AX5,
", IsActionLead: TRUE",
", RoleDescription: NULL",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6" t="str">
        <f>IF(ROW()-3&gt;NumDataColumns*NumSpecimens,"",
IF(AT5="","",
CONCATENATE("  - {DatasetObj: *DatasetID00001, ",
"ResultObj: *ResultID",TEXT(ROW()-3,"00000"),
"}")))</f>
        <v/>
      </c>
      <c r="BU5" s="26"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NULL",
"}")))</f>
        <v/>
      </c>
      <c r="BD6" s="26" t="str">
        <f>IF(ROW()-3&gt;NumDataColumns*NumSpecimens,"",
IF(AT6="","",
IF(AX6="","",
CONCATENATE("  - {",
"ActionObj:  *ActionID",TEXT(ROW()-3+NumSpecimens,"00000"),
", AffiliationObj:  ",AX6,
", IsActionLead: TRUE",
", RoleDescription: NULL",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6" t="str">
        <f>IF(ROW()-3&gt;NumDataColumns*NumSpecimens,"",
IF(AT6="","",
CONCATENATE("  - {DatasetObj: *DatasetID00001, ",
"ResultObj: *ResultID",TEXT(ROW()-3,"00000"),
"}")))</f>
        <v/>
      </c>
      <c r="BU6" s="26"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6" t="e">
        <f>IF(BF6&lt;&gt;"Measurement","",
IF(AT6="","",
CONCATENATE("  - &amp;MeasurementResultValueID",TEXT(ROW()-3,"00000"),
" {","MeasurementResultObj: *MeasurementResultID",TEXT(ROW()-3,"00000"),
", DataValue: ",AT6,
", ValueDateTime:  ",CHAR(34),BK6,CHAR(34),
", ValueDateTimeUTCOffset:  ",BL6,
"}")))</f>
        <v>#N/A</v>
      </c>
      <c r="BW6" s="26"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NULL",
"}")))</f>
        <v/>
      </c>
      <c r="BD7" s="26" t="str">
        <f>IF(ROW()-3&gt;NumDataColumns*NumSpecimens,"",
IF(AT7="","",
IF(AX7="","",
CONCATENATE("  - {",
"ActionObj:  *ActionID",TEXT(ROW()-3+NumSpecimens,"00000"),
", AffiliationObj:  ",AX7,
", IsActionLead: TRUE",
", RoleDescription: NULL",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6" t="str">
        <f>IF(ROW()-3&gt;NumDataColumns*NumSpecimens,"",
IF(AT7="","",
CONCATENATE("  - {DatasetObj: *DatasetID00001, ",
"ResultObj: *ResultID",TEXT(ROW()-3,"00000"),
"}")))</f>
        <v/>
      </c>
      <c r="BU7" s="26"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6" t="e">
        <f>IF(BF7&lt;&gt;"Measurement","",
IF(AT7="","",
CONCATENATE("  - &amp;MeasurementResultValueID",TEXT(ROW()-3,"00000"),
" {","MeasurementResultObj: *MeasurementResultID",TEXT(ROW()-3,"00000"),
", DataValue: ",AT7,
", ValueDateTime:  ",CHAR(34),BK7,CHAR(34),
", ValueDateTimeUTCOffset:  ",BL7,
"}")))</f>
        <v>#N/A</v>
      </c>
      <c r="BW7" s="26"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NULL",
"}")))</f>
        <v/>
      </c>
      <c r="BD8" s="26" t="str">
        <f>IF(ROW()-3&gt;NumDataColumns*NumSpecimens,"",
IF(AT8="","",
IF(AX8="","",
CONCATENATE("  - {",
"ActionObj:  *ActionID",TEXT(ROW()-3+NumSpecimens,"00000"),
", AffiliationObj:  ",AX8,
", IsActionLead: TRUE",
", RoleDescription: NULL",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6" t="str">
        <f>IF(ROW()-3&gt;NumDataColumns*NumSpecimens,"",
IF(AT8="","",
CONCATENATE("  - {DatasetObj: *DatasetID00001, ",
"ResultObj: *ResultID",TEXT(ROW()-3,"00000"),
"}")))</f>
        <v/>
      </c>
      <c r="BU8" s="26"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6" t="e">
        <f>IF(BF8&lt;&gt;"Measurement","",
IF(AT8="","",
CONCATENATE("  - &amp;MeasurementResultValueID",TEXT(ROW()-3,"00000"),
" {","MeasurementResultObj: *MeasurementResultID",TEXT(ROW()-3,"00000"),
", DataValue: ",AT8,
", ValueDateTime:  ",CHAR(34),BK8,CHAR(34),
", ValueDateTimeUTCOffset:  ",BL8,
"}")))</f>
        <v>#N/A</v>
      </c>
      <c r="BW8" s="26"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1690</v>
      </c>
    </row>
    <row r="4" spans="1:1" x14ac:dyDescent="0.25">
      <c r="A4" t="s">
        <v>1209</v>
      </c>
    </row>
    <row r="5" spans="1:1" x14ac:dyDescent="0.25">
      <c r="A5" t="s">
        <v>1700</v>
      </c>
    </row>
    <row r="6" spans="1:1" x14ac:dyDescent="0.25">
      <c r="A6" t="s">
        <v>177</v>
      </c>
    </row>
    <row r="7" spans="1:1" x14ac:dyDescent="0.25">
      <c r="A7" t="s">
        <v>1691</v>
      </c>
    </row>
    <row r="8" spans="1:1" x14ac:dyDescent="0.25">
      <c r="A8" t="s">
        <v>175</v>
      </c>
    </row>
    <row r="9" spans="1:1" x14ac:dyDescent="0.25">
      <c r="A9" t="s">
        <v>1692</v>
      </c>
    </row>
    <row r="10" spans="1:1" x14ac:dyDescent="0.25">
      <c r="A10" t="s">
        <v>178</v>
      </c>
    </row>
    <row r="11" spans="1:1" x14ac:dyDescent="0.25">
      <c r="A11" t="s">
        <v>213</v>
      </c>
    </row>
    <row r="12" spans="1:1" x14ac:dyDescent="0.25">
      <c r="A12" t="s">
        <v>1693</v>
      </c>
    </row>
    <row r="13" spans="1:1" x14ac:dyDescent="0.25">
      <c r="A13" t="s">
        <v>214</v>
      </c>
    </row>
    <row r="14" spans="1:1" x14ac:dyDescent="0.25">
      <c r="A14" t="s">
        <v>1701</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1694</v>
      </c>
    </row>
    <row r="21" spans="1:1" x14ac:dyDescent="0.25">
      <c r="A21" t="s">
        <v>1079</v>
      </c>
    </row>
    <row r="22" spans="1:1" x14ac:dyDescent="0.25">
      <c r="A22" t="s">
        <v>1695</v>
      </c>
    </row>
    <row r="23" spans="1:1" x14ac:dyDescent="0.25">
      <c r="A23" t="s">
        <v>1397</v>
      </c>
    </row>
    <row r="24" spans="1:1" x14ac:dyDescent="0.25">
      <c r="A24" t="s">
        <v>1696</v>
      </c>
    </row>
    <row r="25" spans="1:1" x14ac:dyDescent="0.25">
      <c r="A25" t="s">
        <v>1181</v>
      </c>
    </row>
    <row r="26" spans="1:1" x14ac:dyDescent="0.25">
      <c r="A26" t="e">
        <v>#N/A</v>
      </c>
    </row>
    <row r="27" spans="1:1" x14ac:dyDescent="0.25">
      <c r="A27" t="s">
        <v>1183</v>
      </c>
    </row>
    <row r="28" spans="1:1" x14ac:dyDescent="0.25">
      <c r="A28" t="s">
        <v>1697</v>
      </c>
    </row>
    <row r="29" spans="1:1" x14ac:dyDescent="0.25">
      <c r="A29" t="s">
        <v>1276</v>
      </c>
    </row>
    <row r="30" spans="1:1" x14ac:dyDescent="0.25">
      <c r="A30" t="e">
        <v>#N/A</v>
      </c>
    </row>
    <row r="31" spans="1:1" x14ac:dyDescent="0.25">
      <c r="A31" t="s">
        <v>1185</v>
      </c>
    </row>
    <row r="32" spans="1:1" x14ac:dyDescent="0.25">
      <c r="A32" t="s">
        <v>1698</v>
      </c>
    </row>
    <row r="33" spans="1:1" x14ac:dyDescent="0.25">
      <c r="A33" t="s">
        <v>1450</v>
      </c>
    </row>
    <row r="34" spans="1:1" x14ac:dyDescent="0.25">
      <c r="A34" t="s">
        <v>1699</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N2" workbookViewId="0">
      <selection activeCell="O9" sqref="O9"/>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1278</v>
      </c>
      <c r="D1" s="1" t="s">
        <v>193</v>
      </c>
      <c r="E1" s="1" t="s">
        <v>1452</v>
      </c>
      <c r="F1" s="1" t="s">
        <v>199</v>
      </c>
      <c r="G1" s="1" t="s">
        <v>194</v>
      </c>
      <c r="H1" s="1" t="s">
        <v>195</v>
      </c>
      <c r="I1" s="1" t="s">
        <v>196</v>
      </c>
      <c r="J1" s="1" t="s">
        <v>197</v>
      </c>
      <c r="K1" s="1" t="s">
        <v>198</v>
      </c>
      <c r="L1" s="1" t="s">
        <v>201</v>
      </c>
      <c r="M1" s="1" t="s">
        <v>234</v>
      </c>
      <c r="N1" s="1" t="s">
        <v>245</v>
      </c>
      <c r="O1" s="1" t="s">
        <v>286</v>
      </c>
      <c r="P1" s="1" t="s">
        <v>288</v>
      </c>
      <c r="Q1" s="1" t="s">
        <v>1544</v>
      </c>
      <c r="R1" s="3" t="s">
        <v>1138</v>
      </c>
      <c r="S1" s="1" t="s">
        <v>1143</v>
      </c>
      <c r="T1" s="1" t="s">
        <v>1144</v>
      </c>
      <c r="U1" s="1" t="s">
        <v>1154</v>
      </c>
      <c r="V1" s="1" t="s">
        <v>1169</v>
      </c>
      <c r="W1" s="1" t="s">
        <v>1182</v>
      </c>
      <c r="X1" s="1" t="s">
        <v>1291</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1545</v>
      </c>
      <c r="R2" t="s">
        <v>1139</v>
      </c>
      <c r="S2" t="s">
        <v>1145</v>
      </c>
      <c r="T2" t="s">
        <v>1150</v>
      </c>
      <c r="U2" t="s">
        <v>1155</v>
      </c>
      <c r="V2" t="s">
        <v>1170</v>
      </c>
      <c r="W2" t="s">
        <v>250</v>
      </c>
      <c r="X2" t="s">
        <v>1292</v>
      </c>
    </row>
    <row r="3" spans="1:24"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1546</v>
      </c>
      <c r="R3" s="5" t="s">
        <v>1140</v>
      </c>
      <c r="S3" t="s">
        <v>1146</v>
      </c>
      <c r="T3" t="s">
        <v>1151</v>
      </c>
      <c r="U3" t="s">
        <v>1156</v>
      </c>
      <c r="V3" t="s">
        <v>1171</v>
      </c>
      <c r="W3" t="s">
        <v>251</v>
      </c>
      <c r="X3" t="s">
        <v>1293</v>
      </c>
    </row>
    <row r="4" spans="1:24" x14ac:dyDescent="0.25">
      <c r="C4" s="5" t="s">
        <v>1335</v>
      </c>
      <c r="D4" t="s">
        <v>154</v>
      </c>
      <c r="E4" t="s">
        <v>113</v>
      </c>
      <c r="F4" t="s">
        <v>1088</v>
      </c>
      <c r="G4" t="s">
        <v>49</v>
      </c>
      <c r="H4" t="s">
        <v>57</v>
      </c>
      <c r="I4" t="s">
        <v>1090</v>
      </c>
      <c r="J4" t="s">
        <v>133</v>
      </c>
      <c r="K4" t="s">
        <v>1094</v>
      </c>
      <c r="L4" t="s">
        <v>204</v>
      </c>
      <c r="M4" t="s">
        <v>34</v>
      </c>
      <c r="O4" t="s">
        <v>1124</v>
      </c>
      <c r="P4" t="s">
        <v>291</v>
      </c>
      <c r="Q4" s="5" t="s">
        <v>1547</v>
      </c>
      <c r="R4" s="5" t="s">
        <v>1141</v>
      </c>
      <c r="S4" t="s">
        <v>1147</v>
      </c>
      <c r="T4" t="s">
        <v>1152</v>
      </c>
      <c r="U4" t="s">
        <v>1157</v>
      </c>
      <c r="V4" t="s">
        <v>1172</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1548</v>
      </c>
      <c r="R5" s="5" t="s">
        <v>1142</v>
      </c>
      <c r="S5" t="s">
        <v>1148</v>
      </c>
      <c r="T5" t="s">
        <v>1153</v>
      </c>
      <c r="U5" t="s">
        <v>1158</v>
      </c>
      <c r="W5" t="s">
        <v>253</v>
      </c>
      <c r="X5" t="s">
        <v>1294</v>
      </c>
    </row>
    <row r="6" spans="1:24" x14ac:dyDescent="0.25">
      <c r="C6" s="5" t="s">
        <v>1332</v>
      </c>
      <c r="D6" t="s">
        <v>156</v>
      </c>
      <c r="E6" t="s">
        <v>1086</v>
      </c>
      <c r="F6" t="s">
        <v>43</v>
      </c>
      <c r="G6" t="s">
        <v>51</v>
      </c>
      <c r="H6" t="s">
        <v>59</v>
      </c>
      <c r="I6" t="s">
        <v>1092</v>
      </c>
      <c r="K6" t="s">
        <v>1095</v>
      </c>
      <c r="L6" t="s">
        <v>47</v>
      </c>
      <c r="M6" t="s">
        <v>1118</v>
      </c>
      <c r="O6" t="s">
        <v>1126</v>
      </c>
      <c r="P6" t="s">
        <v>293</v>
      </c>
      <c r="Q6" s="5" t="s">
        <v>1549</v>
      </c>
      <c r="S6" t="s">
        <v>1149</v>
      </c>
      <c r="T6" t="s">
        <v>14</v>
      </c>
      <c r="U6" t="s">
        <v>1159</v>
      </c>
      <c r="W6" t="s">
        <v>254</v>
      </c>
      <c r="X6" t="s">
        <v>1295</v>
      </c>
    </row>
    <row r="7" spans="1:24" x14ac:dyDescent="0.25">
      <c r="C7" s="5" t="s">
        <v>1333</v>
      </c>
      <c r="D7" t="s">
        <v>157</v>
      </c>
      <c r="F7" t="s">
        <v>42</v>
      </c>
      <c r="G7" t="s">
        <v>52</v>
      </c>
      <c r="H7" t="s">
        <v>60</v>
      </c>
      <c r="I7" t="s">
        <v>105</v>
      </c>
      <c r="K7" t="s">
        <v>1096</v>
      </c>
      <c r="L7" t="s">
        <v>113</v>
      </c>
      <c r="M7" t="s">
        <v>235</v>
      </c>
      <c r="O7" t="s">
        <v>1127</v>
      </c>
      <c r="P7" t="s">
        <v>294</v>
      </c>
      <c r="Q7" s="5" t="s">
        <v>1550</v>
      </c>
      <c r="U7" t="s">
        <v>1160</v>
      </c>
      <c r="W7" t="s">
        <v>255</v>
      </c>
      <c r="X7" t="s">
        <v>1296</v>
      </c>
    </row>
    <row r="8" spans="1:24" x14ac:dyDescent="0.25">
      <c r="C8" s="5" t="s">
        <v>1423</v>
      </c>
      <c r="D8" t="s">
        <v>158</v>
      </c>
      <c r="F8" t="s">
        <v>30</v>
      </c>
      <c r="G8" t="s">
        <v>53</v>
      </c>
      <c r="H8" t="s">
        <v>61</v>
      </c>
      <c r="I8" t="s">
        <v>106</v>
      </c>
      <c r="K8" t="s">
        <v>1097</v>
      </c>
      <c r="L8" t="s">
        <v>206</v>
      </c>
      <c r="M8" t="s">
        <v>236</v>
      </c>
      <c r="O8" t="s">
        <v>1128</v>
      </c>
      <c r="P8" t="s">
        <v>295</v>
      </c>
      <c r="Q8" s="5" t="s">
        <v>1551</v>
      </c>
      <c r="U8" t="s">
        <v>1161</v>
      </c>
      <c r="W8" t="s">
        <v>256</v>
      </c>
      <c r="X8" t="s">
        <v>1297</v>
      </c>
    </row>
    <row r="9" spans="1:24" x14ac:dyDescent="0.25">
      <c r="C9" s="5" t="s">
        <v>1415</v>
      </c>
      <c r="D9" t="s">
        <v>153</v>
      </c>
      <c r="F9" t="s">
        <v>31</v>
      </c>
      <c r="G9" t="s">
        <v>54</v>
      </c>
      <c r="H9" t="s">
        <v>62</v>
      </c>
      <c r="I9" t="s">
        <v>107</v>
      </c>
      <c r="K9" t="s">
        <v>1098</v>
      </c>
      <c r="L9" t="s">
        <v>207</v>
      </c>
      <c r="M9" t="s">
        <v>1119</v>
      </c>
      <c r="O9" t="s">
        <v>1129</v>
      </c>
      <c r="P9" t="s">
        <v>296</v>
      </c>
      <c r="Q9" s="5" t="s">
        <v>1552</v>
      </c>
      <c r="U9" t="s">
        <v>1162</v>
      </c>
      <c r="W9" t="s">
        <v>257</v>
      </c>
      <c r="X9" t="s">
        <v>8</v>
      </c>
    </row>
    <row r="10" spans="1:24" x14ac:dyDescent="0.25">
      <c r="C10" s="5" t="s">
        <v>1359</v>
      </c>
      <c r="D10" t="s">
        <v>159</v>
      </c>
      <c r="F10" t="s">
        <v>32</v>
      </c>
      <c r="H10" t="s">
        <v>63</v>
      </c>
      <c r="I10" t="s">
        <v>108</v>
      </c>
      <c r="K10" t="s">
        <v>1099</v>
      </c>
      <c r="L10" t="s">
        <v>208</v>
      </c>
      <c r="M10" t="s">
        <v>1120</v>
      </c>
      <c r="O10" t="s">
        <v>1130</v>
      </c>
      <c r="P10" t="s">
        <v>297</v>
      </c>
      <c r="Q10" s="5" t="s">
        <v>1553</v>
      </c>
      <c r="U10" t="s">
        <v>1163</v>
      </c>
      <c r="W10" t="s">
        <v>258</v>
      </c>
      <c r="X10" t="s">
        <v>9</v>
      </c>
    </row>
    <row r="11" spans="1:24" x14ac:dyDescent="0.25">
      <c r="C11" s="5" t="s">
        <v>1424</v>
      </c>
      <c r="D11" t="s">
        <v>160</v>
      </c>
      <c r="F11" t="s">
        <v>33</v>
      </c>
      <c r="H11" t="s">
        <v>64</v>
      </c>
      <c r="I11" t="s">
        <v>109</v>
      </c>
      <c r="K11" t="s">
        <v>1100</v>
      </c>
      <c r="L11" t="s">
        <v>13</v>
      </c>
      <c r="M11" t="s">
        <v>237</v>
      </c>
      <c r="O11" t="s">
        <v>1131</v>
      </c>
      <c r="P11" t="s">
        <v>298</v>
      </c>
      <c r="Q11" s="5" t="s">
        <v>1554</v>
      </c>
      <c r="U11" t="s">
        <v>1164</v>
      </c>
      <c r="W11" t="s">
        <v>259</v>
      </c>
      <c r="X11" t="s">
        <v>10</v>
      </c>
    </row>
    <row r="12" spans="1:24" x14ac:dyDescent="0.25">
      <c r="C12" s="5" t="s">
        <v>1379</v>
      </c>
      <c r="D12" t="s">
        <v>161</v>
      </c>
      <c r="F12" t="s">
        <v>38</v>
      </c>
      <c r="H12" t="s">
        <v>65</v>
      </c>
      <c r="I12" t="s">
        <v>110</v>
      </c>
      <c r="K12" t="s">
        <v>1101</v>
      </c>
      <c r="L12" t="s">
        <v>209</v>
      </c>
      <c r="M12" t="s">
        <v>1121</v>
      </c>
      <c r="O12" t="s">
        <v>1132</v>
      </c>
      <c r="P12" t="s">
        <v>299</v>
      </c>
      <c r="Q12" s="5" t="s">
        <v>1555</v>
      </c>
      <c r="U12" t="s">
        <v>1165</v>
      </c>
      <c r="W12" t="s">
        <v>260</v>
      </c>
      <c r="X12" t="s">
        <v>11</v>
      </c>
    </row>
    <row r="13" spans="1:24" x14ac:dyDescent="0.25">
      <c r="C13" s="5" t="s">
        <v>1281</v>
      </c>
      <c r="D13" t="s">
        <v>162</v>
      </c>
      <c r="F13" t="s">
        <v>41</v>
      </c>
      <c r="H13" t="s">
        <v>66</v>
      </c>
      <c r="I13" t="s">
        <v>111</v>
      </c>
      <c r="K13" t="s">
        <v>1102</v>
      </c>
      <c r="L13" t="s">
        <v>210</v>
      </c>
      <c r="O13" t="s">
        <v>1133</v>
      </c>
      <c r="P13" t="s">
        <v>300</v>
      </c>
      <c r="Q13" s="5" t="s">
        <v>1556</v>
      </c>
      <c r="U13" t="s">
        <v>1166</v>
      </c>
      <c r="W13" t="s">
        <v>261</v>
      </c>
      <c r="X13" t="s">
        <v>12</v>
      </c>
    </row>
    <row r="14" spans="1:24" x14ac:dyDescent="0.25">
      <c r="C14" s="5" t="s">
        <v>1144</v>
      </c>
      <c r="D14" t="s">
        <v>163</v>
      </c>
      <c r="F14" t="s">
        <v>35</v>
      </c>
      <c r="H14" t="s">
        <v>67</v>
      </c>
      <c r="I14" t="s">
        <v>112</v>
      </c>
      <c r="K14" t="s">
        <v>1103</v>
      </c>
      <c r="L14" t="s">
        <v>211</v>
      </c>
      <c r="O14" t="s">
        <v>1134</v>
      </c>
      <c r="P14" t="s">
        <v>301</v>
      </c>
      <c r="Q14" s="5" t="s">
        <v>1557</v>
      </c>
      <c r="U14" t="s">
        <v>1167</v>
      </c>
      <c r="W14" t="s">
        <v>262</v>
      </c>
      <c r="X14" t="s">
        <v>13</v>
      </c>
    </row>
    <row r="15" spans="1:24" x14ac:dyDescent="0.25">
      <c r="C15" s="5" t="s">
        <v>198</v>
      </c>
      <c r="D15" t="s">
        <v>164</v>
      </c>
      <c r="F15" t="s">
        <v>27</v>
      </c>
      <c r="H15" t="s">
        <v>68</v>
      </c>
      <c r="I15" t="s">
        <v>113</v>
      </c>
      <c r="K15" t="s">
        <v>1104</v>
      </c>
      <c r="L15" t="s">
        <v>212</v>
      </c>
      <c r="O15" t="s">
        <v>1135</v>
      </c>
      <c r="P15" t="s">
        <v>302</v>
      </c>
      <c r="Q15" s="5" t="s">
        <v>1558</v>
      </c>
      <c r="U15" t="s">
        <v>14</v>
      </c>
      <c r="W15" t="s">
        <v>263</v>
      </c>
      <c r="X15" t="s">
        <v>287</v>
      </c>
    </row>
    <row r="16" spans="1:24" x14ac:dyDescent="0.25">
      <c r="C16" s="5" t="s">
        <v>1365</v>
      </c>
      <c r="D16" t="s">
        <v>165</v>
      </c>
      <c r="F16" t="s">
        <v>40</v>
      </c>
      <c r="H16" t="s">
        <v>69</v>
      </c>
      <c r="I16" t="s">
        <v>114</v>
      </c>
      <c r="K16" t="s">
        <v>1105</v>
      </c>
      <c r="L16" t="s">
        <v>14</v>
      </c>
      <c r="O16" t="s">
        <v>7</v>
      </c>
      <c r="P16" t="s">
        <v>303</v>
      </c>
      <c r="Q16" s="5" t="s">
        <v>1559</v>
      </c>
      <c r="U16" t="s">
        <v>1168</v>
      </c>
      <c r="W16" t="s">
        <v>264</v>
      </c>
    </row>
    <row r="17" spans="3:23" x14ac:dyDescent="0.25">
      <c r="C17" s="5" t="s">
        <v>1138</v>
      </c>
      <c r="D17" t="s">
        <v>150</v>
      </c>
      <c r="F17" t="s">
        <v>26</v>
      </c>
      <c r="H17" t="s">
        <v>70</v>
      </c>
      <c r="I17" t="s">
        <v>115</v>
      </c>
      <c r="K17" t="s">
        <v>1106</v>
      </c>
      <c r="O17" t="s">
        <v>8</v>
      </c>
      <c r="P17" t="s">
        <v>304</v>
      </c>
      <c r="Q17" s="5" t="s">
        <v>1560</v>
      </c>
      <c r="W17" t="s">
        <v>265</v>
      </c>
    </row>
    <row r="18" spans="3:23" x14ac:dyDescent="0.25">
      <c r="C18" s="5" t="s">
        <v>1137</v>
      </c>
      <c r="D18" t="s">
        <v>166</v>
      </c>
      <c r="F18" t="s">
        <v>44</v>
      </c>
      <c r="H18" t="s">
        <v>71</v>
      </c>
      <c r="I18" t="s">
        <v>116</v>
      </c>
      <c r="K18" t="s">
        <v>1107</v>
      </c>
      <c r="O18" t="s">
        <v>9</v>
      </c>
      <c r="P18" t="s">
        <v>305</v>
      </c>
      <c r="Q18" s="5" t="s">
        <v>1561</v>
      </c>
      <c r="W18" t="s">
        <v>266</v>
      </c>
    </row>
    <row r="19" spans="3:23" x14ac:dyDescent="0.25">
      <c r="C19" s="5" t="s">
        <v>201</v>
      </c>
      <c r="D19" t="s">
        <v>167</v>
      </c>
      <c r="F19" t="s">
        <v>36</v>
      </c>
      <c r="H19" t="s">
        <v>72</v>
      </c>
      <c r="I19" t="s">
        <v>117</v>
      </c>
      <c r="K19" t="s">
        <v>1108</v>
      </c>
      <c r="O19" t="s">
        <v>10</v>
      </c>
      <c r="P19" t="s">
        <v>306</v>
      </c>
      <c r="Q19" s="5" t="s">
        <v>1562</v>
      </c>
      <c r="W19" t="s">
        <v>267</v>
      </c>
    </row>
    <row r="20" spans="3:23" x14ac:dyDescent="0.25">
      <c r="C20" s="5" t="s">
        <v>1380</v>
      </c>
      <c r="D20" t="s">
        <v>168</v>
      </c>
      <c r="F20" t="s">
        <v>28</v>
      </c>
      <c r="H20" t="s">
        <v>73</v>
      </c>
      <c r="I20" t="s">
        <v>118</v>
      </c>
      <c r="K20" t="s">
        <v>1109</v>
      </c>
      <c r="O20" t="s">
        <v>11</v>
      </c>
      <c r="P20" t="s">
        <v>307</v>
      </c>
      <c r="Q20" s="5" t="s">
        <v>1563</v>
      </c>
      <c r="W20" t="s">
        <v>268</v>
      </c>
    </row>
    <row r="21" spans="3:23" x14ac:dyDescent="0.25">
      <c r="C21" s="5" t="s">
        <v>1433</v>
      </c>
      <c r="D21" t="s">
        <v>149</v>
      </c>
      <c r="F21" t="s">
        <v>37</v>
      </c>
      <c r="H21" t="s">
        <v>74</v>
      </c>
      <c r="I21" t="s">
        <v>119</v>
      </c>
      <c r="K21" t="s">
        <v>1110</v>
      </c>
      <c r="O21" t="s">
        <v>12</v>
      </c>
      <c r="P21" t="s">
        <v>308</v>
      </c>
      <c r="Q21" s="5" t="s">
        <v>1564</v>
      </c>
      <c r="W21" t="s">
        <v>269</v>
      </c>
    </row>
    <row r="22" spans="3:23" x14ac:dyDescent="0.25">
      <c r="C22" s="5" t="s">
        <v>1364</v>
      </c>
      <c r="D22" t="s">
        <v>148</v>
      </c>
      <c r="F22" t="s">
        <v>46</v>
      </c>
      <c r="H22" t="s">
        <v>75</v>
      </c>
      <c r="I22" t="s">
        <v>120</v>
      </c>
      <c r="K22" t="s">
        <v>183</v>
      </c>
      <c r="O22" t="s">
        <v>13</v>
      </c>
      <c r="P22" t="s">
        <v>309</v>
      </c>
      <c r="Q22" s="5" t="s">
        <v>1565</v>
      </c>
      <c r="W22" t="s">
        <v>270</v>
      </c>
    </row>
    <row r="23" spans="3:23" x14ac:dyDescent="0.25">
      <c r="C23" s="5" t="s">
        <v>1331</v>
      </c>
      <c r="D23" t="s">
        <v>169</v>
      </c>
      <c r="F23" t="s">
        <v>45</v>
      </c>
      <c r="H23" t="s">
        <v>76</v>
      </c>
      <c r="I23" t="s">
        <v>121</v>
      </c>
      <c r="K23" t="s">
        <v>184</v>
      </c>
      <c r="O23" t="s">
        <v>14</v>
      </c>
      <c r="P23" t="s">
        <v>310</v>
      </c>
      <c r="Q23" s="5" t="s">
        <v>1566</v>
      </c>
      <c r="W23" t="s">
        <v>271</v>
      </c>
    </row>
    <row r="24" spans="3:23" x14ac:dyDescent="0.25">
      <c r="C24" s="5" t="s">
        <v>1304</v>
      </c>
      <c r="D24" t="s">
        <v>170</v>
      </c>
      <c r="H24" t="s">
        <v>77</v>
      </c>
      <c r="I24" t="s">
        <v>122</v>
      </c>
      <c r="K24" t="s">
        <v>1111</v>
      </c>
      <c r="O24" t="s">
        <v>287</v>
      </c>
      <c r="P24" t="s">
        <v>311</v>
      </c>
      <c r="Q24" s="5" t="s">
        <v>1567</v>
      </c>
      <c r="W24" t="s">
        <v>272</v>
      </c>
    </row>
    <row r="25" spans="3:23" x14ac:dyDescent="0.25">
      <c r="C25" s="5" t="s">
        <v>1301</v>
      </c>
      <c r="D25" t="s">
        <v>171</v>
      </c>
      <c r="H25" t="s">
        <v>78</v>
      </c>
      <c r="I25" t="s">
        <v>1093</v>
      </c>
      <c r="K25" t="s">
        <v>1112</v>
      </c>
      <c r="P25" t="s">
        <v>312</v>
      </c>
      <c r="Q25" s="5" t="s">
        <v>1568</v>
      </c>
    </row>
    <row r="26" spans="3:23" x14ac:dyDescent="0.25">
      <c r="C26" s="5" t="s">
        <v>1330</v>
      </c>
      <c r="D26" t="s">
        <v>147</v>
      </c>
      <c r="H26" t="s">
        <v>79</v>
      </c>
      <c r="I26" t="s">
        <v>123</v>
      </c>
      <c r="K26" t="s">
        <v>1113</v>
      </c>
      <c r="P26" t="s">
        <v>313</v>
      </c>
      <c r="Q26" s="5" t="s">
        <v>1569</v>
      </c>
    </row>
    <row r="27" spans="3:23" x14ac:dyDescent="0.25">
      <c r="C27" s="5" t="s">
        <v>196</v>
      </c>
      <c r="D27" t="s">
        <v>151</v>
      </c>
      <c r="H27" t="s">
        <v>80</v>
      </c>
      <c r="I27" t="s">
        <v>124</v>
      </c>
      <c r="K27" t="s">
        <v>185</v>
      </c>
      <c r="P27" t="s">
        <v>314</v>
      </c>
      <c r="Q27" s="5" t="s">
        <v>1570</v>
      </c>
    </row>
    <row r="28" spans="3:23" x14ac:dyDescent="0.25">
      <c r="C28" s="5" t="s">
        <v>1305</v>
      </c>
      <c r="H28" t="s">
        <v>81</v>
      </c>
      <c r="K28" t="s">
        <v>1114</v>
      </c>
      <c r="P28" t="s">
        <v>315</v>
      </c>
      <c r="Q28" s="5" t="s">
        <v>1571</v>
      </c>
    </row>
    <row r="29" spans="3:23" x14ac:dyDescent="0.25">
      <c r="C29" s="5" t="s">
        <v>1298</v>
      </c>
      <c r="H29" t="s">
        <v>82</v>
      </c>
      <c r="P29" t="s">
        <v>316</v>
      </c>
      <c r="Q29" s="5" t="s">
        <v>1572</v>
      </c>
    </row>
    <row r="30" spans="3:23" x14ac:dyDescent="0.25">
      <c r="C30" s="5" t="s">
        <v>1279</v>
      </c>
      <c r="H30" t="s">
        <v>83</v>
      </c>
      <c r="P30" t="s">
        <v>317</v>
      </c>
      <c r="Q30" s="5" t="s">
        <v>1573</v>
      </c>
    </row>
    <row r="31" spans="3:23" x14ac:dyDescent="0.25">
      <c r="C31" s="5" t="s">
        <v>1280</v>
      </c>
      <c r="H31" t="s">
        <v>84</v>
      </c>
      <c r="P31" t="s">
        <v>318</v>
      </c>
      <c r="Q31" s="5" t="s">
        <v>1574</v>
      </c>
    </row>
    <row r="32" spans="3:23" x14ac:dyDescent="0.25">
      <c r="C32" s="5" t="s">
        <v>1352</v>
      </c>
      <c r="H32" t="s">
        <v>85</v>
      </c>
      <c r="P32" t="s">
        <v>319</v>
      </c>
      <c r="Q32" s="5" t="s">
        <v>1575</v>
      </c>
    </row>
    <row r="33" spans="3:17" x14ac:dyDescent="0.25">
      <c r="C33" s="5" t="s">
        <v>1336</v>
      </c>
      <c r="H33" t="s">
        <v>86</v>
      </c>
      <c r="P33" t="s">
        <v>320</v>
      </c>
      <c r="Q33" s="5" t="s">
        <v>1576</v>
      </c>
    </row>
    <row r="34" spans="3:17" x14ac:dyDescent="0.25">
      <c r="C34" s="5" t="s">
        <v>1353</v>
      </c>
      <c r="H34" t="s">
        <v>87</v>
      </c>
      <c r="P34" t="s">
        <v>321</v>
      </c>
      <c r="Q34" s="5" t="s">
        <v>1577</v>
      </c>
    </row>
    <row r="35" spans="3:17" x14ac:dyDescent="0.25">
      <c r="C35" s="5"/>
      <c r="H35" t="s">
        <v>88</v>
      </c>
      <c r="P35" t="s">
        <v>322</v>
      </c>
      <c r="Q35" s="5" t="s">
        <v>1578</v>
      </c>
    </row>
    <row r="36" spans="3:17" x14ac:dyDescent="0.25">
      <c r="C36" s="5"/>
      <c r="H36" t="s">
        <v>89</v>
      </c>
      <c r="P36" t="s">
        <v>323</v>
      </c>
      <c r="Q36" s="5" t="s">
        <v>1579</v>
      </c>
    </row>
    <row r="37" spans="3:17" x14ac:dyDescent="0.25">
      <c r="C37" s="5"/>
      <c r="H37" t="s">
        <v>90</v>
      </c>
      <c r="P37" t="s">
        <v>324</v>
      </c>
      <c r="Q37" s="5" t="s">
        <v>1580</v>
      </c>
    </row>
    <row r="38" spans="3:17" x14ac:dyDescent="0.25">
      <c r="C38" s="5"/>
      <c r="H38" t="s">
        <v>91</v>
      </c>
      <c r="P38" t="s">
        <v>325</v>
      </c>
      <c r="Q38" s="5" t="s">
        <v>1581</v>
      </c>
    </row>
    <row r="39" spans="3:17" x14ac:dyDescent="0.25">
      <c r="C39" s="5"/>
      <c r="H39" t="s">
        <v>92</v>
      </c>
      <c r="P39" t="s">
        <v>326</v>
      </c>
      <c r="Q39" s="5" t="s">
        <v>1582</v>
      </c>
    </row>
    <row r="40" spans="3:17" x14ac:dyDescent="0.25">
      <c r="C40" s="5"/>
      <c r="H40" t="s">
        <v>93</v>
      </c>
      <c r="P40" t="s">
        <v>327</v>
      </c>
      <c r="Q40" s="5" t="s">
        <v>1583</v>
      </c>
    </row>
    <row r="41" spans="3:17" x14ac:dyDescent="0.25">
      <c r="C41" s="5"/>
      <c r="H41" t="s">
        <v>94</v>
      </c>
      <c r="P41" t="s">
        <v>328</v>
      </c>
      <c r="Q41" s="5" t="s">
        <v>1584</v>
      </c>
    </row>
    <row r="42" spans="3:17" x14ac:dyDescent="0.25">
      <c r="C42" s="5"/>
      <c r="H42" t="s">
        <v>14</v>
      </c>
      <c r="P42" t="s">
        <v>329</v>
      </c>
      <c r="Q42" s="5" t="s">
        <v>1585</v>
      </c>
    </row>
    <row r="43" spans="3:17" x14ac:dyDescent="0.25">
      <c r="C43" s="5"/>
      <c r="H43" t="s">
        <v>95</v>
      </c>
      <c r="P43" t="s">
        <v>330</v>
      </c>
      <c r="Q43" s="5" t="s">
        <v>1586</v>
      </c>
    </row>
    <row r="44" spans="3:17" x14ac:dyDescent="0.25">
      <c r="C44" s="5"/>
      <c r="H44" t="s">
        <v>96</v>
      </c>
      <c r="P44" t="s">
        <v>331</v>
      </c>
      <c r="Q44" s="5" t="s">
        <v>1587</v>
      </c>
    </row>
    <row r="45" spans="3:17" x14ac:dyDescent="0.25">
      <c r="C45" s="5"/>
      <c r="H45" t="s">
        <v>97</v>
      </c>
      <c r="P45" t="s">
        <v>332</v>
      </c>
      <c r="Q45" s="5" t="s">
        <v>1588</v>
      </c>
    </row>
    <row r="46" spans="3:17" x14ac:dyDescent="0.25">
      <c r="C46" s="5"/>
      <c r="H46" t="s">
        <v>98</v>
      </c>
      <c r="P46" t="s">
        <v>333</v>
      </c>
      <c r="Q46" s="5" t="s">
        <v>1589</v>
      </c>
    </row>
    <row r="47" spans="3:17" x14ac:dyDescent="0.25">
      <c r="C47" s="5"/>
      <c r="H47" t="s">
        <v>99</v>
      </c>
      <c r="P47" t="s">
        <v>334</v>
      </c>
      <c r="Q47" s="5" t="s">
        <v>1590</v>
      </c>
    </row>
    <row r="48" spans="3:17" x14ac:dyDescent="0.25">
      <c r="C48" s="5"/>
      <c r="H48" t="s">
        <v>100</v>
      </c>
      <c r="P48" t="s">
        <v>335</v>
      </c>
      <c r="Q48" s="5" t="s">
        <v>1591</v>
      </c>
    </row>
    <row r="49" spans="3:17" x14ac:dyDescent="0.25">
      <c r="C49" s="5"/>
      <c r="H49" t="s">
        <v>101</v>
      </c>
      <c r="P49" t="s">
        <v>336</v>
      </c>
      <c r="Q49" s="5" t="s">
        <v>1592</v>
      </c>
    </row>
    <row r="50" spans="3:17" x14ac:dyDescent="0.25">
      <c r="C50" s="5"/>
      <c r="H50" t="s">
        <v>102</v>
      </c>
      <c r="P50" t="s">
        <v>337</v>
      </c>
      <c r="Q50" s="5" t="s">
        <v>1593</v>
      </c>
    </row>
    <row r="51" spans="3:17" x14ac:dyDescent="0.25">
      <c r="C51" s="5"/>
      <c r="H51" t="s">
        <v>103</v>
      </c>
      <c r="P51" t="s">
        <v>338</v>
      </c>
      <c r="Q51" s="5" t="s">
        <v>1594</v>
      </c>
    </row>
    <row r="52" spans="3:17" x14ac:dyDescent="0.25">
      <c r="C52" s="5"/>
      <c r="P52" t="s">
        <v>339</v>
      </c>
      <c r="Q52" s="5" t="s">
        <v>1595</v>
      </c>
    </row>
    <row r="53" spans="3:17" x14ac:dyDescent="0.25">
      <c r="C53" s="5"/>
      <c r="P53" t="s">
        <v>340</v>
      </c>
      <c r="Q53" s="5" t="s">
        <v>1596</v>
      </c>
    </row>
    <row r="54" spans="3:17" x14ac:dyDescent="0.25">
      <c r="C54" s="5"/>
      <c r="P54" t="s">
        <v>341</v>
      </c>
      <c r="Q54" s="5" t="s">
        <v>1597</v>
      </c>
    </row>
    <row r="55" spans="3:17" x14ac:dyDescent="0.25">
      <c r="C55" s="5"/>
      <c r="P55" t="s">
        <v>342</v>
      </c>
      <c r="Q55" s="5" t="s">
        <v>1598</v>
      </c>
    </row>
    <row r="56" spans="3:17" x14ac:dyDescent="0.25">
      <c r="C56" s="5"/>
      <c r="P56" t="s">
        <v>343</v>
      </c>
      <c r="Q56" s="5" t="s">
        <v>1599</v>
      </c>
    </row>
    <row r="57" spans="3:17" x14ac:dyDescent="0.25">
      <c r="C57" s="5"/>
      <c r="P57" t="s">
        <v>344</v>
      </c>
      <c r="Q57" s="5" t="s">
        <v>1600</v>
      </c>
    </row>
    <row r="58" spans="3:17" x14ac:dyDescent="0.25">
      <c r="C58" s="5"/>
      <c r="P58" t="s">
        <v>345</v>
      </c>
      <c r="Q58" s="5" t="s">
        <v>1601</v>
      </c>
    </row>
    <row r="59" spans="3:17" x14ac:dyDescent="0.25">
      <c r="C59" s="5"/>
      <c r="P59" t="s">
        <v>346</v>
      </c>
      <c r="Q59" s="5" t="s">
        <v>1602</v>
      </c>
    </row>
    <row r="60" spans="3:17" x14ac:dyDescent="0.25">
      <c r="C60" s="5"/>
      <c r="P60" t="s">
        <v>347</v>
      </c>
      <c r="Q60" s="5" t="s">
        <v>1603</v>
      </c>
    </row>
    <row r="61" spans="3:17" x14ac:dyDescent="0.25">
      <c r="C61" s="5"/>
      <c r="P61" t="s">
        <v>348</v>
      </c>
      <c r="Q61" s="5" t="s">
        <v>1604</v>
      </c>
    </row>
    <row r="62" spans="3:17" x14ac:dyDescent="0.25">
      <c r="C62" s="5"/>
      <c r="P62" t="s">
        <v>349</v>
      </c>
      <c r="Q62" s="5" t="s">
        <v>1605</v>
      </c>
    </row>
    <row r="63" spans="3:17" x14ac:dyDescent="0.25">
      <c r="C63" s="5"/>
      <c r="P63" t="s">
        <v>350</v>
      </c>
      <c r="Q63" s="5" t="s">
        <v>1606</v>
      </c>
    </row>
    <row r="64" spans="3:17" x14ac:dyDescent="0.25">
      <c r="C64" s="5"/>
      <c r="P64" t="s">
        <v>351</v>
      </c>
      <c r="Q64" s="5" t="s">
        <v>1607</v>
      </c>
    </row>
    <row r="65" spans="3:17" x14ac:dyDescent="0.25">
      <c r="C65" s="5"/>
      <c r="P65" t="s">
        <v>352</v>
      </c>
      <c r="Q65" s="5" t="s">
        <v>1608</v>
      </c>
    </row>
    <row r="66" spans="3:17" x14ac:dyDescent="0.25">
      <c r="C66" s="5"/>
      <c r="P66" t="s">
        <v>353</v>
      </c>
      <c r="Q66" s="5" t="s">
        <v>1609</v>
      </c>
    </row>
    <row r="67" spans="3:17" x14ac:dyDescent="0.25">
      <c r="C67" s="5"/>
      <c r="P67" t="s">
        <v>354</v>
      </c>
      <c r="Q67" s="5" t="s">
        <v>1610</v>
      </c>
    </row>
    <row r="68" spans="3:17" x14ac:dyDescent="0.25">
      <c r="C68" s="5"/>
      <c r="P68" t="s">
        <v>355</v>
      </c>
      <c r="Q68" s="5" t="s">
        <v>1611</v>
      </c>
    </row>
    <row r="69" spans="3:17" x14ac:dyDescent="0.25">
      <c r="C69" s="5"/>
      <c r="P69" t="s">
        <v>356</v>
      </c>
      <c r="Q69" s="5" t="s">
        <v>1612</v>
      </c>
    </row>
    <row r="70" spans="3:17" x14ac:dyDescent="0.25">
      <c r="C70" s="5"/>
      <c r="P70" t="s">
        <v>357</v>
      </c>
      <c r="Q70" s="5" t="s">
        <v>1613</v>
      </c>
    </row>
    <row r="71" spans="3:17" x14ac:dyDescent="0.25">
      <c r="C71" s="5"/>
      <c r="P71" t="s">
        <v>358</v>
      </c>
      <c r="Q71" s="5" t="s">
        <v>1614</v>
      </c>
    </row>
    <row r="72" spans="3:17" x14ac:dyDescent="0.25">
      <c r="C72" s="5"/>
      <c r="P72" t="s">
        <v>359</v>
      </c>
      <c r="Q72" s="5" t="s">
        <v>1615</v>
      </c>
    </row>
    <row r="73" spans="3:17" x14ac:dyDescent="0.25">
      <c r="C73" s="5"/>
      <c r="P73" t="s">
        <v>360</v>
      </c>
      <c r="Q73" s="5" t="s">
        <v>1616</v>
      </c>
    </row>
    <row r="74" spans="3:17" x14ac:dyDescent="0.25">
      <c r="C74" s="5"/>
      <c r="P74" t="s">
        <v>361</v>
      </c>
      <c r="Q74" s="5" t="s">
        <v>1617</v>
      </c>
    </row>
    <row r="75" spans="3:17" x14ac:dyDescent="0.25">
      <c r="C75" s="5"/>
      <c r="P75" t="s">
        <v>362</v>
      </c>
      <c r="Q75" s="5" t="s">
        <v>1618</v>
      </c>
    </row>
    <row r="76" spans="3:17" x14ac:dyDescent="0.25">
      <c r="C76" s="5"/>
      <c r="P76" t="s">
        <v>363</v>
      </c>
      <c r="Q76" s="5" t="s">
        <v>1619</v>
      </c>
    </row>
    <row r="77" spans="3:17" x14ac:dyDescent="0.25">
      <c r="C77" s="5"/>
      <c r="P77" t="s">
        <v>364</v>
      </c>
      <c r="Q77" s="5" t="s">
        <v>1620</v>
      </c>
    </row>
    <row r="78" spans="3:17" x14ac:dyDescent="0.25">
      <c r="C78" s="5"/>
      <c r="P78" t="s">
        <v>365</v>
      </c>
      <c r="Q78" s="5" t="s">
        <v>1621</v>
      </c>
    </row>
    <row r="79" spans="3:17" x14ac:dyDescent="0.25">
      <c r="C79" s="5"/>
      <c r="P79" t="s">
        <v>366</v>
      </c>
      <c r="Q79" s="5" t="s">
        <v>1622</v>
      </c>
    </row>
    <row r="80" spans="3:17" x14ac:dyDescent="0.25">
      <c r="C80" s="5"/>
      <c r="P80" t="s">
        <v>367</v>
      </c>
      <c r="Q80" s="5" t="s">
        <v>1623</v>
      </c>
    </row>
    <row r="81" spans="3:17" x14ac:dyDescent="0.25">
      <c r="C81" s="5"/>
      <c r="P81" t="s">
        <v>368</v>
      </c>
      <c r="Q81" s="5" t="s">
        <v>1624</v>
      </c>
    </row>
    <row r="82" spans="3:17" x14ac:dyDescent="0.25">
      <c r="C82" s="5"/>
      <c r="P82" t="s">
        <v>369</v>
      </c>
      <c r="Q82" s="5" t="s">
        <v>1625</v>
      </c>
    </row>
    <row r="83" spans="3:17" x14ac:dyDescent="0.25">
      <c r="C83" s="5"/>
      <c r="P83" t="s">
        <v>370</v>
      </c>
      <c r="Q83" s="5" t="s">
        <v>1626</v>
      </c>
    </row>
    <row r="84" spans="3:17" x14ac:dyDescent="0.25">
      <c r="C84" s="5"/>
      <c r="P84" t="s">
        <v>371</v>
      </c>
      <c r="Q84" s="5" t="s">
        <v>1627</v>
      </c>
    </row>
    <row r="85" spans="3:17" x14ac:dyDescent="0.25">
      <c r="C85" s="5"/>
      <c r="P85" t="s">
        <v>372</v>
      </c>
      <c r="Q85" s="5" t="s">
        <v>1628</v>
      </c>
    </row>
    <row r="86" spans="3:17" x14ac:dyDescent="0.25">
      <c r="C86" s="5"/>
      <c r="P86" t="s">
        <v>373</v>
      </c>
      <c r="Q86" s="5" t="s">
        <v>1629</v>
      </c>
    </row>
    <row r="87" spans="3:17" x14ac:dyDescent="0.25">
      <c r="C87" s="5"/>
      <c r="P87" t="s">
        <v>374</v>
      </c>
      <c r="Q87" s="5" t="s">
        <v>1630</v>
      </c>
    </row>
    <row r="88" spans="3:17" x14ac:dyDescent="0.25">
      <c r="C88" s="5"/>
      <c r="P88" t="s">
        <v>375</v>
      </c>
      <c r="Q88" s="5" t="s">
        <v>1631</v>
      </c>
    </row>
    <row r="89" spans="3:17" x14ac:dyDescent="0.25">
      <c r="C89" s="5"/>
      <c r="P89" t="s">
        <v>376</v>
      </c>
      <c r="Q89" s="5" t="s">
        <v>1632</v>
      </c>
    </row>
    <row r="90" spans="3:17" x14ac:dyDescent="0.25">
      <c r="C90" s="5"/>
      <c r="P90" t="s">
        <v>377</v>
      </c>
      <c r="Q90" s="5" t="s">
        <v>1633</v>
      </c>
    </row>
    <row r="91" spans="3:17" x14ac:dyDescent="0.25">
      <c r="C91" s="5"/>
      <c r="P91" t="s">
        <v>378</v>
      </c>
      <c r="Q91" s="5" t="s">
        <v>1634</v>
      </c>
    </row>
    <row r="92" spans="3:17" x14ac:dyDescent="0.25">
      <c r="C92" s="5"/>
      <c r="P92" t="s">
        <v>379</v>
      </c>
      <c r="Q92" s="5" t="s">
        <v>1635</v>
      </c>
    </row>
    <row r="93" spans="3:17" x14ac:dyDescent="0.25">
      <c r="C93" s="5"/>
      <c r="P93" t="s">
        <v>380</v>
      </c>
      <c r="Q93" s="5" t="s">
        <v>1636</v>
      </c>
    </row>
    <row r="94" spans="3:17" x14ac:dyDescent="0.25">
      <c r="C94" s="5"/>
      <c r="P94" t="s">
        <v>381</v>
      </c>
      <c r="Q94" s="5" t="s">
        <v>1637</v>
      </c>
    </row>
    <row r="95" spans="3:17" x14ac:dyDescent="0.25">
      <c r="C95" s="5"/>
      <c r="P95" t="s">
        <v>382</v>
      </c>
      <c r="Q95" s="5" t="s">
        <v>1638</v>
      </c>
    </row>
    <row r="96" spans="3:17" x14ac:dyDescent="0.25">
      <c r="C96" s="5"/>
      <c r="P96" t="s">
        <v>383</v>
      </c>
      <c r="Q96" s="5" t="s">
        <v>1639</v>
      </c>
    </row>
    <row r="97" spans="3:17" x14ac:dyDescent="0.25">
      <c r="C97" s="5"/>
      <c r="P97" t="s">
        <v>384</v>
      </c>
      <c r="Q97" s="5" t="s">
        <v>1640</v>
      </c>
    </row>
    <row r="98" spans="3:17" x14ac:dyDescent="0.25">
      <c r="C98" s="5"/>
      <c r="P98" t="s">
        <v>385</v>
      </c>
      <c r="Q98" s="5" t="s">
        <v>1641</v>
      </c>
    </row>
    <row r="99" spans="3:17" x14ac:dyDescent="0.25">
      <c r="C99" s="5"/>
      <c r="P99" t="s">
        <v>386</v>
      </c>
      <c r="Q99" s="5" t="s">
        <v>1642</v>
      </c>
    </row>
    <row r="100" spans="3:17" x14ac:dyDescent="0.25">
      <c r="C100" s="5"/>
      <c r="P100" t="s">
        <v>387</v>
      </c>
      <c r="Q100" s="5" t="s">
        <v>1643</v>
      </c>
    </row>
    <row r="101" spans="3:17" x14ac:dyDescent="0.25">
      <c r="C101" s="5"/>
      <c r="P101" t="s">
        <v>388</v>
      </c>
      <c r="Q101" s="5" t="s">
        <v>1644</v>
      </c>
    </row>
    <row r="102" spans="3:17" x14ac:dyDescent="0.25">
      <c r="C102" s="5"/>
      <c r="P102" t="s">
        <v>389</v>
      </c>
      <c r="Q102" s="5" t="s">
        <v>1645</v>
      </c>
    </row>
    <row r="103" spans="3:17" x14ac:dyDescent="0.25">
      <c r="C103" s="5"/>
      <c r="P103" t="s">
        <v>390</v>
      </c>
      <c r="Q103" s="5" t="s">
        <v>1646</v>
      </c>
    </row>
    <row r="104" spans="3:17" x14ac:dyDescent="0.25">
      <c r="C104" s="5"/>
      <c r="P104" t="s">
        <v>391</v>
      </c>
      <c r="Q104" s="5" t="s">
        <v>1647</v>
      </c>
    </row>
    <row r="105" spans="3:17" x14ac:dyDescent="0.25">
      <c r="C105" s="5"/>
      <c r="P105" t="s">
        <v>392</v>
      </c>
      <c r="Q105" s="5" t="s">
        <v>1648</v>
      </c>
    </row>
    <row r="106" spans="3:17" x14ac:dyDescent="0.25">
      <c r="C106" s="5"/>
      <c r="P106" t="s">
        <v>393</v>
      </c>
      <c r="Q106" s="5" t="s">
        <v>1649</v>
      </c>
    </row>
    <row r="107" spans="3:17" x14ac:dyDescent="0.25">
      <c r="C107" s="5"/>
      <c r="P107" t="s">
        <v>394</v>
      </c>
      <c r="Q107" s="5" t="s">
        <v>1650</v>
      </c>
    </row>
    <row r="108" spans="3:17" x14ac:dyDescent="0.25">
      <c r="C108" s="5"/>
      <c r="P108" t="s">
        <v>395</v>
      </c>
      <c r="Q108" s="5" t="s">
        <v>1651</v>
      </c>
    </row>
    <row r="109" spans="3:17" x14ac:dyDescent="0.25">
      <c r="C109" s="5"/>
      <c r="P109" t="s">
        <v>396</v>
      </c>
      <c r="Q109" s="5" t="s">
        <v>1652</v>
      </c>
    </row>
    <row r="110" spans="3:17" x14ac:dyDescent="0.25">
      <c r="C110" s="5"/>
      <c r="P110" t="s">
        <v>397</v>
      </c>
      <c r="Q110" s="5" t="s">
        <v>1653</v>
      </c>
    </row>
    <row r="111" spans="3:17" x14ac:dyDescent="0.25">
      <c r="C111" s="5"/>
      <c r="P111" t="s">
        <v>398</v>
      </c>
      <c r="Q111" s="5" t="s">
        <v>1654</v>
      </c>
    </row>
    <row r="112" spans="3:17" x14ac:dyDescent="0.25">
      <c r="C112" s="5"/>
      <c r="P112" t="s">
        <v>399</v>
      </c>
      <c r="Q112" s="5" t="s">
        <v>1655</v>
      </c>
    </row>
    <row r="113" spans="3:17" x14ac:dyDescent="0.25">
      <c r="C113" s="5"/>
      <c r="P113" t="s">
        <v>400</v>
      </c>
      <c r="Q113" s="5" t="s">
        <v>1656</v>
      </c>
    </row>
    <row r="114" spans="3:17" x14ac:dyDescent="0.25">
      <c r="C114" s="5"/>
      <c r="P114" t="s">
        <v>401</v>
      </c>
      <c r="Q114" s="5" t="s">
        <v>1657</v>
      </c>
    </row>
    <row r="115" spans="3:17" x14ac:dyDescent="0.25">
      <c r="C115" s="5"/>
      <c r="P115" t="s">
        <v>402</v>
      </c>
      <c r="Q115" s="5" t="s">
        <v>1658</v>
      </c>
    </row>
    <row r="116" spans="3:17" x14ac:dyDescent="0.25">
      <c r="C116" s="5"/>
      <c r="P116" t="s">
        <v>403</v>
      </c>
      <c r="Q116" s="5" t="s">
        <v>1659</v>
      </c>
    </row>
    <row r="117" spans="3:17" x14ac:dyDescent="0.25">
      <c r="C117" s="5"/>
      <c r="P117" t="s">
        <v>404</v>
      </c>
      <c r="Q117" s="5" t="s">
        <v>1660</v>
      </c>
    </row>
    <row r="118" spans="3:17" x14ac:dyDescent="0.25">
      <c r="C118" s="5"/>
      <c r="P118" t="s">
        <v>405</v>
      </c>
      <c r="Q118" s="5" t="s">
        <v>1661</v>
      </c>
    </row>
    <row r="119" spans="3:17" x14ac:dyDescent="0.25">
      <c r="C119" s="5"/>
      <c r="P119" t="s">
        <v>406</v>
      </c>
      <c r="Q119" s="5" t="s">
        <v>1662</v>
      </c>
    </row>
    <row r="120" spans="3:17" x14ac:dyDescent="0.25">
      <c r="C120" s="5"/>
      <c r="P120" t="s">
        <v>407</v>
      </c>
      <c r="Q120" s="5" t="s">
        <v>1663</v>
      </c>
    </row>
    <row r="121" spans="3:17" x14ac:dyDescent="0.25">
      <c r="C121" s="5"/>
      <c r="P121" t="s">
        <v>408</v>
      </c>
      <c r="Q121" s="5" t="s">
        <v>1664</v>
      </c>
    </row>
    <row r="122" spans="3:17" x14ac:dyDescent="0.25">
      <c r="C122" s="5"/>
      <c r="P122" t="s">
        <v>409</v>
      </c>
      <c r="Q122" s="5" t="s">
        <v>1665</v>
      </c>
    </row>
    <row r="123" spans="3:17" x14ac:dyDescent="0.25">
      <c r="C123" s="5"/>
      <c r="P123" t="s">
        <v>410</v>
      </c>
      <c r="Q123" s="5" t="s">
        <v>1666</v>
      </c>
    </row>
    <row r="124" spans="3:17" x14ac:dyDescent="0.25">
      <c r="C124" s="5"/>
      <c r="P124" t="s">
        <v>411</v>
      </c>
      <c r="Q124" s="5" t="s">
        <v>1667</v>
      </c>
    </row>
    <row r="125" spans="3:17" x14ac:dyDescent="0.25">
      <c r="C125" s="5"/>
      <c r="P125" t="s">
        <v>412</v>
      </c>
      <c r="Q125" s="5" t="s">
        <v>1668</v>
      </c>
    </row>
    <row r="126" spans="3:17" x14ac:dyDescent="0.25">
      <c r="C126" s="5"/>
      <c r="P126" t="s">
        <v>413</v>
      </c>
      <c r="Q126" s="5" t="s">
        <v>832</v>
      </c>
    </row>
    <row r="127" spans="3:17" x14ac:dyDescent="0.25">
      <c r="C127" s="5"/>
      <c r="P127" t="s">
        <v>414</v>
      </c>
      <c r="Q127" s="5" t="s">
        <v>1669</v>
      </c>
    </row>
    <row r="128" spans="3:17" x14ac:dyDescent="0.25">
      <c r="C128" s="5"/>
      <c r="P128" t="s">
        <v>415</v>
      </c>
      <c r="Q128" s="5" t="s">
        <v>1670</v>
      </c>
    </row>
    <row r="129" spans="3:17" x14ac:dyDescent="0.25">
      <c r="C129" s="5"/>
      <c r="P129" t="s">
        <v>416</v>
      </c>
      <c r="Q129" s="5" t="s">
        <v>1671</v>
      </c>
    </row>
    <row r="130" spans="3:17" x14ac:dyDescent="0.25">
      <c r="C130" s="5"/>
      <c r="P130" t="s">
        <v>417</v>
      </c>
      <c r="Q130" s="5" t="s">
        <v>1672</v>
      </c>
    </row>
    <row r="131" spans="3:17" x14ac:dyDescent="0.25">
      <c r="C131" s="5"/>
      <c r="P131" t="s">
        <v>418</v>
      </c>
      <c r="Q131" s="5" t="s">
        <v>1673</v>
      </c>
    </row>
    <row r="132" spans="3:17" x14ac:dyDescent="0.25">
      <c r="C132" s="5"/>
      <c r="P132" t="s">
        <v>419</v>
      </c>
      <c r="Q132" s="5" t="s">
        <v>1674</v>
      </c>
    </row>
    <row r="133" spans="3:17" x14ac:dyDescent="0.25">
      <c r="C133" s="5"/>
      <c r="P133" t="s">
        <v>420</v>
      </c>
      <c r="Q133" s="5" t="s">
        <v>1675</v>
      </c>
    </row>
    <row r="134" spans="3:17" x14ac:dyDescent="0.25">
      <c r="C134" s="5"/>
      <c r="P134" t="s">
        <v>421</v>
      </c>
      <c r="Q134" s="5" t="s">
        <v>1676</v>
      </c>
    </row>
    <row r="135" spans="3:17" x14ac:dyDescent="0.25">
      <c r="C135" s="5"/>
      <c r="P135" t="s">
        <v>422</v>
      </c>
      <c r="Q135" s="5" t="s">
        <v>1677</v>
      </c>
    </row>
    <row r="136" spans="3:17" x14ac:dyDescent="0.25">
      <c r="C136" s="5"/>
      <c r="P136" t="s">
        <v>423</v>
      </c>
      <c r="Q136" s="5" t="s">
        <v>1678</v>
      </c>
    </row>
    <row r="137" spans="3:17" x14ac:dyDescent="0.25">
      <c r="C137" s="5"/>
      <c r="P137" t="s">
        <v>424</v>
      </c>
      <c r="Q137" s="5" t="s">
        <v>1679</v>
      </c>
    </row>
    <row r="138" spans="3:17" x14ac:dyDescent="0.25">
      <c r="C138" s="5"/>
      <c r="P138" t="s">
        <v>425</v>
      </c>
      <c r="Q138" s="5" t="s">
        <v>1680</v>
      </c>
    </row>
    <row r="139" spans="3:17" x14ac:dyDescent="0.25">
      <c r="C139" s="5"/>
      <c r="P139" t="s">
        <v>426</v>
      </c>
      <c r="Q139" s="5" t="s">
        <v>1681</v>
      </c>
    </row>
    <row r="140" spans="3:17" x14ac:dyDescent="0.25">
      <c r="C140" s="5"/>
      <c r="P140" t="s">
        <v>427</v>
      </c>
      <c r="Q140" s="5" t="s">
        <v>1682</v>
      </c>
    </row>
    <row r="141" spans="3:17" x14ac:dyDescent="0.25">
      <c r="C141" s="5"/>
      <c r="P141" t="s">
        <v>428</v>
      </c>
      <c r="Q141" s="5" t="s">
        <v>1683</v>
      </c>
    </row>
    <row r="142" spans="3:17" x14ac:dyDescent="0.25">
      <c r="C142" s="5"/>
      <c r="P142" t="s">
        <v>429</v>
      </c>
      <c r="Q142" s="5" t="s">
        <v>1684</v>
      </c>
    </row>
    <row r="143" spans="3:17" x14ac:dyDescent="0.25">
      <c r="C143" s="5"/>
      <c r="P143" t="s">
        <v>430</v>
      </c>
      <c r="Q143" s="5" t="s">
        <v>14</v>
      </c>
    </row>
    <row r="144" spans="3:17" x14ac:dyDescent="0.25">
      <c r="C144" s="5"/>
      <c r="P144" t="s">
        <v>431</v>
      </c>
      <c r="Q144" s="5" t="s">
        <v>1685</v>
      </c>
    </row>
    <row r="145" spans="3:17" x14ac:dyDescent="0.25">
      <c r="C145" s="5"/>
      <c r="P145" t="s">
        <v>432</v>
      </c>
      <c r="Q145" s="5" t="s">
        <v>1686</v>
      </c>
    </row>
    <row r="146" spans="3:17" x14ac:dyDescent="0.25">
      <c r="C146" s="5"/>
      <c r="P146" t="s">
        <v>433</v>
      </c>
      <c r="Q146" s="5" t="s">
        <v>1687</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39" t="s">
        <v>1226</v>
      </c>
      <c r="B3" s="240"/>
      <c r="C3" s="240"/>
      <c r="D3" s="241"/>
    </row>
    <row r="4" spans="1:4" ht="15.75" thickBot="1" x14ac:dyDescent="0.3">
      <c r="A4" s="91" t="s">
        <v>1222</v>
      </c>
      <c r="B4" s="92" t="s">
        <v>1223</v>
      </c>
      <c r="C4" s="92" t="s">
        <v>1224</v>
      </c>
      <c r="D4" s="93" t="s">
        <v>1225</v>
      </c>
    </row>
    <row r="5" spans="1:4" ht="15.75" thickTop="1" x14ac:dyDescent="0.25">
      <c r="A5" s="100" t="s">
        <v>14</v>
      </c>
      <c r="B5" s="94" t="s">
        <v>14</v>
      </c>
      <c r="C5" s="95" t="s">
        <v>1236</v>
      </c>
      <c r="D5" s="101"/>
    </row>
    <row r="6" spans="1:4" ht="60" x14ac:dyDescent="0.25">
      <c r="A6" s="102" t="s">
        <v>1227</v>
      </c>
      <c r="B6" s="96" t="s">
        <v>128</v>
      </c>
      <c r="C6" s="97" t="s">
        <v>1228</v>
      </c>
      <c r="D6" s="103" t="s">
        <v>1229</v>
      </c>
    </row>
    <row r="7" spans="1:4" ht="60" x14ac:dyDescent="0.25">
      <c r="A7" s="102" t="s">
        <v>1230</v>
      </c>
      <c r="B7" s="96" t="s">
        <v>129</v>
      </c>
      <c r="C7" s="97" t="s">
        <v>1231</v>
      </c>
      <c r="D7" s="103" t="s">
        <v>1232</v>
      </c>
    </row>
    <row r="8" spans="1:4" ht="30.75" thickBot="1" x14ac:dyDescent="0.3">
      <c r="A8" s="104" t="s">
        <v>1233</v>
      </c>
      <c r="B8" s="105" t="s">
        <v>130</v>
      </c>
      <c r="C8" s="106" t="s">
        <v>1234</v>
      </c>
      <c r="D8" s="107"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0"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42" t="s">
        <v>1259</v>
      </c>
      <c r="B3" s="243"/>
      <c r="C3" s="243"/>
      <c r="D3" s="243"/>
      <c r="E3" s="244"/>
      <c r="F3"/>
    </row>
    <row r="4" spans="1:6" s="6" customFormat="1" ht="15.75" thickBot="1" x14ac:dyDescent="0.3">
      <c r="A4" s="74" t="s">
        <v>143</v>
      </c>
      <c r="B4" s="58" t="s">
        <v>144</v>
      </c>
      <c r="C4" s="58" t="s">
        <v>19</v>
      </c>
      <c r="D4" s="65" t="s">
        <v>145</v>
      </c>
      <c r="E4" s="66" t="s">
        <v>146</v>
      </c>
    </row>
    <row r="5" spans="1:6" s="6" customFormat="1" ht="75.75" thickTop="1" x14ac:dyDescent="0.25">
      <c r="A5" s="115" t="s">
        <v>158</v>
      </c>
      <c r="B5" s="18" t="s">
        <v>1240</v>
      </c>
      <c r="C5" s="18" t="s">
        <v>1240</v>
      </c>
      <c r="D5" s="44" t="s">
        <v>1252</v>
      </c>
      <c r="E5" s="116" t="s">
        <v>1241</v>
      </c>
    </row>
    <row r="6" spans="1:6" s="6" customFormat="1" ht="150" x14ac:dyDescent="0.25">
      <c r="A6" s="109" t="s">
        <v>158</v>
      </c>
      <c r="B6" s="10" t="s">
        <v>1253</v>
      </c>
      <c r="C6" s="10" t="s">
        <v>1254</v>
      </c>
      <c r="D6" s="11" t="s">
        <v>1255</v>
      </c>
      <c r="E6" s="110" t="s">
        <v>1256</v>
      </c>
    </row>
    <row r="7" spans="1:6" s="6" customFormat="1" ht="75.75" thickBot="1" x14ac:dyDescent="0.3">
      <c r="A7" s="111" t="s">
        <v>158</v>
      </c>
      <c r="B7" s="112" t="s">
        <v>1246</v>
      </c>
      <c r="C7" s="112" t="s">
        <v>1257</v>
      </c>
      <c r="D7" s="113" t="s">
        <v>1258</v>
      </c>
      <c r="E7" s="114"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45" t="s">
        <v>1251</v>
      </c>
      <c r="B16" s="246"/>
      <c r="C16" s="246"/>
      <c r="D16" s="246"/>
      <c r="E16" s="247"/>
    </row>
    <row r="17" spans="1:5" ht="15.75" thickBot="1" x14ac:dyDescent="0.3">
      <c r="A17" s="91" t="s">
        <v>1237</v>
      </c>
      <c r="B17" s="92" t="s">
        <v>1260</v>
      </c>
      <c r="C17" s="108" t="s">
        <v>1238</v>
      </c>
      <c r="D17" s="93" t="s">
        <v>1239</v>
      </c>
      <c r="E17" s="92" t="s">
        <v>1264</v>
      </c>
    </row>
    <row r="18" spans="1:5" ht="90.75" thickTop="1" x14ac:dyDescent="0.25">
      <c r="A18" s="117" t="s">
        <v>1240</v>
      </c>
      <c r="B18" s="94" t="s">
        <v>1240</v>
      </c>
      <c r="C18" s="95" t="s">
        <v>1242</v>
      </c>
      <c r="D18" s="119" t="s">
        <v>1241</v>
      </c>
      <c r="E18" s="124" t="s">
        <v>1241</v>
      </c>
    </row>
    <row r="19" spans="1:5" s="5" customFormat="1" ht="30" x14ac:dyDescent="0.25">
      <c r="A19" s="118" t="s">
        <v>1250</v>
      </c>
      <c r="B19" s="96" t="s">
        <v>1254</v>
      </c>
      <c r="C19" s="97" t="s">
        <v>1247</v>
      </c>
      <c r="D19" s="120" t="s">
        <v>1248</v>
      </c>
      <c r="E19" s="103"/>
    </row>
    <row r="20" spans="1:5" ht="90.75" thickBot="1" x14ac:dyDescent="0.3">
      <c r="A20" s="121" t="s">
        <v>1249</v>
      </c>
      <c r="B20" s="98" t="s">
        <v>1257</v>
      </c>
      <c r="C20" s="99" t="s">
        <v>1243</v>
      </c>
      <c r="D20" s="122" t="s">
        <v>1244</v>
      </c>
      <c r="E20" s="123"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2015-04-24T21:52:25Z</dcterms:modified>
</cp:coreProperties>
</file>