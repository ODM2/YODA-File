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activeTab="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E8" i="11" l="1"/>
  <c r="AE7" i="11"/>
  <c r="AD6" i="11"/>
  <c r="AD7" i="11"/>
  <c r="AD8" i="11"/>
  <c r="AD5" i="11"/>
  <c r="AD4" i="11"/>
  <c r="B5" i="11" l="1"/>
  <c r="L3" i="11"/>
  <c r="J3" i="11"/>
  <c r="V4" i="11"/>
  <c r="H4" i="7" l="1"/>
  <c r="D2" i="11" s="1"/>
  <c r="I24" i="7"/>
  <c r="I25" i="7"/>
  <c r="I27" i="7"/>
  <c r="I28" i="7"/>
  <c r="I29" i="7"/>
  <c r="I30" i="7"/>
  <c r="I31" i="7"/>
  <c r="I32" i="7"/>
  <c r="I33" i="7"/>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H5" i="7"/>
  <c r="J2" i="11"/>
  <c r="K2" i="11"/>
  <c r="E22" i="1"/>
  <c r="L2" i="11" s="1"/>
  <c r="M2" i="11"/>
  <c r="I8" i="2"/>
  <c r="O2" i="11" s="1"/>
  <c r="L12" i="2"/>
  <c r="L13" i="2" s="1"/>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2" i="11"/>
  <c r="F6" i="8"/>
  <c r="U2" i="11" s="1"/>
  <c r="F5" i="12"/>
  <c r="E5" i="13"/>
  <c r="X2" i="11" s="1"/>
  <c r="A11"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F4" i="11"/>
  <c r="AC4" i="11"/>
  <c r="H24" i="7"/>
  <c r="H25" i="7"/>
  <c r="Z4" i="11"/>
  <c r="X4" i="11"/>
  <c r="W3" i="11"/>
  <c r="U7" i="11"/>
  <c r="U6" i="11"/>
  <c r="U4" i="11"/>
  <c r="T6" i="11"/>
  <c r="T3" i="11"/>
  <c r="O4" i="11"/>
  <c r="N4" i="11"/>
  <c r="M4" i="11"/>
  <c r="M3" i="11"/>
  <c r="L4" i="11"/>
  <c r="K3" i="11"/>
  <c r="J4" i="11"/>
  <c r="I6" i="11"/>
  <c r="I4" i="11"/>
  <c r="G6" i="11"/>
  <c r="G5" i="11"/>
  <c r="G4" i="11"/>
  <c r="F5" i="11"/>
  <c r="F4" i="11"/>
  <c r="D4" i="11"/>
  <c r="C4" i="11"/>
  <c r="T8" i="11"/>
  <c r="L6" i="11"/>
  <c r="L7" i="11"/>
  <c r="L8" i="11"/>
  <c r="I7" i="11"/>
  <c r="I8" i="11"/>
  <c r="G7" i="11"/>
  <c r="D7" i="11"/>
  <c r="D8" i="11"/>
  <c r="A8" i="11"/>
  <c r="A7" i="11"/>
  <c r="A6" i="11"/>
  <c r="A5" i="11"/>
  <c r="A4" i="11"/>
  <c r="A3" i="11"/>
  <c r="K4" i="11"/>
  <c r="B2" i="15"/>
  <c r="H33" i="7"/>
  <c r="H32" i="7"/>
  <c r="H31" i="7"/>
  <c r="H30" i="7"/>
  <c r="H29" i="7"/>
  <c r="H28" i="7"/>
  <c r="H27" i="7"/>
  <c r="H26" i="7"/>
  <c r="C3" i="15"/>
  <c r="A3" i="15"/>
  <c r="AI5" i="11"/>
  <c r="D3" i="15" l="1"/>
  <c r="AB4" i="11"/>
  <c r="D6" i="11"/>
  <c r="F6" i="11"/>
  <c r="U8" i="11"/>
  <c r="I2" i="11"/>
  <c r="G8" i="11"/>
  <c r="D5" i="11"/>
  <c r="I5" i="11"/>
  <c r="U5" i="11"/>
  <c r="V2" i="11"/>
  <c r="V7" i="11"/>
  <c r="V8" i="11"/>
  <c r="V6" i="11"/>
  <c r="V5" i="11"/>
  <c r="T5" i="11"/>
  <c r="O7" i="11"/>
  <c r="L5" i="11"/>
  <c r="G2" i="11"/>
  <c r="A12" i="4"/>
  <c r="Y4" i="11"/>
  <c r="O8" i="11"/>
  <c r="O5" i="11"/>
  <c r="T4" i="11"/>
  <c r="X5" i="11"/>
  <c r="T7" i="11"/>
  <c r="O6" i="11"/>
  <c r="X7" i="11"/>
  <c r="J3" i="9"/>
  <c r="J19" i="2"/>
  <c r="I9" i="2" s="1"/>
  <c r="X8" i="11"/>
  <c r="X6" i="11"/>
  <c r="B3" i="15"/>
  <c r="AG2" i="11"/>
  <c r="AG5" i="11"/>
  <c r="AA4" i="11"/>
  <c r="Q14" i="2"/>
  <c r="Q15" i="2" s="1"/>
  <c r="Q16" i="2" s="1"/>
  <c r="I26" i="7"/>
  <c r="H6" i="7" s="1"/>
  <c r="L18" i="2"/>
  <c r="Q3" i="11" s="1"/>
  <c r="A13" i="4" l="1"/>
  <c r="S2" i="11"/>
  <c r="S4" i="11"/>
  <c r="S6" i="11"/>
  <c r="S8" i="11"/>
  <c r="S3" i="11"/>
  <c r="S7" i="11"/>
  <c r="S5" i="11"/>
  <c r="N8" i="2"/>
  <c r="Q7" i="11" s="1"/>
  <c r="P2" i="11"/>
  <c r="P8" i="11"/>
  <c r="P4" i="11"/>
  <c r="P5" i="11"/>
  <c r="P7" i="11"/>
  <c r="P6" i="11"/>
  <c r="P3" i="11"/>
  <c r="E2" i="11"/>
  <c r="H2" i="11"/>
  <c r="F2" i="11"/>
  <c r="H4" i="11"/>
  <c r="H6" i="11"/>
  <c r="F3" i="11"/>
  <c r="E4" i="11"/>
  <c r="H3" i="11"/>
  <c r="H8" i="11"/>
  <c r="H5" i="11"/>
  <c r="E5" i="11"/>
  <c r="E3" i="11"/>
  <c r="H7" i="11"/>
  <c r="Q17" i="2"/>
  <c r="Q5" i="11"/>
  <c r="Q8" i="11" l="1"/>
  <c r="Q2" i="11"/>
  <c r="N6" i="4"/>
  <c r="Q6" i="11"/>
  <c r="Q4" i="11"/>
  <c r="Q19" i="2"/>
  <c r="S8" i="2" s="1"/>
  <c r="Y7" i="11" l="1"/>
  <c r="Y8" i="11"/>
  <c r="Y6" i="11"/>
  <c r="Y5" i="11"/>
  <c r="AA7" i="11"/>
  <c r="Z7" i="11"/>
  <c r="AC7" i="11"/>
  <c r="AB8" i="11"/>
  <c r="Z8" i="11"/>
  <c r="Z6" i="11"/>
  <c r="AB6" i="11"/>
  <c r="AA5" i="11"/>
  <c r="Z2" i="11"/>
  <c r="AE2" i="11"/>
  <c r="Z5" i="11"/>
  <c r="AC8" i="11"/>
  <c r="AC5" i="11"/>
  <c r="AA6" i="11"/>
  <c r="AF7" i="11"/>
  <c r="AF5" i="11"/>
  <c r="AF6" i="11" s="1"/>
  <c r="Y2" i="11"/>
  <c r="AA2" i="11"/>
  <c r="AB7" i="11"/>
  <c r="AC6" i="11"/>
  <c r="AA8" i="11"/>
  <c r="AF8" i="11"/>
  <c r="AB5" i="11"/>
  <c r="AC2" i="11"/>
  <c r="AB2" i="11"/>
  <c r="AD2" i="11"/>
  <c r="R2" i="11"/>
  <c r="R8" i="11"/>
  <c r="R6" i="11"/>
  <c r="R4" i="11"/>
  <c r="R7" i="11"/>
  <c r="R5" i="11"/>
  <c r="R3"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<sst xmlns="http://schemas.openxmlformats.org/spreadsheetml/2006/main" count="5130" uniqueCount="4921">
  <si>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</si>
  <si>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</si>
  <si>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</si>
  <si>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</si>
  <si>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</si>
  <si>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</si>
  <si>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</si>
  <si>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</si>
  <si>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</si>
  <si>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</si>
  <si>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</si>
  <si>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</si>
  <si>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</si>
  <si>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</si>
  <si>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</si>
  <si>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</si>
  <si>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</si>
  <si>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</si>
  <si>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</si>
  <si>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</si>
  <si>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</si>
  <si>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</si>
  <si>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</si>
  <si>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</si>
  <si>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</si>
  <si>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</si>
  <si>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</si>
  <si>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</si>
  <si>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</si>
  <si>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</si>
  <si>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</si>
  <si>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</si>
  <si>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</si>
  <si>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</si>
  <si>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</si>
  <si>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</si>
  <si>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</si>
  <si>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</si>
  <si>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</si>
  <si>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</si>
  <si>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</si>
  <si>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</si>
  <si>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</si>
  <si>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</si>
  <si>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</si>
  <si>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</si>
  <si>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</si>
  <si>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</si>
  <si>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</si>
  <si>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</si>
  <si>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</si>
  <si>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</si>
  <si>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</si>
  <si>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</si>
  <si>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</si>
  <si>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</si>
  <si>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</si>
  <si>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</si>
  <si>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</si>
  <si>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</si>
  <si>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</si>
  <si>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</si>
  <si>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</si>
  <si>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</si>
  <si>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</si>
  <si>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</si>
  <si>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</si>
  <si>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</si>
  <si>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</si>
  <si>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</si>
  <si>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</si>
  <si>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</si>
  <si>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</si>
  <si>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</si>
  <si>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</si>
  <si>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</si>
  <si>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</si>
  <si>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</si>
  <si>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</si>
  <si>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</si>
  <si>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</si>
  <si>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</si>
  <si>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</si>
  <si>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</si>
  <si>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</si>
  <si>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</si>
  <si>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</si>
  <si>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</si>
  <si>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</si>
  <si>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</si>
  <si>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</si>
  <si>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</si>
  <si>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</si>
  <si>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</si>
  <si>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</si>
  <si>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</si>
  <si>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</si>
  <si>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</si>
  <si>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</si>
  <si>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</si>
  <si>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</si>
  <si>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</si>
  <si>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</si>
  <si>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</si>
  <si>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</si>
  <si>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</si>
  <si>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</si>
  <si>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</si>
  <si>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</si>
  <si>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</si>
  <si>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</si>
  <si>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</si>
  <si>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</si>
  <si>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</si>
  <si>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</si>
  <si>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</si>
  <si>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</si>
  <si>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</si>
  <si>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</si>
  <si>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</si>
  <si>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</si>
  <si>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</si>
  <si>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</si>
  <si>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</si>
  <si>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</si>
  <si>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</si>
  <si>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</si>
  <si>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</si>
  <si>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</si>
  <si>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</si>
  <si>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</si>
  <si>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</si>
  <si>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</si>
  <si>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</si>
  <si>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</si>
  <si>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</si>
  <si>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</si>
  <si>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</si>
  <si>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</si>
  <si>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</si>
  <si>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</si>
  <si>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</si>
  <si>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</si>
  <si>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</si>
  <si>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</si>
  <si>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</si>
  <si>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</si>
  <si>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</si>
  <si>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</si>
  <si>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</si>
  <si>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</si>
  <si>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</si>
  <si>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</si>
  <si>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</si>
  <si>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</si>
  <si>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</si>
  <si>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</si>
  <si>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</si>
  <si>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</si>
  <si>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</si>
  <si>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</si>
  <si>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</si>
  <si>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</si>
  <si>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</si>
  <si>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</si>
  <si>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</si>
  <si>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</si>
  <si>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</si>
  <si>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</si>
  <si>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</si>
  <si>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</si>
  <si>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</si>
  <si>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</si>
  <si>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</si>
  <si>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</si>
  <si>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</si>
  <si>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</si>
  <si>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</si>
  <si>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</si>
  <si>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</si>
  <si>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</si>
  <si>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</si>
  <si>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</si>
  <si>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</si>
  <si>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</si>
  <si>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</si>
  <si>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</si>
  <si>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</si>
  <si>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</si>
  <si>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</si>
  <si>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</si>
  <si>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</si>
  <si>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</si>
  <si>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</si>
  <si>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</si>
  <si>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</si>
  <si>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</si>
  <si>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</si>
  <si>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</si>
  <si>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</si>
  <si>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</si>
  <si>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</si>
  <si>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</si>
  <si>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</si>
  <si>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</si>
  <si>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</si>
  <si>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</si>
  <si>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</si>
  <si>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</si>
  <si>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</si>
  <si>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</si>
  <si>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</si>
  <si>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</si>
  <si>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</si>
  <si>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</si>
  <si>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</si>
  <si>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</si>
  <si>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</si>
  <si>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</si>
  <si>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</si>
  <si>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</si>
  <si>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</si>
  <si>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</si>
  <si>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</si>
  <si>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</si>
  <si>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</si>
  <si>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</si>
  <si>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</si>
  <si>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</si>
  <si>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</si>
  <si>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</si>
  <si>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</si>
  <si>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</si>
  <si>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</si>
  <si>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</si>
  <si>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</si>
  <si>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</si>
  <si>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</si>
  <si>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</si>
  <si>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</si>
  <si>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</si>
  <si>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</si>
  <si>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</si>
  <si>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</si>
  <si>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</si>
  <si>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</si>
  <si>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</si>
  <si>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</si>
  <si>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</si>
  <si>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</si>
  <si>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</si>
  <si>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</si>
  <si>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</si>
  <si>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</si>
  <si>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</si>
  <si>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</si>
  <si>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</si>
  <si>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</si>
  <si>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</si>
  <si>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</si>
  <si>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</si>
  <si>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</si>
  <si>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</si>
  <si>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</si>
  <si>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</si>
  <si>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</si>
  <si>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</si>
  <si>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</si>
  <si>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</si>
  <si>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</si>
  <si>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</si>
  <si>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</si>
  <si>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</si>
  <si>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</si>
  <si>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</si>
  <si>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</si>
  <si>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</si>
  <si>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</si>
  <si>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</si>
  <si>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</si>
  <si>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</si>
  <si>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</si>
  <si>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</si>
  <si>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</si>
  <si>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</si>
  <si>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</si>
  <si>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</si>
  <si>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</si>
  <si>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</si>
  <si>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</si>
  <si>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</si>
  <si>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</si>
  <si>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</si>
  <si>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</si>
  <si>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</si>
  <si>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</si>
  <si>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</si>
  <si>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</si>
  <si>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</si>
  <si>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</si>
  <si>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</si>
  <si>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</si>
  <si>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</si>
  <si>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</si>
  <si>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</si>
  <si>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</si>
  <si>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</si>
  <si>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</si>
  <si>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</si>
  <si>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</si>
  <si>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</si>
  <si>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</si>
  <si>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</si>
  <si>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</si>
  <si>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</si>
  <si>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</si>
  <si>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</si>
  <si>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</si>
  <si>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</si>
  <si>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</si>
  <si>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</si>
  <si>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</si>
  <si>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</si>
  <si>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</si>
  <si>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</si>
  <si>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</si>
  <si>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</si>
  <si>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</si>
  <si>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</si>
  <si>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</si>
  <si>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</si>
  <si>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</si>
  <si>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</si>
  <si>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</si>
  <si>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</si>
  <si>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</si>
  <si>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</si>
  <si>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</si>
  <si>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</si>
  <si>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</si>
  <si>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</si>
  <si>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</si>
  <si>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</si>
  <si>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</si>
  <si>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</si>
  <si>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</si>
  <si>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</si>
  <si>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</si>
  <si>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</si>
  <si>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</si>
  <si>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</si>
  <si>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</si>
  <si>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</si>
  <si>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</si>
  <si>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</si>
  <si>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</si>
  <si>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</si>
  <si>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</si>
  <si>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</si>
  <si>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</si>
  <si>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</si>
  <si>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</si>
  <si>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</si>
  <si>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</si>
  <si>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</si>
  <si>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</si>
  <si>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</si>
  <si>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</si>
  <si>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</si>
  <si>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</si>
  <si>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</si>
  <si>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</si>
  <si>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</si>
  <si>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</si>
  <si>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</si>
  <si>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</si>
  <si>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</si>
  <si>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</si>
  <si>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</si>
  <si>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</si>
  <si>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</si>
  <si>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</si>
  <si>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</si>
  <si>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</si>
  <si>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</si>
  <si>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</si>
  <si>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</si>
  <si>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</si>
  <si>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</si>
  <si>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</si>
  <si>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</si>
  <si>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</si>
  <si>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</si>
  <si>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</si>
  <si>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</si>
  <si>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</si>
  <si>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</si>
  <si>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</si>
  <si>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</si>
  <si>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</si>
  <si>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</si>
  <si>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</si>
  <si>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</si>
  <si>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</si>
  <si>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</si>
  <si>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</si>
  <si>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</si>
  <si>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</si>
  <si>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</si>
  <si>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</si>
  <si>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</si>
  <si>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</si>
  <si>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</si>
  <si>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</si>
  <si>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</si>
  <si>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</si>
  <si>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</si>
  <si>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</si>
  <si>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</si>
  <si>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</si>
  <si>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</si>
  <si>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</si>
  <si>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</si>
  <si>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</si>
  <si>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</si>
  <si>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</si>
  <si>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</si>
  <si>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</si>
  <si>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</si>
  <si>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</si>
  <si>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</si>
  <si>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</si>
  <si>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</si>
  <si>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</si>
  <si>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</si>
  <si>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</si>
  <si>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</si>
  <si>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</si>
  <si>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</si>
  <si>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</si>
  <si>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</si>
  <si>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</si>
  <si>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</si>
  <si>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</si>
  <si>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</si>
  <si>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</si>
  <si>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</si>
  <si>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</si>
  <si>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</si>
  <si>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</si>
  <si>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</si>
  <si>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</si>
  <si>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</si>
  <si>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</si>
  <si>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</si>
  <si>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</si>
  <si>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</si>
  <si>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</si>
  <si>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</si>
  <si>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</si>
  <si>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</si>
  <si>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</si>
  <si>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</si>
  <si>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</si>
  <si>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</si>
  <si>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</si>
  <si>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</si>
  <si>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</si>
  <si>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</si>
  <si>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</si>
  <si>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</si>
  <si>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</si>
  <si>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</si>
  <si>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</si>
  <si>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</si>
  <si>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</si>
  <si>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</si>
  <si>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</si>
  <si>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</si>
  <si>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</si>
  <si>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</si>
  <si>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</si>
  <si>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</si>
  <si>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</si>
  <si>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</si>
  <si>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</si>
  <si>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</si>
  <si>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</si>
  <si>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</si>
  <si>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</si>
  <si>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</si>
  <si>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</si>
  <si>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</si>
  <si>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</si>
  <si>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</si>
  <si>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</si>
  <si>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</si>
  <si>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</si>
  <si>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</si>
  <si>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</si>
  <si>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</si>
  <si>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</si>
  <si>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</si>
  <si>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</si>
  <si>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</si>
  <si>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</si>
  <si>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</si>
  <si>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</si>
  <si>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</si>
  <si>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</si>
  <si>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</si>
  <si>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</si>
  <si>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</si>
  <si>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</si>
  <si>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</si>
  <si>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</si>
  <si>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</si>
  <si>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</si>
  <si>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</si>
  <si>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</si>
  <si>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</si>
  <si>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</si>
  <si>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</si>
  <si>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</si>
  <si>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</si>
  <si>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</si>
  <si>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</si>
  <si>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</si>
  <si>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</si>
  <si>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</si>
  <si>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</si>
  <si>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</si>
  <si>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</si>
  <si>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</si>
  <si>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</si>
  <si>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</si>
  <si>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</si>
  <si>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</si>
  <si>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</si>
  <si>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</si>
  <si>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</si>
  <si>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</si>
  <si>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</si>
  <si>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</si>
  <si>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</si>
  <si>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</si>
  <si>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</si>
  <si>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</si>
  <si>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</si>
  <si>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</si>
  <si>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</si>
  <si>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</si>
  <si>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</si>
  <si>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</si>
  <si>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</si>
  <si>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</si>
  <si>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</si>
  <si>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</si>
  <si>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</si>
  <si>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</si>
  <si>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</si>
  <si>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</si>
  <si>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</si>
  <si>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</si>
  <si>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</si>
  <si>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</si>
  <si>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</si>
  <si>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</si>
  <si>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</si>
  <si>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</si>
  <si>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</si>
  <si>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</si>
  <si>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</si>
  <si>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</si>
  <si>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</si>
  <si>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</si>
  <si>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</si>
  <si>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</si>
  <si>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</si>
  <si>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</si>
  <si>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</si>
  <si>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</si>
  <si>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</si>
  <si>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</si>
  <si>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</si>
  <si>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</si>
  <si>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</si>
  <si>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</si>
  <si>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</si>
  <si>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</si>
  <si>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</si>
  <si>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</si>
  <si>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</si>
  <si>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</si>
  <si>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</si>
  <si>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</si>
  <si>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</si>
  <si>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</si>
  <si>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</si>
  <si>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</si>
  <si>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</si>
  <si>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</si>
  <si>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</si>
  <si>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</si>
  <si>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</si>
  <si>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</si>
  <si>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</si>
  <si>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</si>
  <si>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</si>
  <si>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</si>
  <si>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</si>
  <si>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</si>
  <si>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</si>
  <si>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</si>
  <si>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</si>
  <si>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</si>
  <si>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</si>
  <si>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</si>
  <si>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</si>
  <si>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</si>
  <si>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</si>
  <si>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</si>
  <si>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</si>
  <si>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</si>
  <si>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</si>
  <si>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</si>
  <si>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</si>
  <si>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</si>
  <si>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</si>
  <si>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</si>
  <si>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</si>
  <si>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</si>
  <si>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</si>
  <si>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</si>
  <si>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</si>
  <si>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</si>
  <si>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</si>
  <si>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</si>
  <si>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</si>
  <si>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</si>
  <si>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</si>
  <si>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</si>
  <si>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</si>
  <si>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</si>
  <si>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</si>
  <si>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</si>
  <si>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</si>
  <si>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</si>
  <si>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</si>
  <si>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</si>
  <si>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</si>
  <si>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</si>
  <si>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</si>
  <si>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</si>
  <si>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</si>
  <si>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</si>
  <si>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</si>
  <si>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</si>
  <si>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</si>
  <si>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</si>
  <si>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</si>
  <si>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</si>
  <si>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</si>
  <si>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</si>
  <si>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</si>
  <si>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</si>
  <si>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</si>
  <si>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</si>
  <si>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</si>
  <si>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</si>
  <si>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</si>
  <si>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</si>
  <si>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</si>
  <si>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</si>
  <si>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</si>
  <si>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</si>
  <si>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</si>
  <si>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</si>
  <si>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</si>
  <si>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</si>
  <si>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</si>
  <si>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</si>
  <si>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</si>
  <si>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</si>
  <si>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</si>
  <si>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</si>
  <si>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</si>
  <si>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</si>
  <si>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</si>
  <si>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</si>
  <si>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</si>
  <si>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</si>
  <si>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</si>
  <si>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</si>
  <si>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</si>
  <si>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</si>
  <si>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</si>
  <si>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</si>
  <si>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</si>
  <si>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</si>
  <si>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</si>
  <si>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</si>
  <si>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</si>
  <si>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</si>
  <si>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</si>
  <si>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</si>
  <si>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</si>
  <si>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</si>
  <si>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</si>
  <si>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</si>
  <si>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</si>
  <si>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</si>
  <si>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</si>
  <si>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</si>
  <si>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</si>
  <si>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</si>
  <si>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</si>
  <si>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</si>
  <si>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</si>
  <si>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</si>
  <si>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</si>
  <si>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</si>
  <si>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</si>
  <si>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</si>
  <si>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</si>
  <si>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</si>
  <si>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</si>
  <si>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</si>
  <si>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</si>
  <si>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</si>
  <si>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</si>
  <si>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</si>
  <si>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</si>
  <si>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</si>
  <si>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</si>
  <si>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</si>
  <si>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</si>
  <si>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</si>
  <si>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</si>
  <si>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</si>
  <si>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</si>
  <si>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</si>
  <si>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</si>
  <si>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</si>
  <si>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</si>
  <si>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</si>
  <si>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</si>
  <si>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</si>
  <si>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</si>
  <si>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</si>
  <si>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</si>
  <si>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</si>
  <si>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</si>
  <si>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</si>
  <si>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</si>
  <si>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</si>
  <si>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</si>
  <si>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</si>
  <si>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</si>
  <si>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</si>
  <si>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</si>
  <si>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</si>
  <si>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</si>
  <si>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</si>
  <si>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</si>
  <si>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</si>
  <si>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</si>
  <si>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</si>
  <si>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</si>
  <si>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</si>
  <si>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</si>
  <si>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</si>
  <si>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</si>
  <si>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</si>
  <si>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</si>
  <si>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</si>
  <si>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</si>
  <si>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</si>
  <si>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</si>
  <si>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</si>
  <si>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</si>
  <si>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</si>
  <si>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</si>
  <si>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</si>
  <si>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</si>
  <si>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</si>
  <si>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</si>
  <si>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</si>
  <si>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</si>
  <si>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</si>
  <si>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</si>
  <si>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</si>
  <si>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</si>
  <si>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</si>
  <si>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</si>
  <si>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</si>
  <si>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</si>
  <si>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</si>
  <si>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</si>
  <si>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</si>
  <si>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</si>
  <si>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</si>
  <si>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</si>
  <si>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</si>
  <si>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</si>
  <si>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</si>
  <si>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</si>
  <si>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</si>
  <si>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</si>
  <si>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</si>
  <si>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</si>
  <si>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</si>
  <si>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</si>
  <si>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</si>
  <si>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</si>
  <si>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</si>
  <si>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</si>
  <si>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</si>
  <si>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</si>
  <si>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</si>
  <si>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</si>
  <si>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</si>
  <si>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</si>
  <si>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</si>
  <si>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</si>
  <si>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</si>
  <si>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</si>
  <si>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</si>
  <si>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</si>
  <si>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</si>
  <si>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</si>
  <si>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</si>
  <si>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</si>
  <si>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</si>
  <si>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</si>
  <si>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</si>
  <si>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</si>
  <si>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</si>
  <si>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</si>
  <si>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</si>
  <si>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</si>
  <si>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</si>
  <si>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</si>
  <si>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</si>
  <si>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</si>
  <si>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</si>
  <si>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</si>
  <si>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</si>
  <si>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</si>
  <si>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</si>
  <si>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</si>
  <si>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</si>
  <si>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</si>
  <si>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</si>
  <si>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</si>
  <si>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</si>
  <si>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</si>
  <si>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</si>
  <si>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</si>
  <si>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</si>
  <si>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</si>
  <si>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</si>
  <si>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</si>
  <si>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</si>
  <si>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</si>
  <si>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</si>
  <si>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</si>
  <si>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</si>
  <si>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</si>
  <si>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</si>
  <si>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</si>
  <si>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</si>
  <si>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</si>
  <si>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</si>
  <si>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</si>
  <si>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</si>
  <si>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</si>
  <si>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</si>
  <si>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</si>
  <si>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</si>
  <si>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</si>
  <si>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</si>
  <si>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</si>
  <si>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</si>
  <si>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</si>
  <si>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</si>
  <si>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</si>
  <si>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</si>
  <si>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</si>
  <si>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</si>
  <si>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</si>
  <si>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</si>
  <si>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</si>
  <si>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</si>
  <si>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</si>
  <si>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</si>
  <si>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</si>
  <si>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</si>
  <si>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</si>
  <si>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</si>
  <si>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</si>
  <si>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</si>
  <si>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</si>
  <si>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</si>
  <si>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</si>
  <si>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</si>
  <si>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</si>
  <si>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</si>
  <si>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</si>
  <si>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</si>
  <si>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</si>
  <si>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</si>
  <si>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</si>
  <si>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</si>
  <si>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</si>
  <si>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</si>
  <si>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</si>
  <si>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</si>
  <si>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</si>
  <si>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</si>
  <si>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</si>
  <si>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</si>
  <si>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</si>
  <si>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</si>
  <si>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</si>
  <si>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</si>
  <si>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</si>
  <si>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</si>
  <si>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</si>
  <si>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</si>
  <si>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</si>
  <si>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</si>
  <si>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</si>
  <si>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</si>
  <si>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</si>
  <si>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</si>
  <si>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</si>
  <si>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</si>
  <si>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</si>
  <si>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</si>
  <si>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</si>
  <si>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</si>
  <si>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</si>
  <si>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</si>
  <si>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</si>
  <si>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</si>
  <si>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</si>
  <si>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</si>
  <si>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</si>
  <si>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</si>
  <si>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</si>
  <si>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</si>
  <si>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</si>
  <si>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</si>
  <si>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</si>
  <si>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</si>
  <si>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</si>
  <si>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</si>
  <si>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</si>
  <si>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</si>
  <si>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</si>
  <si>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</si>
  <si>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</si>
  <si>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</si>
  <si>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</si>
  <si>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</si>
  <si>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</si>
  <si>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</si>
  <si>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</si>
  <si>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</si>
  <si>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</si>
  <si>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</si>
  <si>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</si>
  <si>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</si>
  <si>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</si>
  <si>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</si>
  <si>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</si>
  <si>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</si>
  <si>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</si>
  <si>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</si>
  <si>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</si>
  <si>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</si>
  <si>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</si>
  <si>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</si>
  <si>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</si>
  <si>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</si>
  <si>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</si>
  <si>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</si>
  <si>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</si>
  <si>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</si>
  <si>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</si>
  <si>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</si>
  <si>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</si>
  <si>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</si>
  <si>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</si>
  <si>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</si>
  <si>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</si>
  <si>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</si>
  <si>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</si>
  <si>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</si>
  <si>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</si>
  <si>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</si>
  <si>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</si>
  <si>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</si>
  <si>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</si>
  <si>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</si>
  <si>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</si>
  <si>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</si>
  <si>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</si>
  <si>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</si>
  <si>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</si>
  <si>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</si>
  <si>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</si>
  <si>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</si>
  <si>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</si>
  <si>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</si>
  <si>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</si>
  <si>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</si>
  <si>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</si>
  <si>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</si>
  <si>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</si>
  <si>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</si>
  <si>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</si>
  <si>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</si>
  <si>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</si>
  <si>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</si>
  <si>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</si>
  <si>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</si>
  <si>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</si>
  <si>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</si>
  <si>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</si>
  <si>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</si>
  <si>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</si>
  <si>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</si>
  <si>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</si>
  <si>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</si>
  <si>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</si>
  <si>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</si>
  <si>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</si>
  <si>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</si>
  <si>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</si>
  <si>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</si>
  <si>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</si>
  <si>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</si>
  <si>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</si>
  <si>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</si>
  <si>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</si>
  <si>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</si>
  <si>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</si>
  <si>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</si>
  <si>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</si>
  <si>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</si>
  <si>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</si>
  <si>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</si>
  <si>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</si>
  <si>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</si>
  <si>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</si>
  <si>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</si>
  <si>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</si>
  <si>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</si>
  <si>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</si>
  <si>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</si>
  <si>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</si>
  <si>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</si>
  <si>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</si>
  <si>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</si>
  <si>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</si>
  <si>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</si>
  <si>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</si>
  <si>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</si>
  <si>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</si>
  <si>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</si>
  <si>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</si>
  <si>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</si>
  <si>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</si>
  <si>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</si>
  <si>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</si>
  <si>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</si>
  <si>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</si>
  <si>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</si>
  <si>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</si>
  <si>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</si>
  <si>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</si>
  <si>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</si>
  <si>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</si>
  <si>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</si>
  <si>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</si>
  <si>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</si>
  <si>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</si>
  <si>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</si>
  <si>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</si>
  <si>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</si>
  <si>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</si>
  <si>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</si>
  <si>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</si>
  <si>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</si>
  <si>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</si>
  <si>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</si>
  <si>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</si>
  <si>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</si>
  <si>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</si>
  <si>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</si>
  <si>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</si>
  <si>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</si>
  <si>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</si>
  <si>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</si>
  <si>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</si>
  <si>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</si>
  <si>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</si>
  <si>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</si>
  <si>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</si>
  <si>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</si>
  <si>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</si>
  <si>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</si>
  <si>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</si>
  <si>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</si>
  <si>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</si>
  <si>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</si>
  <si>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</si>
  <si>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</si>
  <si>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</si>
  <si>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</si>
  <si>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</si>
  <si>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</si>
  <si>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</si>
  <si>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</si>
  <si>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</si>
  <si>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</si>
  <si>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</si>
  <si>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</si>
  <si>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</si>
  <si>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</si>
  <si>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</si>
  <si>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</si>
  <si>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</si>
  <si>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</si>
  <si>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</si>
  <si>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</si>
  <si>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</si>
  <si>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</si>
  <si>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</si>
  <si>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</si>
  <si>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</si>
  <si>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</si>
  <si>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</si>
  <si>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</si>
  <si>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</si>
  <si>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</si>
  <si>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</si>
  <si>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</si>
  <si>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</si>
  <si>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</si>
  <si>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</si>
  <si>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</si>
  <si>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</si>
  <si>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</si>
  <si>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</si>
  <si>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</si>
  <si>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</si>
  <si>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</si>
  <si>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</si>
  <si>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</si>
  <si>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</si>
  <si>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</si>
  <si>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</si>
  <si>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</si>
  <si>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</si>
  <si>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</si>
  <si>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</si>
  <si>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</si>
  <si>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</si>
  <si>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</si>
  <si>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</si>
  <si>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</si>
  <si>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</si>
  <si>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</si>
  <si>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</si>
  <si>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</si>
  <si>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</si>
  <si>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</si>
  <si>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</si>
  <si>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</si>
  <si>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</si>
  <si>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</si>
  <si>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</si>
  <si>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</si>
  <si>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</si>
  <si>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</si>
  <si>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</si>
  <si>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</si>
  <si>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</si>
  <si>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</si>
  <si>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</si>
  <si>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</si>
  <si>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</si>
  <si>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</si>
  <si>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</si>
  <si>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</si>
  <si>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</si>
  <si>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</si>
  <si>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</si>
  <si>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</si>
  <si>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</si>
  <si>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</si>
  <si>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</si>
  <si>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</si>
  <si>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</si>
  <si>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</si>
  <si>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</si>
  <si>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</si>
  <si>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</si>
  <si>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</si>
  <si>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</si>
  <si>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</si>
  <si>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</si>
  <si>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</si>
  <si>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</si>
  <si>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</si>
  <si>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</si>
  <si>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</si>
  <si>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</si>
  <si>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</si>
  <si>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</si>
  <si>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</si>
  <si>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</si>
  <si>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</si>
  <si>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</si>
  <si>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</si>
  <si>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</si>
  <si>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</si>
  <si>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</si>
  <si>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</si>
  <si>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</si>
  <si>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</si>
  <si>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</si>
  <si>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</si>
  <si>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</si>
  <si>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</si>
  <si>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</si>
  <si>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</si>
  <si>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</si>
  <si>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</si>
  <si>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</si>
  <si>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</si>
  <si>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</si>
  <si>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</si>
  <si>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</si>
  <si>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</si>
  <si>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</si>
  <si>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</si>
  <si>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</si>
  <si>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</si>
  <si>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</si>
  <si>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</si>
  <si>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</si>
  <si>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</si>
  <si>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</si>
  <si>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</si>
  <si>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</si>
  <si>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</si>
  <si>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</si>
  <si>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</si>
  <si>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</si>
  <si>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</si>
  <si>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</si>
  <si>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</si>
  <si>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</si>
  <si>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</si>
  <si>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</si>
  <si>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</si>
  <si>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</si>
  <si>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</si>
  <si>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</si>
  <si>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</si>
  <si>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</si>
  <si>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</si>
  <si>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</si>
  <si>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</si>
  <si>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</si>
  <si>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</si>
  <si>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</si>
  <si>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</si>
  <si>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</si>
  <si>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</si>
  <si>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</si>
  <si>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</si>
  <si>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</si>
  <si>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</si>
  <si>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</si>
  <si>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</si>
  <si>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</si>
  <si>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</si>
  <si>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</si>
  <si>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</si>
  <si>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</si>
  <si>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</si>
  <si>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</si>
  <si>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</si>
  <si>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</si>
  <si>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</si>
  <si>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</si>
  <si>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</si>
  <si>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</si>
  <si>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</si>
  <si>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</si>
  <si>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</si>
  <si>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</si>
  <si>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</si>
  <si>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</si>
  <si>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</si>
  <si>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</si>
  <si>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</si>
  <si>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</si>
  <si>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</si>
  <si>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</si>
  <si>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</si>
  <si>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</si>
  <si>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</si>
  <si>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</si>
  <si>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</si>
  <si>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</si>
  <si>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</si>
  <si>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</si>
  <si>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</si>
  <si>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</si>
  <si>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</si>
  <si>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</si>
  <si>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</si>
  <si>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</si>
  <si>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</si>
  <si>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</si>
  <si>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</si>
  <si>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</si>
  <si>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</si>
  <si>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</si>
  <si>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</si>
  <si>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</si>
  <si>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</si>
  <si>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</si>
  <si>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</si>
  <si>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</si>
  <si>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</si>
  <si>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</si>
  <si>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</si>
  <si>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</si>
  <si>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</si>
  <si>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</si>
  <si>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</si>
  <si>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</si>
  <si>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</si>
  <si>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</si>
  <si>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</si>
  <si>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</si>
  <si>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</si>
  <si>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</si>
  <si>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</si>
  <si>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</si>
  <si>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</si>
  <si>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</si>
  <si>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</si>
  <si>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</si>
  <si>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</si>
  <si>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</si>
  <si>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</si>
  <si>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</si>
  <si>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</si>
  <si>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</si>
  <si>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</si>
  <si>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</si>
  <si>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</si>
  <si>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</si>
  <si>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</si>
  <si>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</si>
  <si>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</si>
  <si>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</si>
  <si>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</si>
  <si>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</si>
  <si>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</si>
  <si>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</si>
  <si>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</si>
  <si>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</si>
  <si>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</si>
  <si>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</si>
  <si>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</si>
  <si>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</si>
  <si>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</si>
  <si>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</si>
  <si>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</si>
  <si>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</si>
  <si>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</si>
  <si>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</si>
  <si>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</si>
  <si>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</si>
  <si>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</si>
  <si>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</si>
  <si>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</si>
  <si>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</si>
  <si>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</si>
  <si>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</si>
  <si>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</si>
  <si>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</si>
  <si>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</si>
  <si>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</si>
  <si>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</si>
  <si>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</si>
  <si>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</si>
  <si>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</si>
  <si>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</si>
  <si>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</si>
  <si>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</si>
  <si>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</si>
  <si>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</si>
  <si>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</si>
  <si>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</si>
  <si>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</si>
  <si>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</si>
  <si>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</si>
  <si>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</si>
  <si>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</si>
  <si>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</si>
  <si>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</si>
  <si>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</si>
  <si>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</si>
  <si>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</si>
  <si>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</si>
  <si>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</si>
  <si>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</si>
  <si>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</si>
  <si>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</si>
  <si>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</si>
  <si>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</si>
  <si>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</si>
  <si>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</si>
  <si>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</si>
  <si>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</si>
  <si>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</si>
  <si>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</si>
  <si>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</si>
  <si>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</si>
  <si>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</si>
  <si>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</si>
  <si>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</si>
  <si>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</si>
  <si>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</si>
  <si>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</si>
  <si>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</si>
  <si>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</si>
  <si>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</si>
  <si>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</si>
  <si>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</si>
  <si>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</si>
  <si>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</si>
  <si>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</si>
  <si>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</si>
  <si>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</si>
  <si>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</si>
  <si>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</si>
  <si>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</si>
  <si>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</si>
  <si>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</si>
  <si>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</si>
  <si>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</si>
  <si>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</si>
  <si>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</si>
  <si>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</si>
  <si>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</si>
  <si>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</si>
  <si>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</si>
  <si>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</si>
  <si>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</si>
  <si>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</si>
  <si>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</si>
  <si>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</si>
  <si>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</si>
  <si>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</si>
  <si>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</si>
  <si>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</si>
  <si>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</si>
  <si>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</si>
  <si>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</si>
  <si>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</si>
  <si>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</si>
  <si>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</si>
  <si>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</si>
  <si>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</si>
  <si>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</si>
  <si>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</si>
  <si>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</si>
  <si>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</si>
  <si>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</si>
  <si>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</si>
  <si>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</si>
  <si>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</si>
  <si>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</si>
  <si>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</si>
  <si>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</si>
  <si>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</si>
  <si>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</si>
  <si>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</si>
  <si>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</si>
  <si>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</si>
  <si>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</si>
  <si>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</si>
  <si>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</si>
  <si>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</si>
  <si>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</si>
  <si>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</si>
  <si>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</si>
  <si>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</si>
  <si>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</si>
  <si>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</si>
  <si>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</si>
  <si>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</si>
  <si>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</si>
  <si>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</si>
  <si>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</si>
  <si>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</si>
  <si>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</si>
  <si>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</si>
  <si>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</si>
  <si>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</si>
  <si>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</si>
  <si>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</si>
  <si>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</si>
  <si>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</si>
  <si>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</si>
  <si>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</si>
  <si>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</si>
  <si>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</si>
  <si>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</si>
  <si>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</si>
  <si>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</si>
  <si>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</si>
  <si>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</si>
  <si>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</si>
  <si>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</si>
  <si>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</si>
  <si>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</si>
  <si>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</si>
  <si>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</si>
  <si>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</si>
  <si>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</si>
  <si>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</si>
  <si>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</si>
  <si>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</si>
  <si>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</si>
  <si>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</si>
  <si>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</si>
  <si>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</si>
  <si>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</si>
  <si>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</si>
  <si>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</si>
  <si>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</si>
  <si>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</si>
  <si>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</si>
  <si>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</si>
  <si>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</si>
  <si>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</si>
  <si>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</si>
  <si>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</si>
  <si>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</si>
  <si>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</si>
  <si>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</si>
  <si>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</si>
  <si>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</si>
  <si>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</si>
  <si>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</si>
  <si>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</si>
  <si>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</si>
  <si>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</si>
  <si>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</si>
  <si>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</si>
  <si>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</si>
  <si>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</si>
  <si>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</si>
  <si>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</si>
  <si>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</si>
  <si>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</si>
  <si>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</si>
  <si>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</si>
  <si>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</si>
  <si>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</si>
  <si>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</si>
  <si>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</si>
  <si>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</si>
  <si>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</si>
  <si>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</si>
  <si>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</si>
  <si>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</si>
  <si>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</si>
  <si>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</si>
  <si>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</si>
  <si>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</si>
  <si>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</si>
  <si>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</si>
  <si>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</si>
  <si>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</si>
  <si>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</si>
  <si>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</si>
  <si>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</si>
  <si>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</si>
  <si>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</si>
  <si>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</si>
  <si>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</si>
  <si>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</si>
  <si>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</si>
  <si>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</si>
  <si>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</si>
  <si>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</si>
  <si>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</si>
  <si>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</si>
  <si>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</si>
  <si>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</si>
  <si>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</si>
  <si>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</si>
  <si>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</si>
  <si>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</si>
  <si>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</si>
  <si>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</si>
  <si>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</si>
  <si>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</si>
  <si>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</si>
  <si>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</si>
  <si>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</si>
  <si>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</si>
  <si>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</si>
  <si>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</si>
  <si>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</si>
  <si>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</si>
  <si>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</si>
  <si>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</si>
  <si>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</si>
  <si>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</si>
  <si>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</si>
  <si>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</si>
  <si>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</si>
  <si>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</si>
  <si>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</si>
  <si>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</si>
  <si>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</si>
  <si>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</si>
  <si>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</si>
  <si>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</si>
  <si>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</si>
  <si>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</si>
  <si>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</si>
  <si>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</si>
  <si>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</si>
  <si>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</si>
  <si>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</si>
  <si>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</si>
  <si>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</si>
  <si>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</si>
  <si>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</si>
  <si>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</si>
  <si>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</si>
  <si>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</si>
  <si>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</si>
  <si>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</si>
  <si>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</si>
  <si>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</si>
  <si>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</si>
  <si>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</si>
  <si>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</si>
  <si>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</si>
  <si>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</si>
  <si>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</si>
  <si>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</si>
  <si>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</si>
  <si>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</si>
  <si>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</si>
  <si>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</si>
  <si>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</si>
  <si>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</si>
  <si>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</si>
  <si>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</si>
  <si>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</si>
  <si>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</si>
  <si>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</si>
  <si>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</si>
  <si>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</si>
  <si>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</si>
  <si>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</si>
  <si>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</si>
  <si>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</si>
  <si>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</si>
  <si>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</si>
  <si>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</si>
  <si>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</si>
  <si>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</si>
  <si>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</si>
  <si>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</si>
  <si>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</si>
  <si>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</si>
  <si>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</si>
  <si>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</si>
  <si>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</si>
  <si>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</si>
  <si>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</si>
  <si>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</si>
  <si>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</si>
  <si>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</si>
  <si>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</si>
  <si>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</si>
  <si>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</si>
  <si>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</si>
  <si>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</si>
  <si>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</si>
  <si>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</si>
  <si>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</si>
  <si>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</si>
  <si>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</si>
  <si>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</si>
  <si>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</si>
  <si>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</si>
  <si>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</si>
  <si>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</si>
  <si>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</si>
  <si>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</si>
  <si>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</si>
  <si>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</si>
  <si>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</si>
  <si>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</si>
  <si>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</si>
  <si>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</si>
  <si>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</si>
  <si>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</si>
  <si>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</si>
  <si>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</si>
  <si>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</si>
  <si>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</si>
  <si>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</si>
  <si>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</si>
  <si>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</si>
  <si>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</si>
  <si>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</si>
  <si>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</si>
  <si>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</si>
  <si>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</si>
  <si>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</si>
  <si>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</si>
  <si>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</si>
  <si>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</si>
  <si>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</si>
  <si>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</si>
  <si>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</si>
  <si>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</si>
  <si>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</si>
  <si>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</si>
  <si>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</si>
  <si>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</si>
  <si>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</si>
  <si>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</si>
  <si>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</si>
  <si>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</si>
  <si>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</si>
  <si>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</si>
  <si>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</si>
  <si>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</si>
  <si>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</si>
  <si>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</si>
  <si>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</si>
  <si>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</si>
  <si>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</si>
  <si>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</si>
  <si>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</si>
  <si>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</si>
  <si>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</si>
  <si>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</si>
  <si>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</si>
  <si>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</si>
  <si>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</si>
  <si>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</si>
  <si>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</si>
  <si>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</si>
  <si>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</si>
  <si>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</si>
  <si>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</si>
  <si>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</si>
  <si>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</si>
  <si>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</si>
  <si>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</si>
  <si>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</si>
  <si>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</si>
  <si>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</si>
  <si>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</si>
  <si>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</si>
  <si>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</si>
  <si>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</si>
  <si>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</si>
  <si>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</si>
  <si>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</si>
  <si>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</si>
  <si>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</si>
  <si>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</si>
  <si>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</si>
  <si>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</si>
  <si>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</si>
  <si>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</si>
  <si>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</si>
  <si>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</si>
  <si>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</si>
  <si>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</si>
  <si>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</si>
  <si>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</si>
  <si>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</si>
  <si>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</si>
  <si>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</si>
  <si>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</si>
  <si>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</si>
  <si>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</si>
  <si>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</si>
  <si>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</si>
  <si>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</si>
  <si>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</si>
  <si>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</si>
  <si>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</si>
  <si>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</si>
  <si>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</si>
  <si>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</si>
  <si>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</si>
  <si>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</si>
  <si>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</si>
  <si>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</si>
  <si>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</si>
  <si>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</si>
  <si>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</si>
  <si>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</si>
  <si>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</si>
  <si>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</si>
  <si>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</si>
  <si>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</si>
  <si>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</si>
  <si>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</si>
  <si>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</si>
  <si>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</si>
  <si>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</si>
  <si>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</si>
  <si>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</si>
  <si>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</si>
  <si>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</si>
  <si>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</si>
  <si>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</si>
  <si>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</si>
  <si>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</si>
  <si>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</si>
  <si>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</si>
  <si>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</si>
  <si>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</si>
  <si>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</si>
  <si>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</si>
  <si>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</si>
  <si>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</si>
  <si>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</si>
  <si>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</si>
  <si>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</si>
  <si>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</si>
  <si>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</si>
  <si>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</si>
  <si>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</si>
  <si>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</si>
  <si>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</si>
  <si>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</si>
  <si>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</si>
  <si>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</si>
  <si>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</si>
  <si>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</si>
  <si>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</si>
  <si>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</si>
  <si>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</si>
  <si>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</si>
  <si>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</si>
  <si>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</si>
  <si>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</si>
  <si>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</si>
  <si>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</si>
  <si>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</si>
  <si>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</si>
  <si>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</si>
  <si>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</si>
  <si>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</si>
  <si>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</si>
  <si>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</si>
  <si>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</si>
  <si>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</si>
  <si>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</si>
  <si>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</si>
  <si>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</si>
  <si>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</si>
  <si>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</si>
  <si>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</si>
  <si>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</si>
  <si>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</si>
  <si>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</si>
  <si>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</si>
  <si>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</si>
  <si>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</si>
  <si>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</si>
  <si>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</si>
  <si>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</si>
  <si>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</si>
  <si>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</si>
  <si>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</si>
  <si>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</si>
  <si>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</si>
  <si>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</si>
  <si>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</si>
  <si>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</si>
  <si>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</si>
  <si>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</si>
  <si>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</si>
  <si>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</si>
  <si>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</si>
  <si>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</si>
  <si>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</si>
  <si>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</si>
  <si>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</si>
  <si>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</si>
  <si>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</si>
  <si>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</si>
  <si>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</si>
  <si>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</si>
  <si>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</si>
  <si>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</si>
  <si>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</si>
  <si>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</si>
  <si>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</si>
  <si>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</si>
  <si>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</si>
  <si>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</si>
  <si>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</si>
  <si>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</si>
  <si>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</si>
  <si>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</si>
  <si>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</si>
  <si>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</si>
  <si>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</si>
  <si>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</si>
  <si>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</si>
  <si>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</si>
  <si>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</si>
  <si>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</si>
  <si>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</si>
  <si>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</si>
  <si>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</si>
  <si>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</si>
  <si>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</si>
  <si>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</si>
  <si>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</si>
  <si>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</si>
  <si>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</si>
  <si>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</si>
  <si>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</si>
  <si>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</si>
  <si>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</si>
  <si>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</si>
  <si>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</si>
  <si>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</si>
  <si>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</si>
  <si>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</si>
  <si>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</si>
  <si>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</si>
  <si>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</si>
  <si>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</si>
  <si>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</si>
  <si>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</si>
  <si>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</si>
  <si>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</si>
  <si>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</si>
  <si>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</si>
  <si>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</si>
  <si>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</si>
  <si>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</si>
  <si>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</si>
  <si>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</si>
  <si>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</si>
  <si>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</si>
  <si>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</si>
  <si>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</si>
  <si>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</si>
  <si>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</si>
  <si>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</si>
  <si>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</si>
  <si>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</si>
  <si>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</si>
  <si>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</si>
  <si>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</si>
  <si>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</si>
  <si>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</si>
  <si>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</si>
  <si>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</si>
  <si>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</si>
  <si>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</si>
  <si>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</si>
  <si>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</si>
  <si>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</si>
  <si>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</si>
  <si>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</si>
  <si>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</si>
  <si>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</si>
  <si>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</si>
  <si>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</si>
  <si>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</si>
  <si>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</si>
  <si>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</si>
  <si>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</si>
  <si>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</si>
  <si>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</si>
  <si>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</si>
  <si>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</si>
  <si>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</si>
  <si>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</si>
  <si>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</si>
  <si>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</si>
  <si>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</si>
  <si>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</si>
  <si>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</si>
  <si>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</si>
  <si>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</si>
  <si>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</si>
  <si>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</si>
  <si>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</si>
  <si>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</si>
  <si>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</si>
  <si>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</si>
  <si>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</si>
  <si>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</si>
  <si>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</si>
  <si>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</si>
  <si>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</si>
  <si>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</si>
  <si>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</si>
  <si>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</si>
  <si>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</si>
  <si>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</si>
  <si>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</si>
  <si>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</si>
  <si>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</si>
  <si>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</si>
  <si>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</si>
  <si>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</si>
  <si>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</si>
  <si>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</si>
  <si>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</si>
  <si>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</si>
  <si>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</si>
  <si>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</si>
  <si>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</si>
  <si>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</si>
  <si>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</si>
  <si>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</si>
  <si>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</si>
  <si>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</si>
  <si>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</si>
  <si>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</si>
  <si>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</si>
  <si>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</si>
  <si>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</si>
  <si>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</si>
  <si>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</si>
  <si>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</si>
  <si>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</si>
  <si>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</si>
  <si>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</si>
  <si>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</si>
  <si>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</si>
  <si>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</si>
  <si>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</si>
  <si>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</si>
  <si>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</si>
  <si>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</si>
  <si>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</si>
  <si>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</si>
  <si>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</si>
  <si>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</si>
  <si>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</si>
  <si>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</si>
  <si>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</si>
  <si>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</si>
  <si>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</si>
  <si>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</si>
  <si>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</si>
  <si>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</si>
  <si>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</si>
  <si>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</si>
  <si>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</si>
  <si>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</si>
  <si>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</si>
  <si>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</si>
  <si>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</si>
  <si>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</si>
  <si>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</si>
  <si>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</si>
  <si>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</si>
  <si>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</si>
  <si>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</si>
  <si>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</si>
  <si>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</si>
  <si>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</si>
  <si>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</si>
  <si>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</si>
  <si>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</si>
  <si>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</si>
  <si>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</si>
  <si>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</si>
  <si>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</si>
  <si>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</si>
  <si>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</si>
  <si>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</si>
  <si>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</si>
  <si>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</si>
  <si>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</si>
  <si>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</si>
  <si>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</si>
  <si>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</si>
  <si>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</si>
  <si>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</si>
  <si>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</si>
  <si>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</si>
  <si>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</si>
  <si>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</si>
  <si>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</si>
  <si>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</si>
  <si>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</si>
  <si>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</si>
  <si>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</si>
  <si>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</si>
  <si>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</si>
  <si>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</si>
  <si>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</si>
  <si>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</si>
  <si>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</si>
  <si>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</si>
  <si>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</si>
  <si>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</si>
  <si>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</si>
  <si>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</si>
  <si>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</si>
  <si>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</si>
  <si>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</si>
  <si>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</si>
  <si>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</si>
  <si>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</si>
  <si>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</si>
  <si>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</si>
  <si>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</si>
  <si>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</si>
  <si>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</si>
  <si>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</si>
  <si>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</si>
  <si>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</si>
  <si>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</si>
  <si>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</si>
  <si>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</si>
  <si>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</si>
  <si>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</si>
  <si>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</si>
  <si>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</si>
  <si>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</si>
  <si>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</si>
  <si>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</si>
  <si>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</si>
  <si>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</si>
  <si>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</si>
  <si>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</si>
  <si>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</si>
  <si>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</si>
  <si>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</si>
  <si>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</si>
  <si>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</si>
  <si>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</si>
  <si>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</si>
  <si>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</si>
  <si>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</si>
  <si>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</si>
  <si>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</si>
  <si>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</si>
  <si>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</si>
  <si>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</si>
  <si>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</si>
  <si>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</si>
  <si>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</si>
  <si>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</si>
  <si>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</si>
  <si>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</si>
  <si>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</si>
  <si>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</si>
  <si>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</si>
  <si>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</si>
  <si>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</si>
  <si>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</si>
  <si>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</si>
  <si>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</si>
  <si>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</si>
  <si>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</si>
  <si>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</si>
  <si>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</si>
  <si>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</si>
  <si>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</si>
  <si>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</si>
  <si>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</si>
  <si>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</si>
  <si>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</si>
  <si>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</si>
  <si>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</si>
  <si>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</si>
  <si>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</si>
  <si>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</si>
  <si>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</si>
  <si>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</si>
  <si>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</si>
  <si>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</si>
  <si>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</si>
  <si>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</si>
  <si>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</si>
  <si>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</si>
  <si>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</si>
  <si>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</si>
  <si>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</si>
  <si>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</si>
  <si>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</si>
  <si>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</si>
  <si>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</si>
  <si>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</si>
  <si>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</si>
  <si>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</si>
  <si>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</si>
  <si>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</si>
  <si>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</si>
  <si>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</si>
  <si>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</si>
  <si>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</si>
  <si>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</si>
  <si>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</si>
  <si>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</si>
  <si>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</si>
  <si>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</si>
  <si>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</si>
  <si>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</si>
  <si>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</si>
  <si>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</si>
  <si>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</si>
  <si>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</si>
  <si>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</si>
  <si>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</si>
  <si>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</si>
  <si>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</si>
  <si>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</si>
  <si>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</si>
  <si>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</si>
  <si>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</si>
  <si>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</si>
  <si>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</si>
  <si>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</si>
  <si>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</si>
  <si>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</si>
  <si>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</si>
  <si>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</si>
  <si>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</si>
  <si>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</si>
  <si>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</si>
  <si>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</si>
  <si>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</si>
  <si>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</si>
  <si>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</si>
  <si>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</si>
  <si>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</si>
  <si>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</si>
  <si>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</si>
  <si>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</si>
  <si>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</si>
  <si>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</si>
  <si>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</si>
  <si>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</si>
  <si>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</si>
  <si>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</si>
  <si>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</si>
  <si>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</si>
  <si>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</si>
  <si>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</si>
  <si>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</si>
  <si>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</si>
  <si>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</si>
  <si>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</si>
  <si>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</si>
  <si>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</si>
  <si>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</si>
  <si>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</si>
  <si>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</si>
  <si>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</si>
  <si>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</si>
  <si>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</si>
  <si>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</si>
  <si>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</si>
  <si>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</si>
  <si>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</si>
  <si>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</si>
  <si>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</si>
  <si>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</si>
  <si>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</si>
  <si>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</si>
  <si>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</si>
  <si>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</si>
  <si>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</si>
  <si>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</si>
  <si>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</si>
  <si>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</si>
  <si>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</si>
  <si>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</si>
  <si>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</si>
  <si>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</si>
  <si>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</si>
  <si>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</si>
  <si>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</si>
  <si>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</si>
  <si>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</si>
  <si>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</si>
  <si>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</si>
  <si>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</si>
  <si>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</si>
  <si>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</si>
  <si>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</si>
  <si>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</si>
  <si>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</si>
  <si>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</si>
  <si>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</si>
  <si>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</si>
  <si>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</si>
  <si>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</si>
  <si>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</si>
  <si>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</si>
  <si>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</si>
  <si>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</si>
  <si>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</si>
  <si>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</si>
  <si>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</si>
  <si>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</si>
  <si>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</si>
  <si>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</si>
  <si>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</si>
  <si>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</si>
  <si>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</si>
  <si>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</si>
  <si>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</si>
  <si>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</si>
  <si>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</si>
  <si>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</si>
  <si>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</si>
  <si>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</si>
  <si>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</si>
  <si>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</si>
  <si>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</si>
  <si>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</si>
  <si>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</si>
  <si>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</si>
  <si>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</si>
  <si>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</si>
  <si>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</si>
  <si>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</si>
  <si>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</si>
  <si>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</si>
  <si>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</si>
  <si>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</si>
  <si>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</si>
  <si>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</si>
  <si>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</si>
  <si>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</si>
  <si>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</si>
  <si>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</si>
  <si>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</si>
  <si>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</si>
  <si>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</si>
  <si>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</si>
  <si>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</si>
  <si>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</si>
  <si>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</si>
  <si>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</si>
  <si>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</si>
  <si>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</si>
  <si>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</si>
  <si>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</si>
  <si>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</si>
  <si>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</si>
  <si>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</si>
  <si>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</si>
  <si>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</si>
  <si>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</si>
  <si>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</si>
  <si>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</si>
  <si>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</si>
  <si>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</si>
  <si>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</si>
  <si>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</si>
  <si>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</si>
  <si>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</si>
  <si>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</si>
  <si>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</si>
  <si>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</si>
  <si>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</si>
  <si>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</si>
  <si>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</si>
  <si>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</si>
  <si>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</si>
  <si>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</si>
  <si>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</si>
  <si>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</si>
  <si>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</si>
  <si>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</si>
  <si>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</si>
  <si>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</si>
  <si>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</si>
  <si>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</si>
  <si>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</si>
  <si>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</si>
  <si>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</si>
  <si>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</si>
  <si>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</si>
  <si>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</si>
  <si>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</si>
  <si>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</si>
  <si>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</si>
  <si>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</si>
  <si>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</si>
  <si>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</si>
  <si>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</si>
  <si>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</si>
  <si>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</si>
  <si>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</si>
  <si>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</si>
  <si>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</si>
  <si>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</si>
  <si>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</si>
  <si>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</si>
  <si>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</si>
  <si>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</si>
  <si>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</si>
  <si>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</si>
  <si>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</si>
  <si>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</si>
  <si>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</si>
  <si>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</si>
  <si>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</si>
  <si>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</si>
  <si>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</si>
  <si>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</si>
  <si>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</si>
  <si>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</si>
  <si>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</si>
  <si>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</si>
  <si>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</si>
  <si>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</si>
  <si>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</si>
  <si>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</si>
  <si>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</si>
  <si>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</si>
  <si>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</si>
  <si>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</si>
  <si>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</si>
  <si>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</si>
  <si>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</si>
  <si>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</si>
  <si>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</si>
  <si>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</si>
  <si>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</si>
  <si>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</si>
  <si>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</si>
  <si>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</si>
  <si>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</si>
  <si>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</si>
  <si>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</si>
  <si>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</si>
  <si>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</si>
  <si>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</si>
  <si>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</si>
  <si>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</si>
  <si>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</si>
  <si>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</si>
  <si>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</si>
  <si>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</si>
  <si>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</si>
  <si>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</si>
  <si>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</si>
  <si>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</si>
  <si>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</si>
  <si>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</si>
  <si>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</si>
  <si>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</si>
  <si>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</si>
  <si>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</si>
  <si>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</si>
  <si>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</si>
  <si>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</si>
  <si>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</si>
  <si>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</si>
  <si>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</si>
  <si>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</si>
  <si>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</si>
  <si>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</si>
  <si>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</si>
  <si>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</si>
  <si>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</si>
  <si>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</si>
  <si>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</si>
  <si>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</si>
  <si>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</si>
  <si>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</si>
  <si>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</si>
  <si>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</si>
  <si>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</si>
  <si>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</si>
  <si>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</si>
  <si>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</si>
  <si>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</si>
  <si>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</si>
  <si>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</si>
  <si>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</si>
  <si>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</si>
  <si>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</si>
  <si>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</si>
  <si>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</si>
  <si>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</si>
  <si>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</si>
  <si>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</si>
  <si>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</si>
  <si>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</si>
  <si>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</si>
  <si>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</si>
  <si>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</si>
  <si>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</si>
  <si>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</si>
  <si>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</si>
  <si>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</si>
  <si>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</si>
  <si>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</si>
  <si>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</si>
  <si>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</si>
  <si>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</si>
  <si>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</si>
  <si>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</si>
  <si>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</si>
  <si>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</si>
  <si>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</si>
  <si>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</si>
  <si>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</si>
  <si>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</si>
  <si>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</si>
  <si>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</si>
  <si>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</si>
  <si>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</si>
  <si>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</si>
  <si>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</si>
  <si>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</si>
  <si>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</si>
  <si>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</si>
  <si>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</si>
  <si>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</si>
  <si>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</si>
  <si>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</si>
  <si>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</si>
  <si>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</si>
  <si>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</si>
  <si>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</si>
  <si>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</si>
  <si>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</si>
  <si>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</si>
  <si>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</si>
  <si>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</si>
  <si>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</si>
  <si>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</si>
  <si>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</si>
  <si>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</si>
  <si>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</si>
  <si>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</si>
  <si>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</si>
  <si>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</si>
  <si>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</si>
  <si>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</si>
  <si>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</si>
  <si>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</si>
  <si>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</si>
  <si>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</si>
  <si>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</si>
  <si>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</si>
  <si>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</si>
  <si>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</si>
  <si>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</si>
  <si>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</si>
  <si>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</si>
  <si>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</si>
  <si>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</si>
  <si>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</si>
  <si>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</si>
  <si>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</si>
  <si>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</si>
  <si>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</si>
  <si>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</si>
  <si>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</si>
  <si>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</si>
  <si>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</si>
  <si>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</si>
  <si>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</si>
  <si>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</si>
  <si>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</si>
  <si>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</si>
  <si>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</si>
  <si>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</si>
  <si>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</si>
  <si>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</si>
  <si>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</si>
  <si>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</si>
  <si>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</si>
  <si>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</si>
  <si>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</si>
  <si>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</si>
  <si>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</si>
  <si>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</si>
  <si>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</si>
  <si>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</si>
  <si>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</si>
  <si>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</si>
  <si>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</si>
  <si>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</si>
  <si>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</si>
  <si>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</si>
  <si>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</si>
  <si>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</si>
  <si>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</si>
  <si>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</si>
  <si>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</si>
  <si>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</si>
  <si>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</si>
  <si>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</si>
  <si>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</si>
  <si>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</si>
  <si>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</si>
  <si>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</si>
  <si>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</si>
  <si>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</si>
  <si>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</si>
  <si>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</si>
  <si>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</si>
  <si>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</si>
  <si>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</si>
  <si>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</si>
  <si>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</si>
  <si>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</si>
  <si>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</si>
  <si>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</si>
  <si>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</si>
  <si>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</si>
  <si>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</si>
  <si>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</si>
  <si>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</si>
  <si>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</si>
  <si>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</si>
  <si>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</si>
  <si>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</si>
  <si>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</si>
  <si>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</si>
  <si>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</si>
  <si>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</si>
  <si>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</si>
  <si>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</si>
  <si>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</si>
  <si>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</si>
  <si>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</si>
  <si>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</si>
  <si>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</si>
  <si>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</si>
  <si>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</si>
  <si>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</si>
  <si>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</si>
  <si>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</si>
  <si>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</si>
  <si>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</si>
  <si>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</si>
  <si>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</si>
  <si>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</si>
  <si>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</si>
  <si>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</si>
  <si>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</si>
  <si>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</si>
  <si>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</si>
  <si>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</si>
  <si>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</si>
  <si>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</si>
  <si>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</si>
  <si>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</si>
  <si>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</si>
  <si>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</si>
  <si>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</si>
  <si>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</si>
  <si>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</si>
  <si>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</si>
  <si>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</si>
  <si>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</si>
  <si>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</si>
  <si>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</si>
  <si>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</si>
  <si>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</si>
  <si>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</si>
  <si>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</si>
  <si>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</si>
  <si>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</si>
  <si>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</si>
  <si>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</si>
  <si>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</si>
  <si>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</si>
  <si>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</si>
  <si>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</si>
  <si>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</si>
  <si>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</si>
  <si>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</si>
  <si>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</si>
  <si>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</si>
  <si>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</si>
  <si>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</si>
  <si>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</si>
  <si>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</si>
  <si>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</si>
  <si>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</si>
  <si>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</si>
  <si>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</si>
  <si>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</si>
  <si>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</si>
  <si>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</si>
  <si>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</si>
  <si>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</si>
  <si>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</si>
  <si>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</si>
  <si>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</si>
  <si>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</si>
  <si>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</si>
  <si>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</si>
  <si>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</si>
  <si>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</si>
  <si>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</si>
  <si>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</si>
  <si>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</si>
  <si>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</si>
  <si>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</si>
  <si>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</si>
  <si>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</si>
  <si>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</si>
  <si>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</si>
  <si>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</si>
  <si>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</si>
  <si>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</si>
  <si>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</si>
  <si>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</si>
  <si>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</si>
  <si>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</si>
  <si>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</si>
  <si>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</si>
  <si>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</si>
  <si>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</si>
  <si>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</si>
  <si>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</si>
  <si>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</si>
  <si>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</si>
  <si>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</si>
  <si>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</si>
  <si>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</si>
  <si>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</si>
  <si>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</si>
  <si>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</si>
  <si>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</si>
  <si>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</si>
  <si>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</si>
  <si>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</si>
  <si>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</si>
  <si>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</si>
  <si>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</si>
  <si>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</si>
  <si>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</si>
  <si>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</si>
  <si>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</si>
  <si>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</si>
  <si>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</si>
  <si>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</si>
  <si>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</si>
  <si>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</si>
  <si>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</si>
  <si>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</si>
  <si>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</si>
  <si>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</si>
  <si>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</si>
  <si>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</si>
  <si>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</si>
  <si>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</si>
  <si>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</si>
  <si>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</si>
  <si>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</si>
  <si>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</si>
  <si>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</si>
  <si>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</si>
  <si>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</si>
  <si>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</si>
  <si>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</si>
  <si>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</si>
  <si>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</si>
  <si>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</si>
  <si>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</si>
  <si>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</si>
  <si>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</si>
  <si>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</si>
  <si>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</si>
  <si>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</si>
  <si>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</si>
  <si>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</si>
  <si>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</si>
  <si>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</si>
  <si>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</si>
  <si>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</si>
  <si>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</si>
  <si>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</si>
  <si>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</si>
  <si>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</si>
  <si>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</si>
  <si>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</si>
  <si>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</si>
  <si>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</si>
  <si>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</si>
  <si>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</si>
  <si>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</si>
  <si>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</si>
  <si>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</si>
  <si>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</si>
  <si>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</si>
  <si>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</si>
  <si>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</si>
  <si>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</si>
  <si>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</si>
  <si>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</si>
  <si>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</si>
  <si>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</si>
  <si>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</si>
  <si>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</si>
  <si>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</si>
  <si>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</si>
  <si>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</si>
  <si>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</si>
  <si>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</si>
  <si>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</si>
  <si>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</si>
  <si>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</si>
  <si>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</si>
  <si>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</si>
  <si>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</si>
  <si>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</si>
  <si>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</si>
  <si>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</si>
  <si>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</si>
  <si>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</si>
  <si>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</si>
  <si>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</si>
  <si>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</si>
  <si>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</si>
  <si>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</si>
  <si>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</si>
  <si>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</si>
  <si>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</si>
  <si>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</si>
  <si>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</si>
  <si>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</si>
  <si>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</si>
  <si>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</si>
  <si>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</si>
  <si>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</si>
  <si>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</si>
  <si>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</si>
  <si>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</si>
  <si>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</si>
  <si>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</si>
  <si>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</si>
  <si>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</si>
  <si>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</si>
  <si>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</si>
  <si>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</si>
  <si>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</si>
  <si>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</si>
  <si>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</si>
  <si>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</si>
  <si>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</si>
  <si>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</si>
  <si>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</si>
  <si>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</si>
  <si>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</si>
  <si>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</si>
  <si>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</si>
  <si>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</si>
  <si>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</si>
  <si>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</si>
  <si>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</si>
  <si>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</si>
  <si>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</si>
  <si>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</si>
  <si>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</si>
  <si>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</si>
  <si>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</si>
  <si>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</si>
  <si>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</si>
  <si>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</si>
  <si>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</si>
  <si>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</si>
  <si>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</si>
  <si>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</si>
  <si>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</si>
  <si>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</si>
  <si>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</si>
  <si>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</si>
  <si>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</si>
  <si>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</si>
  <si>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</si>
  <si>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</si>
  <si>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</si>
  <si>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</si>
  <si>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</si>
  <si>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</si>
  <si>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</si>
  <si>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</si>
  <si>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</si>
  <si>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</si>
  <si>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</si>
  <si>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</si>
  <si>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</si>
  <si>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</si>
  <si>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</si>
  <si>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</si>
  <si>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</si>
  <si>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</si>
  <si>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</si>
  <si>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</si>
  <si>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</si>
  <si>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</si>
  <si>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</si>
  <si>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</si>
  <si>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</si>
  <si>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</si>
  <si>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</si>
  <si>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</si>
  <si>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</si>
  <si>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</si>
  <si>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</si>
  <si>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</si>
  <si>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</si>
  <si>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</si>
  <si>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</si>
  <si>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</si>
  <si>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</si>
  <si>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</si>
  <si>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</si>
  <si>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</si>
  <si>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</si>
  <si>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</si>
  <si>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</si>
  <si>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</si>
  <si>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</si>
  <si>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</si>
  <si>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</si>
  <si>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</si>
  <si>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</si>
  <si>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</si>
  <si>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</si>
  <si>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</si>
  <si>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</si>
  <si>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</si>
  <si>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</si>
  <si>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</si>
  <si>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</si>
  <si>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</si>
  <si>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</si>
  <si>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</si>
  <si>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</si>
  <si>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</si>
  <si>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</si>
  <si>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</si>
  <si>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</si>
  <si>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</si>
  <si>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</si>
  <si>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</si>
  <si>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</si>
  <si>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</si>
  <si>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</si>
  <si>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</si>
  <si>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</si>
  <si>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</si>
  <si>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</si>
  <si>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</si>
  <si>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</si>
  <si>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</si>
  <si>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</si>
  <si>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</si>
  <si>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</si>
  <si>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</si>
  <si>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</si>
  <si>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</si>
  <si>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</si>
  <si>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</si>
  <si>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</si>
  <si>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</si>
  <si>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</si>
  <si>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</si>
  <si>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</si>
  <si>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</si>
  <si>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</si>
  <si>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</si>
  <si>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</si>
  <si>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</si>
  <si>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</si>
  <si>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</si>
  <si>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</si>
  <si>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</si>
  <si>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</si>
  <si>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</si>
  <si>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</si>
  <si>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</si>
  <si>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</si>
  <si>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</si>
  <si>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</si>
  <si>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</si>
  <si>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</si>
  <si>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</si>
  <si>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</si>
  <si>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</si>
  <si>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</si>
  <si>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</si>
  <si>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</si>
  <si>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</si>
  <si>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</si>
  <si>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</si>
  <si>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</si>
  <si>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</si>
  <si>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</si>
  <si>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</si>
  <si>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</si>
  <si>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</si>
  <si>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</si>
  <si>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</si>
  <si>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</si>
  <si>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</si>
  <si>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</si>
  <si>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</si>
  <si>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</si>
  <si>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</si>
  <si>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</si>
  <si>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</si>
  <si>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</si>
  <si>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</si>
  <si>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</si>
  <si>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</si>
  <si>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</si>
  <si>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</si>
  <si>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</si>
  <si>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</si>
  <si>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</si>
  <si>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</si>
  <si>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</si>
  <si>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</si>
  <si>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</si>
  <si>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</si>
  <si>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</si>
  <si>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</si>
  <si>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</si>
  <si>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</si>
  <si>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</si>
  <si>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</si>
  <si>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</si>
  <si>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</si>
  <si>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</si>
  <si>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</si>
  <si>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</si>
  <si>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</si>
  <si>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</si>
  <si>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</si>
  <si>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</si>
  <si>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</si>
  <si>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</si>
  <si>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</si>
  <si>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</si>
  <si>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</si>
  <si>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</si>
  <si>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</si>
  <si>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</si>
  <si>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</si>
  <si>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</si>
  <si>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</si>
  <si>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</si>
  <si>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</si>
  <si>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</si>
  <si>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</si>
  <si>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</si>
  <si>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</si>
  <si>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</si>
  <si>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</si>
  <si>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</si>
  <si>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</si>
  <si>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</si>
  <si>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</si>
  <si>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</si>
  <si>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</si>
  <si>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</si>
  <si>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</si>
  <si>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</si>
  <si>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</si>
  <si>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</si>
  <si>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</si>
  <si>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</si>
  <si>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</si>
  <si>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</si>
  <si>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</si>
  <si>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</si>
  <si>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</si>
  <si>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</si>
  <si>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</si>
  <si>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</si>
  <si>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</si>
  <si>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</si>
  <si>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</si>
  <si>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</si>
  <si>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</si>
  <si>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</si>
  <si>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</si>
  <si>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</si>
  <si>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</si>
  <si>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</si>
  <si>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</si>
  <si>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</si>
  <si>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</si>
  <si>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</si>
  <si>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</si>
  <si>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</si>
  <si>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</si>
  <si>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</si>
  <si>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</si>
  <si>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</si>
  <si>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</si>
  <si>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</si>
  <si>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</si>
  <si>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</si>
  <si>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</si>
  <si>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</si>
  <si>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</si>
  <si>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</si>
  <si>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</si>
  <si>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</si>
  <si>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</si>
  <si>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</si>
  <si>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</si>
  <si>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</si>
  <si>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</si>
  <si>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</si>
  <si>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</si>
  <si>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</si>
  <si>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</si>
  <si>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</si>
  <si>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</si>
  <si>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</si>
  <si>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</si>
  <si>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</si>
  <si>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</si>
  <si>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</si>
  <si>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</si>
  <si>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</si>
  <si>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</si>
  <si>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</si>
  <si>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</si>
  <si>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</si>
  <si>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</si>
  <si>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</si>
  <si>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</si>
  <si>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</si>
  <si>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</si>
  <si>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</si>
  <si>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</si>
  <si>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</si>
  <si>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</si>
  <si>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</si>
  <si>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</si>
  <si>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</si>
  <si>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</si>
  <si>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</si>
  <si>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</si>
  <si>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</si>
  <si>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</si>
  <si>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</si>
  <si>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</si>
  <si>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</si>
  <si>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</si>
  <si>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</si>
  <si>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</si>
  <si>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</si>
  <si>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</si>
  <si>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</si>
  <si>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</si>
  <si>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</si>
  <si>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</si>
  <si>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</si>
  <si>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</si>
  <si>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</si>
  <si>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</si>
  <si>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</si>
  <si>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</si>
  <si>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</si>
  <si>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</si>
  <si>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</si>
  <si>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</si>
  <si>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</si>
  <si>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</si>
  <si>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</si>
  <si>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</si>
  <si>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</si>
  <si>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</si>
  <si>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</si>
  <si>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</si>
  <si>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</si>
  <si>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</si>
  <si>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</si>
  <si>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</si>
  <si>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</si>
  <si>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</si>
  <si>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</si>
  <si>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</si>
  <si>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</si>
  <si>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</si>
  <si>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</si>
  <si>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</si>
  <si>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</si>
  <si>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</si>
  <si>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</si>
  <si>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</si>
  <si>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</si>
  <si>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</si>
  <si>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</si>
  <si>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</si>
  <si>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</si>
  <si>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</si>
  <si>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</si>
  <si>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</si>
  <si>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</si>
  <si>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</si>
  <si>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</si>
  <si>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</si>
  <si>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</si>
  <si>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</si>
  <si>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</si>
  <si>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</si>
  <si>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</si>
  <si>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</si>
  <si>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</si>
  <si>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</si>
  <si>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</si>
  <si>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</si>
  <si>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</si>
  <si>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</si>
  <si>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</si>
  <si>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</si>
  <si>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</si>
  <si>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</si>
  <si>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</si>
  <si>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</si>
  <si>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</si>
  <si>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</si>
  <si>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</si>
  <si>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</si>
  <si>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</si>
  <si>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</si>
  <si>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</si>
  <si>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</si>
  <si>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</si>
  <si>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</si>
  <si>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</si>
  <si>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</si>
  <si>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</si>
  <si>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</si>
  <si>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</si>
  <si>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</si>
  <si>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</si>
  <si>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</si>
  <si>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</si>
  <si>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</si>
  <si>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</si>
  <si>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</si>
  <si>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</si>
  <si>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</si>
  <si>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</si>
  <si>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</si>
  <si>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</si>
  <si>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</si>
  <si>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</si>
  <si>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</si>
  <si>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</si>
  <si>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</si>
  <si>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</si>
  <si>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</si>
  <si>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</si>
  <si>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</si>
  <si>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</si>
  <si>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</si>
  <si>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</si>
  <si>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</si>
  <si>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</si>
  <si>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</si>
  <si>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</si>
  <si>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</si>
  <si>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</si>
  <si>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</si>
  <si>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</si>
  <si>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</si>
  <si>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</si>
  <si>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</si>
  <si>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</si>
  <si>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</si>
  <si>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</si>
  <si>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</si>
  <si>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</si>
  <si>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</si>
  <si>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</si>
  <si>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</si>
  <si>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</si>
  <si>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</si>
  <si>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</si>
  <si>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</si>
  <si>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</si>
  <si>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</si>
  <si>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</si>
  <si>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</si>
  <si>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</si>
  <si>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</si>
  <si>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</si>
  <si>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</si>
  <si>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</si>
  <si>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</si>
  <si>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</si>
  <si>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</si>
  <si>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</si>
  <si>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</si>
  <si>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</si>
  <si>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</si>
  <si>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</si>
  <si>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</si>
  <si>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</si>
  <si>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</si>
  <si>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</si>
  <si>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</si>
  <si>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</si>
  <si>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</si>
  <si>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</si>
  <si>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</si>
  <si>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</si>
  <si>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</si>
  <si>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</si>
  <si>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</si>
  <si>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</si>
  <si>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</si>
  <si>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</si>
  <si>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</si>
  <si>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</si>
  <si>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</si>
  <si>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</si>
  <si>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</si>
  <si>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</si>
  <si>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</si>
  <si>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</si>
  <si>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</si>
  <si>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</si>
  <si>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</si>
  <si>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</si>
  <si>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</si>
  <si>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</si>
  <si>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</si>
  <si>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</si>
  <si>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</si>
  <si>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</si>
  <si>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</si>
  <si>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</si>
  <si>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</si>
  <si>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</si>
  <si>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</si>
  <si>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</si>
  <si>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</si>
  <si>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</si>
  <si>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</si>
  <si>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</si>
  <si>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</si>
  <si>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</si>
  <si>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</si>
  <si>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</si>
  <si>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</si>
  <si>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</si>
  <si>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</si>
  <si>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</si>
  <si>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</si>
  <si>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</si>
  <si>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</si>
  <si>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</si>
  <si>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</si>
  <si>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</si>
  <si>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</si>
  <si>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</si>
  <si>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</si>
  <si>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</si>
  <si>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</si>
  <si>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</si>
  <si>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</si>
  <si>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</si>
  <si>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</si>
  <si>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</si>
  <si>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</si>
  <si>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</si>
  <si>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</si>
  <si>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</si>
  <si>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</si>
  <si>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</si>
  <si>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</si>
  <si>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</si>
  <si>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</si>
  <si>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</si>
  <si>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</si>
  <si>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</si>
  <si>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</si>
  <si>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</si>
  <si>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</si>
  <si>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</si>
  <si>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</si>
  <si>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</si>
  <si>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</si>
  <si>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</si>
  <si>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</si>
  <si>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</si>
  <si>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</si>
  <si>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</si>
  <si>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</si>
  <si>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</si>
  <si>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</si>
  <si>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</si>
  <si>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</si>
  <si>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</si>
  <si>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</si>
  <si>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</si>
  <si>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</si>
  <si>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</si>
  <si>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</si>
  <si>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</si>
  <si>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</si>
  <si>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</si>
  <si>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</si>
  <si>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</si>
  <si>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</si>
  <si>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</si>
  <si>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</si>
  <si>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</si>
  <si>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</si>
  <si>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</si>
  <si>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</si>
  <si>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</si>
  <si>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</si>
  <si>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</si>
  <si>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</si>
  <si>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</si>
  <si>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</si>
  <si>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</si>
  <si>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</si>
  <si>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</si>
  <si>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</si>
  <si>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</si>
  <si>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</si>
  <si>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</si>
  <si>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</si>
  <si>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</si>
  <si>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</si>
  <si>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</si>
  <si>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</si>
  <si>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</si>
  <si>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</si>
  <si>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</si>
  <si>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</si>
  <si>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</si>
  <si>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</si>
  <si>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</si>
  <si>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</si>
  <si>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</si>
  <si>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</si>
  <si>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</si>
  <si>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</si>
  <si>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</si>
  <si>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</si>
  <si>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</si>
  <si>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</si>
  <si>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</si>
  <si>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</si>
  <si>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</si>
  <si>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</si>
  <si>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</si>
  <si>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</si>
  <si>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</si>
  <si>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</si>
  <si>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</si>
  <si>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</si>
  <si>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</si>
  <si>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</si>
  <si>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</si>
  <si>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</si>
  <si>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</si>
  <si>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</si>
  <si>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</si>
  <si>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</si>
  <si>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</si>
  <si>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</si>
  <si>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</si>
  <si>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</si>
  <si>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</si>
  <si>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</si>
  <si>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</si>
  <si>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</si>
  <si>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</si>
  <si>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</si>
  <si>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</si>
  <si>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</si>
  <si>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</si>
  <si>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</si>
  <si>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</si>
  <si>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</si>
  <si>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</si>
  <si>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</si>
  <si>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</si>
  <si>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</si>
  <si>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</si>
  <si>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</si>
  <si>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</si>
  <si>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</si>
  <si>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</si>
  <si>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</si>
  <si>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</si>
  <si>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</si>
  <si>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</si>
  <si>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</si>
  <si>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</si>
  <si>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</si>
  <si>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</si>
  <si>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</si>
  <si>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</si>
  <si>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</si>
  <si>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</si>
  <si>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</si>
  <si>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</si>
  <si>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</si>
  <si>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</si>
  <si>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</si>
  <si>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</si>
  <si>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</si>
  <si>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</si>
  <si>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</si>
  <si>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</si>
  <si>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</si>
  <si>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</si>
  <si>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</si>
  <si>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</si>
  <si>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</si>
  <si>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</si>
  <si>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</si>
  <si>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</si>
  <si>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</si>
  <si>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</si>
  <si>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</si>
  <si>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</si>
  <si>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</si>
  <si>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</si>
  <si>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</si>
  <si>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</si>
  <si>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</si>
  <si>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</si>
  <si>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</si>
  <si>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</si>
  <si>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</si>
  <si>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</si>
  <si>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</si>
  <si>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</si>
  <si>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</si>
  <si>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</si>
  <si>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</si>
  <si>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</si>
  <si>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</si>
  <si>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</si>
  <si>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</si>
  <si>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</si>
  <si>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</si>
  <si>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</si>
  <si>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</si>
  <si>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</si>
  <si>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</si>
  <si>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</si>
  <si>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</si>
  <si>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</si>
  <si>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</si>
  <si>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</si>
  <si>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</si>
  <si>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</si>
  <si>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</si>
  <si>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</si>
  <si>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</si>
  <si>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</si>
  <si>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</si>
  <si>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</si>
  <si>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</si>
  <si>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</si>
  <si>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</si>
  <si>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</si>
  <si>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</si>
  <si>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</si>
  <si>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</si>
  <si>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</si>
  <si>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</si>
  <si>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</si>
  <si>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</si>
  <si>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</si>
  <si>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</si>
  <si>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</si>
  <si>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</si>
  <si>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</si>
  <si>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</si>
  <si>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</si>
  <si>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</si>
  <si>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</si>
  <si>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</si>
  <si>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</si>
  <si>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</si>
  <si>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</si>
  <si>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</si>
  <si>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</si>
  <si>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</si>
  <si>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</si>
  <si>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</si>
  <si>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</si>
  <si>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</si>
  <si>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</si>
  <si>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</si>
  <si>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</si>
  <si>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</si>
  <si>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</si>
  <si>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</si>
  <si>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</si>
  <si>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</si>
  <si>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</si>
  <si>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</si>
  <si>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</si>
  <si>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</si>
  <si>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</si>
  <si>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</si>
  <si>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</si>
  <si>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</si>
  <si>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</si>
  <si>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</si>
  <si>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</si>
  <si>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</si>
  <si>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</si>
  <si>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</si>
  <si>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</si>
  <si>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</si>
  <si>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</si>
  <si>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</si>
  <si>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</si>
  <si>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</si>
  <si>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</si>
  <si>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</si>
  <si>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</si>
  <si>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</si>
  <si>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</si>
  <si>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</si>
  <si>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</si>
  <si>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</si>
  <si>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</si>
  <si>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</si>
  <si>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</si>
  <si>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</si>
  <si>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</si>
  <si>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</si>
  <si>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</si>
  <si>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</si>
  <si>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</si>
  <si>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</si>
  <si>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</si>
  <si>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</si>
  <si>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</si>
  <si>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</si>
  <si>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</si>
  <si>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</si>
  <si>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</si>
  <si>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</si>
  <si>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</si>
  <si>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</si>
  <si>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</si>
  <si>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</si>
  <si>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</si>
  <si>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</si>
  <si>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</si>
  <si>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</si>
  <si>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</si>
  <si>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</si>
  <si>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</si>
  <si>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</si>
  <si>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</si>
  <si>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</si>
  <si>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</si>
  <si>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</si>
  <si>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</si>
  <si>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</si>
  <si>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</si>
  <si>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</si>
  <si>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</si>
  <si>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</si>
  <si>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</si>
  <si>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</si>
  <si>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</si>
  <si>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</si>
  <si>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</si>
  <si>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</si>
  <si>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</si>
  <si>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</si>
  <si>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</si>
  <si>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</si>
  <si>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</si>
  <si>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</si>
  <si>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</si>
  <si>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</si>
  <si>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</si>
  <si>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</si>
  <si>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</si>
  <si>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</si>
  <si>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</si>
  <si>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</si>
  <si>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</si>
  <si>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</si>
  <si>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</si>
  <si>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</si>
  <si>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</si>
  <si>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</si>
  <si>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</si>
  <si>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</si>
  <si>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</si>
  <si>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</si>
  <si>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</si>
  <si>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</si>
  <si>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</si>
  <si>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</si>
  <si>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</si>
  <si>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</si>
  <si>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</si>
  <si>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</si>
  <si>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</si>
  <si>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</si>
  <si>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</si>
  <si>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</si>
  <si>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</si>
  <si>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</si>
  <si>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</si>
  <si>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</si>
  <si>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</si>
  <si>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</si>
  <si>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</si>
  <si>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</si>
  <si>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</si>
  <si>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</si>
  <si>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</si>
  <si>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</si>
  <si>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</si>
  <si>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</si>
  <si>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</si>
  <si>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</si>
  <si>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</si>
  <si>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</si>
  <si>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</si>
  <si>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</si>
  <si>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</si>
  <si>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</si>
  <si>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</si>
  <si>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</si>
  <si>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</si>
  <si>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</si>
  <si>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</si>
  <si>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</si>
  <si>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</si>
  <si>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</si>
  <si>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</si>
  <si>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</si>
  <si>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</si>
  <si>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</si>
  <si>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</si>
  <si>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</si>
  <si>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</si>
  <si>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</si>
  <si>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</si>
  <si>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</si>
  <si>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</si>
  <si>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</si>
  <si>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</si>
  <si>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</si>
  <si>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</si>
  <si>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</si>
  <si>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</si>
  <si>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</si>
  <si>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</si>
  <si>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</si>
  <si>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</si>
  <si>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</si>
  <si>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</si>
  <si>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</si>
  <si>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</si>
  <si>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</si>
  <si>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</si>
  <si>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</si>
  <si>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</si>
  <si>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</si>
  <si>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</si>
  <si>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</si>
  <si>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</si>
  <si>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</si>
  <si>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</si>
  <si>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</si>
  <si>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</si>
  <si>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</si>
  <si>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</si>
  <si>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</si>
  <si>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</si>
  <si>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</si>
  <si>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</si>
  <si>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</si>
  <si>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</si>
  <si>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</si>
  <si>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</si>
  <si>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</si>
  <si>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</si>
  <si>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</si>
  <si>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</si>
  <si>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</si>
  <si>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</si>
  <si>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</si>
  <si>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</si>
  <si>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</si>
  <si>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</si>
  <si>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</si>
  <si>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</si>
  <si>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</si>
  <si>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</si>
  <si>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</si>
  <si>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</si>
  <si>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</si>
  <si>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</si>
  <si>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</si>
  <si>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</si>
  <si>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</si>
  <si>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</si>
  <si>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</si>
  <si>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</si>
  <si>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</si>
  <si>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</si>
  <si>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</si>
  <si>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</si>
  <si>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</si>
  <si>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</si>
  <si>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</si>
  <si>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</si>
  <si>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</si>
  <si>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</si>
  <si>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</si>
  <si>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</si>
  <si>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</si>
  <si>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</si>
  <si>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</si>
  <si>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</si>
  <si>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</si>
  <si>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</si>
  <si>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</si>
  <si>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</si>
  <si>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</si>
  <si>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</si>
  <si>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</si>
  <si>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</si>
  <si>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</si>
  <si>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</si>
  <si>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</si>
  <si>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</si>
  <si>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</si>
  <si>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</si>
  <si>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</si>
  <si>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</si>
  <si>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</si>
  <si>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</si>
  <si>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</si>
  <si>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</si>
  <si>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</si>
  <si>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</si>
  <si>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</si>
  <si>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</si>
  <si>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</si>
  <si>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</si>
  <si>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</si>
  <si>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</si>
  <si>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</si>
  <si>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</si>
  <si>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</si>
  <si>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</si>
  <si>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</si>
  <si>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</si>
  <si>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</si>
  <si>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</si>
  <si>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</si>
  <si>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</si>
  <si>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</si>
  <si>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</si>
  <si>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</si>
  <si>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</si>
  <si>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</si>
  <si>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</si>
  <si>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</si>
  <si>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</si>
  <si>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</si>
  <si>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</si>
  <si>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</si>
  <si>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</si>
  <si>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</si>
  <si>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</si>
  <si>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</si>
  <si>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</si>
  <si>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</si>
  <si>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</si>
  <si>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</si>
  <si>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</si>
  <si>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</si>
  <si>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</si>
  <si>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</si>
  <si>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</si>
  <si>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</si>
  <si>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</si>
  <si>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</si>
  <si>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</si>
  <si>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</si>
  <si>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</si>
  <si>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</si>
  <si>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</si>
  <si>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</si>
  <si>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</si>
  <si>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</si>
  <si>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</si>
  <si>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</si>
  <si>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</si>
  <si>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</si>
  <si>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</si>
  <si>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</si>
  <si>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</si>
  <si>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</si>
  <si>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</si>
  <si>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</si>
  <si>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</si>
  <si>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</si>
  <si>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</si>
  <si>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</si>
  <si>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</si>
  <si>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</si>
  <si>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</si>
  <si>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</si>
  <si>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</si>
  <si>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</si>
  <si>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</si>
  <si>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</si>
  <si>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</si>
  <si>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</si>
  <si>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</si>
  <si>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</si>
  <si>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</si>
  <si>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</si>
  <si>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</si>
  <si>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</si>
  <si>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</si>
  <si>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</si>
  <si>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</si>
  <si>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</si>
  <si>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</si>
  <si>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</si>
  <si>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</si>
  <si>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</si>
  <si>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</si>
  <si>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</si>
  <si>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</si>
  <si>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</si>
  <si>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</si>
  <si>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</si>
  <si>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</si>
  <si>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</si>
  <si>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</si>
  <si>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</si>
  <si>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</si>
  <si>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</si>
  <si>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</si>
  <si>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</si>
  <si>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</si>
  <si>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</si>
  <si>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</si>
  <si>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</si>
  <si>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</si>
  <si>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</si>
  <si>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</si>
  <si>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</si>
  <si>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</si>
  <si>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</si>
  <si>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</si>
  <si>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</si>
  <si>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</si>
  <si>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</si>
  <si>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</si>
  <si>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</si>
  <si>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</si>
  <si>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</si>
  <si>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</si>
  <si>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</si>
  <si>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</si>
  <si>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</si>
  <si>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</si>
  <si>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</si>
  <si>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</si>
  <si>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</si>
  <si>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</si>
  <si>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</si>
  <si>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</si>
  <si>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</si>
  <si>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</si>
  <si>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</si>
  <si>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</si>
  <si>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</si>
  <si>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</si>
  <si>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</si>
  <si>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</si>
  <si>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</si>
  <si>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</si>
  <si>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</si>
  <si>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</si>
  <si>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</si>
  <si>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</si>
  <si>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</si>
  <si>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</si>
  <si>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</si>
  <si>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</si>
  <si>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</si>
  <si>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</si>
  <si>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</si>
  <si>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</si>
  <si>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</si>
  <si>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</si>
  <si>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</si>
  <si>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</si>
  <si>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</si>
  <si>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</si>
  <si>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</si>
  <si>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</si>
  <si>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</si>
  <si>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</si>
  <si>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</si>
  <si>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</si>
  <si>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</si>
  <si>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</si>
  <si>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</si>
  <si>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</si>
  <si>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</si>
  <si>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</si>
  <si>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</si>
  <si>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</si>
  <si>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</si>
  <si>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</si>
  <si>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</si>
  <si>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</si>
  <si>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</si>
  <si>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</si>
  <si>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</si>
  <si>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</si>
  <si>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</si>
  <si>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</si>
  <si>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</si>
  <si>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</si>
  <si>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</si>
  <si>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</si>
  <si>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</si>
  <si>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</si>
  <si>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</si>
  <si>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</si>
  <si>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</si>
  <si>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</si>
  <si>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</si>
  <si>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</si>
  <si>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</si>
  <si>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</si>
  <si>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</si>
  <si>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</si>
  <si>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</si>
  <si>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</si>
  <si>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</si>
  <si>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</si>
  <si>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</si>
  <si>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</si>
  <si>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</si>
  <si>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</si>
  <si>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</si>
  <si>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</si>
  <si>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</si>
  <si>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</si>
  <si>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</si>
  <si>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</si>
  <si>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</si>
  <si>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</si>
  <si>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</si>
  <si>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</si>
  <si>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</si>
  <si>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</si>
  <si>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</si>
  <si>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</si>
  <si>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</si>
  <si>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</si>
  <si>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</si>
  <si>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</si>
  <si>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</si>
  <si>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</si>
  <si>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</si>
  <si>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</si>
  <si>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</si>
  <si>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</si>
  <si>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</si>
  <si>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</si>
  <si>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</si>
  <si>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</si>
  <si>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</si>
  <si>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</si>
  <si>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</si>
  <si>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</si>
  <si>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</si>
  <si>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</si>
  <si>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</si>
  <si>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</si>
  <si>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</si>
  <si>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</si>
  <si>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</si>
  <si>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</si>
  <si>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</si>
  <si>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</si>
  <si>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</si>
  <si>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</si>
  <si>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</si>
  <si>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</si>
  <si>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</si>
  <si>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</si>
  <si>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</si>
  <si>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</si>
  <si>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</si>
  <si>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</si>
  <si>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</si>
  <si>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</si>
  <si>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</si>
  <si>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</si>
  <si>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</si>
  <si>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</si>
  <si>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</si>
  <si>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</si>
  <si>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</si>
  <si>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</si>
  <si>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</si>
  <si>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</si>
  <si>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</si>
  <si>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</si>
  <si>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</si>
  <si>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</si>
  <si>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</si>
  <si>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</si>
  <si>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</si>
  <si>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</si>
  <si>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</si>
  <si>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</si>
  <si>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</si>
  <si>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</si>
  <si>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</si>
  <si>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</si>
  <si>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</si>
  <si>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</si>
  <si>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</si>
  <si>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</si>
  <si>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</si>
  <si>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</si>
  <si>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</si>
  <si>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</si>
  <si>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</si>
  <si>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</si>
  <si>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</si>
  <si>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</si>
  <si>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</si>
  <si>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</si>
  <si>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</si>
  <si>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</si>
  <si>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</si>
  <si>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</si>
  <si>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</si>
  <si>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</si>
  <si>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</si>
  <si>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</si>
  <si>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</si>
  <si>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</si>
  <si>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</si>
  <si>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</si>
  <si>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</si>
  <si>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</si>
  <si>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</si>
  <si>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</si>
  <si>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</si>
  <si>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</si>
  <si>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</si>
  <si>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</si>
  <si>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</si>
  <si>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</si>
  <si>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</si>
  <si>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</si>
  <si>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</si>
  <si>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</si>
  <si>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</si>
  <si>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</si>
  <si>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</si>
  <si>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</si>
  <si>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</si>
  <si>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</si>
  <si>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</si>
  <si>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</si>
  <si>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</si>
  <si>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</si>
  <si>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</si>
  <si>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</si>
  <si>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</si>
  <si>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</si>
  <si>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</si>
  <si>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</si>
  <si>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</si>
  <si>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</si>
  <si>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</si>
  <si>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</si>
  <si>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</si>
  <si>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</si>
  <si>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</si>
  <si>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</si>
  <si>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</si>
  <si>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</si>
  <si>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</si>
  <si>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</si>
  <si>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</si>
  <si>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</si>
  <si>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</si>
  <si>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</si>
  <si>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</si>
  <si>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</si>
  <si>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</si>
  <si>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</si>
  <si>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</si>
  <si>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</si>
  <si>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</si>
  <si>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</si>
  <si>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</si>
  <si>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</si>
  <si>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</si>
  <si>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</si>
  <si>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</si>
  <si>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</si>
  <si>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</si>
  <si>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</si>
  <si>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</si>
  <si>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</si>
  <si>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</si>
  <si>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</si>
  <si>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</si>
  <si>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</si>
  <si>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</si>
  <si>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</si>
  <si>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</si>
  <si>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</si>
  <si>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</si>
  <si>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</si>
  <si>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</si>
  <si>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</si>
  <si>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</si>
  <si>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</si>
  <si>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</si>
  <si>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</si>
  <si>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</si>
  <si>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</si>
  <si>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</si>
  <si>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</si>
  <si>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</si>
  <si>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</si>
  <si>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</si>
  <si>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</si>
  <si>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</si>
  <si>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</si>
  <si>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</si>
  <si>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</si>
  <si>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</si>
  <si>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</si>
  <si>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</si>
  <si>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</si>
  <si>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</si>
  <si>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</si>
  <si>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</si>
  <si>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</si>
  <si>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</si>
  <si>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</si>
  <si>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</si>
  <si>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</si>
  <si>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</si>
  <si>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</si>
  <si>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</si>
  <si>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</si>
  <si>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</si>
  <si>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</si>
  <si>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</si>
  <si>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</si>
  <si>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</si>
  <si>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</si>
  <si>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</si>
  <si>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</si>
  <si>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</si>
  <si>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</si>
  <si>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</si>
  <si>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</si>
  <si>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</si>
  <si>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</si>
  <si>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</si>
  <si>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</si>
  <si>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</si>
  <si>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</si>
  <si>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</si>
  <si>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</si>
  <si>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</si>
  <si>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</si>
  <si>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</si>
  <si>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</si>
  <si>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</si>
  <si>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</si>
  <si>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</si>
  <si>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</si>
  <si>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</si>
  <si>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</si>
  <si>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</si>
  <si>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</si>
  <si>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</si>
  <si>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</si>
  <si>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</si>
  <si>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</si>
  <si>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</si>
  <si>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</si>
  <si>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</si>
  <si>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</si>
  <si>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</si>
  <si>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</si>
  <si>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</si>
  <si>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</si>
  <si>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</si>
  <si>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</si>
  <si>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</si>
  <si>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</si>
  <si>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</si>
  <si>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</si>
  <si>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</si>
  <si>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</si>
  <si>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</si>
  <si>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</si>
  <si>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</si>
  <si>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</si>
  <si>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</si>
  <si>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</si>
  <si>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</si>
  <si>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</si>
  <si>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</si>
  <si>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</si>
  <si>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</si>
  <si>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</si>
  <si>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</si>
  <si>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</si>
  <si>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</si>
  <si>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</si>
  <si>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</si>
  <si>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</si>
  <si>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</si>
  <si>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</si>
  <si>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</si>
  <si>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</si>
  <si>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</si>
  <si>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</si>
  <si>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</si>
  <si>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</si>
  <si>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</si>
  <si>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</si>
  <si>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</si>
  <si>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</si>
  <si>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</si>
  <si>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</si>
  <si>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</si>
  <si>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</si>
  <si>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</si>
  <si>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</si>
  <si>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</si>
  <si>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</si>
  <si>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</si>
  <si>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</si>
  <si>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</si>
  <si>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</si>
  <si>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</si>
  <si>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</si>
  <si>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</si>
  <si>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</si>
  <si>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</si>
  <si>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</si>
  <si>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</si>
  <si>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</si>
  <si>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</si>
  <si>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</si>
  <si>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</si>
  <si>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</si>
  <si>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</si>
  <si>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</si>
  <si>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</si>
  <si>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</si>
  <si>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</si>
  <si>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</si>
  <si>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</si>
  <si>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</si>
  <si>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</si>
  <si>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</si>
  <si>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</si>
  <si>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</si>
  <si>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</si>
  <si>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</si>
  <si>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</si>
  <si>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</si>
  <si>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</si>
  <si>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</si>
  <si>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</si>
  <si>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</si>
  <si>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</si>
  <si>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</si>
  <si>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</si>
  <si>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</si>
  <si>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</si>
  <si>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</si>
  <si>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</si>
  <si>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</si>
  <si>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</si>
  <si>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</si>
  <si>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</si>
  <si>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</si>
  <si>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</si>
  <si>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</si>
  <si>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</si>
  <si>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</si>
  <si>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</si>
  <si>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</si>
  <si>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</si>
  <si>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</si>
  <si>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</si>
  <si>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</si>
  <si>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</si>
  <si>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</si>
  <si>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</si>
  <si>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</si>
  <si>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</si>
  <si>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</si>
  <si>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</si>
  <si>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</si>
  <si>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</si>
  <si>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</si>
  <si>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</si>
  <si>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</si>
  <si>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</si>
  <si>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</si>
  <si>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</si>
  <si>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</si>
  <si>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</si>
  <si>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</si>
  <si>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</si>
  <si>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</si>
  <si>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</si>
  <si>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</si>
  <si>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</si>
  <si>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</si>
  <si>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</si>
  <si>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</si>
  <si>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</si>
  <si>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</si>
  <si>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</si>
  <si>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</si>
  <si>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</si>
  <si>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</si>
  <si>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</si>
  <si>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</si>
  <si>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</si>
  <si>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</si>
  <si>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</si>
  <si>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</si>
  <si>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</si>
  <si>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</si>
  <si>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</si>
  <si>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</si>
  <si>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</si>
  <si>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</si>
  <si>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</si>
  <si>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</si>
  <si>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</si>
  <si>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</si>
  <si>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</si>
  <si>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</si>
  <si>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</si>
  <si>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</si>
  <si>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</si>
  <si>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</si>
  <si>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</si>
  <si>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</si>
  <si>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</si>
  <si>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</si>
  <si>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</si>
  <si>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</si>
  <si>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</si>
  <si>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</si>
  <si>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</si>
  <si>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</si>
  <si>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</si>
  <si>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</si>
  <si>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</si>
  <si>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</si>
  <si>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</si>
  <si>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</si>
  <si>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</si>
  <si>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</si>
  <si>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</si>
  <si>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</si>
  <si>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</si>
  <si>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</si>
  <si>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</si>
  <si>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</si>
  <si>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</si>
  <si>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</si>
  <si>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</si>
  <si>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</si>
  <si>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</si>
  <si>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</si>
  <si>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</si>
  <si>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</si>
  <si>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</si>
  <si>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</si>
  <si>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</si>
  <si>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</si>
  <si>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</si>
  <si>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</si>
  <si>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</si>
  <si>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</si>
  <si>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</si>
  <si>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</si>
  <si>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</si>
  <si>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</si>
  <si>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</si>
  <si>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</si>
  <si>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</si>
  <si>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</si>
  <si>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</si>
  <si>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</si>
  <si>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</si>
  <si>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</si>
  <si>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</si>
  <si>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</si>
  <si>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</si>
  <si>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</si>
  <si>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</si>
  <si>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</si>
  <si>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</si>
  <si>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</si>
  <si>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</si>
  <si>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</si>
  <si>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</si>
  <si>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</si>
  <si>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</si>
  <si>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</si>
  <si>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</si>
  <si>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</si>
  <si>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</si>
  <si>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</si>
  <si>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</si>
  <si>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</si>
  <si>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</si>
  <si>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</si>
  <si>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</si>
  <si>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</si>
  <si>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</si>
  <si>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</si>
  <si>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</si>
  <si>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</si>
  <si>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</si>
  <si>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</si>
  <si>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</si>
  <si>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</si>
  <si>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</si>
  <si>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</si>
  <si>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</si>
  <si>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</si>
  <si>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</si>
  <si>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</si>
  <si>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</si>
  <si>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</si>
  <si>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</si>
  <si>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</si>
  <si>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</si>
  <si>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</si>
  <si>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</si>
  <si>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</si>
  <si>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</si>
  <si>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</si>
  <si>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</si>
  <si>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</si>
  <si>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</si>
  <si>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</si>
  <si>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</si>
  <si>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</si>
  <si>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</si>
  <si>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</si>
  <si>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</si>
  <si>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</si>
  <si>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</si>
  <si>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</si>
  <si>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</si>
  <si>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</si>
  <si>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</si>
  <si>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</si>
  <si>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</si>
  <si>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</si>
  <si>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</si>
  <si>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</si>
  <si>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</si>
  <si>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</si>
  <si>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</si>
  <si>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</si>
  <si>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</si>
  <si>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</si>
  <si>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</si>
  <si>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</si>
  <si>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</si>
  <si>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</si>
  <si>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</si>
  <si>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</si>
  <si>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</si>
  <si>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</si>
  <si>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</si>
  <si>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</si>
  <si>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</si>
  <si>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</si>
  <si>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</si>
  <si>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</si>
  <si>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</si>
  <si>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</si>
  <si>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</si>
  <si>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</si>
  <si>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</si>
  <si>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</si>
  <si>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</si>
  <si>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</si>
  <si>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</si>
  <si>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</si>
  <si>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</si>
  <si>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</si>
  <si>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</si>
  <si>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</si>
  <si>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</si>
  <si>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</si>
  <si>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</si>
  <si>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</si>
  <si>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</si>
  <si>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</si>
  <si>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</si>
  <si>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</si>
  <si>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</si>
  <si>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</si>
  <si>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</si>
  <si>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</si>
  <si>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</si>
  <si>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</si>
  <si>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</si>
  <si>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</si>
  <si>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</si>
  <si>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</si>
  <si>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</si>
  <si>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</si>
  <si>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</si>
  <si>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</si>
  <si>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</si>
  <si>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</si>
  <si>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</si>
  <si>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</si>
  <si>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</si>
  <si>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</si>
  <si>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</si>
  <si>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</si>
  <si>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</si>
  <si>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</si>
  <si>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</si>
  <si>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</si>
  <si>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</si>
  <si>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</si>
  <si>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</si>
  <si>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</si>
  <si>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</si>
  <si>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</si>
  <si>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</si>
  <si>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</si>
  <si>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</si>
  <si>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</si>
  <si>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</si>
  <si>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</si>
  <si>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</si>
  <si>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</si>
  <si>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</si>
  <si>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</si>
  <si>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</si>
  <si>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</si>
  <si>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</si>
  <si>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</si>
  <si>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</si>
  <si>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</si>
  <si>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</si>
  <si>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</si>
  <si>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</si>
  <si>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</si>
  <si>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</si>
  <si>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</si>
  <si>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</si>
  <si>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</si>
  <si>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</si>
  <si>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</si>
  <si>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</si>
  <si>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</si>
  <si>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</si>
  <si>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</si>
  <si>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</si>
  <si>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</si>
  <si>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</si>
  <si>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</si>
  <si>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</si>
  <si>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</si>
  <si>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</si>
  <si>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</si>
  <si>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</si>
  <si>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</si>
  <si>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</si>
  <si>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</si>
  <si>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</si>
  <si>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</si>
  <si>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</si>
  <si>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</si>
  <si>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</si>
  <si>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</si>
  <si>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</si>
  <si>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</si>
  <si>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</si>
  <si>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</si>
  <si>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</si>
  <si>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</si>
  <si>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</si>
  <si>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</si>
  <si>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</si>
  <si>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</si>
  <si>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</si>
  <si>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</si>
  <si>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</si>
  <si>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</si>
  <si>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</si>
  <si>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</si>
  <si>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</si>
  <si>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</si>
  <si>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</si>
  <si>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</si>
  <si>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</si>
  <si>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</si>
  <si>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</si>
  <si>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</si>
  <si>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</si>
  <si>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</si>
  <si>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</si>
  <si>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</si>
  <si>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</si>
  <si>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</si>
  <si>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</si>
  <si>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</si>
  <si>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</si>
  <si>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</si>
  <si>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</si>
  <si>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</si>
  <si>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</si>
  <si>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</si>
  <si>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</si>
  <si>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</si>
  <si>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</si>
  <si>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</si>
  <si>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</si>
  <si>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</si>
  <si>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</si>
  <si>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</si>
  <si>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</si>
  <si>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</si>
  <si>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</si>
  <si>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</si>
  <si>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</si>
  <si>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</si>
  <si>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</si>
  <si>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</si>
  <si>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</si>
  <si>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</si>
  <si>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</si>
  <si>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</si>
  <si>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</si>
  <si>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</si>
  <si>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</si>
  <si>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</si>
  <si>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</si>
  <si>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</si>
  <si>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</si>
  <si>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{DataSetObj: *DataSetID0001, ResultObj: *ResultID0001}</t>
  </si>
  <si>
    <t xml:space="preserve">  - {DataSetObj: *DataSetID0001, ResultObj: *ResultID0002}</t>
  </si>
  <si>
    <t xml:space="preserve">  - {DataSetObj: *DataSetID0001, ResultObj: *ResultID0003}</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</si>
  <si>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</si>
  <si>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</si>
  <si>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</si>
  <si>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</si>
  <si>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</si>
  <si>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</si>
  <si>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</si>
  <si>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</si>
  <si>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</si>
  <si>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</si>
  <si>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</si>
  <si>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</si>
  <si>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</si>
  <si>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</si>
  <si>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</si>
  <si>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</si>
  <si>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</si>
  <si>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</si>
  <si>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</si>
  <si>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</si>
  <si>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</si>
  <si>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</si>
  <si>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</si>
  <si>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</si>
  <si>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</si>
  <si>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</si>
  <si>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</si>
  <si>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</si>
  <si>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</si>
  <si>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</si>
  <si>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</si>
  <si>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</si>
  <si>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</si>
  <si>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</si>
  <si>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</si>
  <si>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</si>
  <si>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</si>
  <si>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</si>
  <si>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</si>
  <si>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</si>
  <si>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</si>
  <si>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</si>
  <si>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</si>
  <si>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</si>
  <si>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</si>
  <si>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</si>
  <si>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</si>
  <si>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</si>
  <si>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</si>
  <si>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</si>
  <si>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</si>
  <si>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</si>
  <si>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</si>
  <si>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</si>
  <si>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</si>
  <si>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</si>
  <si>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</si>
  <si>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</si>
  <si>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</si>
  <si>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</si>
  <si>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</si>
  <si>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</si>
  <si>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</si>
  <si>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</si>
  <si>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</si>
  <si>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</si>
  <si>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</si>
  <si>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</si>
  <si>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</si>
  <si>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</si>
  <si>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</si>
  <si>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</si>
  <si>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</si>
  <si>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</si>
  <si>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 xml:space="preserve">  - {Version: "1.0.0", Profile: "TimeSeries", CreationTool: "Excel Template v1.0.0", DateCreated: "2015-03-30", DateUpdated: "2015-03-30"}</t>
  </si>
  <si>
    <t>Citations:</t>
  </si>
  <si>
    <t>AuthorLists:</t>
  </si>
  <si>
    <t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</si>
  <si>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</si>
  <si>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</si>
  <si>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</si>
  <si>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</si>
  <si>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</si>
  <si>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</si>
  <si>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</si>
  <si>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</si>
  <si>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</si>
  <si>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</si>
  <si>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</si>
  <si>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</si>
  <si>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</si>
  <si>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</si>
  <si>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</si>
  <si>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</si>
  <si>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</si>
  <si>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</si>
  <si>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For questions or problems with this excel template or the YAML it produces, please contact Sara Damiano at sdamiano@stroudcenter.org</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</si>
</sst>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1" dataDxfId="209" headerRowBorderDxfId="210" tableBorderDxfId="208">
  <tableColumns count="5">
    <tableColumn id="1" name="Organization Type [CV]" dataDxfId="207"/>
    <tableColumn id="2" name="Organization Code" dataDxfId="206"/>
    <tableColumn id="3" name="Organization Name" dataDxfId="205"/>
    <tableColumn id="4" name="Organization Description" dataDxfId="204"/>
    <tableColumn id="5" name="Organization Link" dataDxfId="20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2" dataDxfId="200" headerRowBorderDxfId="201" tableBorderDxfId="199">
  <tableColumns count="9">
    <tableColumn id="1" name="First Name" dataDxfId="198"/>
    <tableColumn id="2" name="Middle Name" dataDxfId="197"/>
    <tableColumn id="3" name="Last Name" dataDxfId="196"/>
    <tableColumn id="5" name="Organization Name" dataDxfId="195"/>
    <tableColumn id="6" name="Primary Email" dataDxfId="194"/>
    <tableColumn id="7" name="Primary Address" dataDxfId="193"/>
    <tableColumn id="10" name="Person OrcID" dataDxfId="192"/>
    <tableColumn id="8" name="Full Name" dataDxfId="191">
      <calculatedColumnFormula>CONCATENATE(People[[#This Row],[First Name]]," ",People[[#This Row],[Middle Name]]," ",People[[#This Row],[Last Name]])</calculatedColumnFormula>
    </tableColumn>
    <tableColumn id="9" name="ExternalIDNum" dataDxfId="190">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9" dataDxfId="187" headerRowBorderDxfId="188" tableBorderDxfId="186">
  <tableColumns count="2">
    <tableColumn id="1" name="Author Number" dataDxfId="185"/>
    <tableColumn id="2" name="Author Name" dataDxfId="18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3" dataDxfId="181" headerRowBorderDxfId="182" tableBorderDxfId="180">
  <tableColumns count="10">
    <tableColumn id="1" name="Sampling Feature UUID" dataDxfId="179"/>
    <tableColumn id="2" name="Sampling Feature Type" dataDxfId="178"/>
    <tableColumn id="3" name="Feature Geo Type" dataDxfId="177"/>
    <tableColumn id="4" name="Feature Code" dataDxfId="176"/>
    <tableColumn id="5" name="Feature Name" dataDxfId="175"/>
    <tableColumn id="6" name="Feature Description" dataDxfId="174"/>
    <tableColumn id="7" name="Feature Geometry" dataDxfId="173"/>
    <tableColumn id="8" name="Elevation_m" dataDxfId="172"/>
    <tableColumn id="9" name="Feature IGSN" dataDxfId="171"/>
    <tableColumn id="10" name="IGSNID" dataDxfId="170">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69" dataDxfId="167" headerRowBorderDxfId="168" tableBorderDxfId="166">
  <tableColumns count="4">
    <tableColumn id="4" name="SiteID" dataDxfId="165">
      <calculatedColumnFormula>IF(SamplingFeatures[[#This Row],[Sampling Feature Type]]="Site",MAX(L$11:L11)+1,"")</calculatedColumnFormula>
    </tableColumn>
    <tableColumn id="1" name="Site Type" dataDxfId="164"/>
    <tableColumn id="2" name="Latitude" dataDxfId="163"/>
    <tableColumn id="3" name="Longitude" dataDxfId="162"/>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1" dataDxfId="159" headerRowBorderDxfId="160" tableBorderDxfId="158">
  <tableColumns count="4">
    <tableColumn id="4" name="SpecimenID" dataDxfId="157">
      <calculatedColumnFormula>IF(SamplingFeatures[[#This Row],[Sampling Feature Type]]="Specimen",MAX(Q$11:Q11)+1,"")</calculatedColumnFormula>
    </tableColumn>
    <tableColumn id="1" name="Specimen Type" dataDxfId="156"/>
    <tableColumn id="2" name="Specimen Medium" dataDxfId="155"/>
    <tableColumn id="3" name="Is Field Specimen?" dataDxfId="154"/>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3" dataDxfId="151" headerRowBorderDxfId="152" tableBorderDxfId="150">
  <tableColumns count="11">
    <tableColumn id="1" name="First Sampling Feature Code" dataDxfId="149"/>
    <tableColumn id="2" name="Relationship Type" dataDxfId="148"/>
    <tableColumn id="3" name="Second Sampling Feature Code" dataDxfId="147"/>
    <tableColumn id="5" name="Spatial Offset Type" dataDxfId="146"/>
    <tableColumn id="6" name="Offset 1 Value" dataDxfId="145"/>
    <tableColumn id="7" name="Offset 1 Unit" dataDxfId="144"/>
    <tableColumn id="8" name="Offset 2 Value" dataDxfId="143"/>
    <tableColumn id="9" name="Offset 2 Unit" dataDxfId="142"/>
    <tableColumn id="10" name="Offset 3 Value" dataDxfId="141"/>
    <tableColumn id="11" name="Offset 3 Unit" dataDxfId="140"/>
    <tableColumn id="12" name="OffsetID" dataDxfId="13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8" dataDxfId="136" headerRowBorderDxfId="137" tableBorderDxfId="135">
  <tableColumns count="6">
    <tableColumn id="1" name="Method Type" dataDxfId="134"/>
    <tableColumn id="2" name="Method Code" dataDxfId="133"/>
    <tableColumn id="3" name="Method Name" dataDxfId="132"/>
    <tableColumn id="4" name="Method Description" dataDxfId="131"/>
    <tableColumn id="5" name="Method Link" dataDxfId="130"/>
    <tableColumn id="6" name="Organization Name" dataDxfId="129"/>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8" dataDxfId="126" headerRowBorderDxfId="127" tableBorderDxfId="125">
  <tableColumns count="6">
    <tableColumn id="1" name="Variable Type" dataDxfId="124"/>
    <tableColumn id="2" name="Variable Code" dataDxfId="123"/>
    <tableColumn id="3" name="Variable Name" dataDxfId="122"/>
    <tableColumn id="4" name="Variable Definition" dataDxfId="121"/>
    <tableColumn id="5" name="Speciation" dataDxfId="120"/>
    <tableColumn id="6" name="No Data Value" dataDxfId="119"/>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8" dataDxfId="116" headerRowBorderDxfId="117" tableBorderDxfId="115">
  <tableColumns count="3">
    <tableColumn id="1" name="Processing Level Code" dataDxfId="114"/>
    <tableColumn id="2" name="Definition" dataDxfId="113"/>
    <tableColumn id="3" name="Explanation" dataDxfId="11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1" dataDxfId="109" headerRowBorderDxfId="110" tableBorderDxfId="108">
  <tableColumns count="16">
    <tableColumn id="1" name="Col #" dataDxfId="107">
      <calculatedColumnFormula>IF(COUNTA(DataColumns[[#This Row],[Column Label]:[Quality Code]])&gt;0,IF(MAX(A$10:A10)=0,3,MAX(A$10:A10)+1),"")</calculatedColumnFormula>
    </tableColumn>
    <tableColumn id="2" name="Column Label" dataDxfId="106"/>
    <tableColumn id="3" name="ResultUUID" dataDxfId="105"/>
    <tableColumn id="4" name="Sampling Feature Code" dataDxfId="104"/>
    <tableColumn id="5" name="Method Code" dataDxfId="103"/>
    <tableColumn id="10" name="Data Collector" dataDxfId="102"/>
    <tableColumn id="6" name="Result Type" dataDxfId="101"/>
    <tableColumn id="7" name="Variable Code" dataDxfId="100"/>
    <tableColumn id="8" name="Unit Name" dataDxfId="99"/>
    <tableColumn id="9" name="Processing Level" dataDxfId="98"/>
    <tableColumn id="11" name="Sampled Medium" dataDxfId="97"/>
    <tableColumn id="12" name="Time Aggregation Interval" dataDxfId="96"/>
    <tableColumn id="13" name="Time Aggregation Unit" dataDxfId="95"/>
    <tableColumn id="14" name="Aggregation Statistic" dataDxfId="94"/>
    <tableColumn id="15" name="Censor Code" dataDxfId="93"/>
    <tableColumn id="16" name="Quality Code" dataDxfId="9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1">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0" headerRowBorderDxfId="89" tableBorderDxfId="8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3" headerRowBorderDxfId="82" tableBorderDxfId="81">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5" headerRowBorderDxfId="74" tableBorderDxfId="73">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opLeftCell="A52" workbookViewId="0">
      <selection activeCell="A67" sqref="A67"/>
    </sheetView>
  </sheetViews>
  <sheetFormatPr defaultRowHeight="15" x14ac:dyDescent="0.25"/>
  <sheetData>
    <row r="1" spans="1:1" s="5" customFormat="1" ht="18.75" x14ac:dyDescent="0.3">
      <c r="A1" s="6" t="s">
        <v>4812</v>
      </c>
    </row>
    <row r="2" spans="1:1" s="5" customFormat="1" ht="18.75" x14ac:dyDescent="0.3">
      <c r="A2" s="154" t="s">
        <v>4809</v>
      </c>
    </row>
    <row r="3" spans="1:1" s="5" customFormat="1" ht="18.75" x14ac:dyDescent="0.3">
      <c r="A3" s="6" t="s">
        <v>4810</v>
      </c>
    </row>
    <row r="4" spans="1:1" s="5" customFormat="1" ht="18.75" x14ac:dyDescent="0.3">
      <c r="A4" s="154" t="s">
        <v>4811</v>
      </c>
    </row>
    <row r="5" spans="1:1" s="5" customFormat="1" ht="18.75" x14ac:dyDescent="0.3">
      <c r="A5" s="6" t="s">
        <v>4808</v>
      </c>
    </row>
    <row r="6" spans="1:1" s="5" customFormat="1" ht="18.75" x14ac:dyDescent="0.3">
      <c r="A6" s="154" t="s">
        <v>4809</v>
      </c>
    </row>
    <row r="7" spans="1:1" s="5" customFormat="1" x14ac:dyDescent="0.25"/>
    <row r="8" spans="1:1" ht="18.75" x14ac:dyDescent="0.3">
      <c r="A8" s="6" t="s">
        <v>1212</v>
      </c>
    </row>
    <row r="9" spans="1:1" s="5" customFormat="1" x14ac:dyDescent="0.25">
      <c r="A9" s="5" t="s">
        <v>1236</v>
      </c>
    </row>
    <row r="10" spans="1:1" s="5" customFormat="1" x14ac:dyDescent="0.25"/>
    <row r="11" spans="1:1" ht="18.75" x14ac:dyDescent="0.3">
      <c r="A11" s="6" t="s">
        <v>1211</v>
      </c>
    </row>
    <row r="12" spans="1:1" s="5" customFormat="1" x14ac:dyDescent="0.25">
      <c r="A12" s="166" t="s">
        <v>4858</v>
      </c>
    </row>
    <row r="13" spans="1:1" s="5" customFormat="1" x14ac:dyDescent="0.25">
      <c r="A13" s="2" t="s">
        <v>4859</v>
      </c>
    </row>
    <row r="14" spans="1:1" s="5" customFormat="1" x14ac:dyDescent="0.25">
      <c r="A14" s="2" t="s">
        <v>4862</v>
      </c>
    </row>
    <row r="15" spans="1:1" s="5" customFormat="1" x14ac:dyDescent="0.25">
      <c r="A15" s="167" t="s">
        <v>4860</v>
      </c>
    </row>
    <row r="16" spans="1:1" s="5" customFormat="1" x14ac:dyDescent="0.25">
      <c r="A16" s="2" t="s">
        <v>4861</v>
      </c>
    </row>
    <row r="17" spans="1:1" s="5" customFormat="1" x14ac:dyDescent="0.25">
      <c r="A17" s="2" t="s">
        <v>4863</v>
      </c>
    </row>
    <row r="18" spans="1:1" s="5" customFormat="1" x14ac:dyDescent="0.25">
      <c r="A18" s="2" t="s">
        <v>4864</v>
      </c>
    </row>
    <row r="19" spans="1:1" s="5" customFormat="1" x14ac:dyDescent="0.25">
      <c r="A19" s="2" t="s">
        <v>4865</v>
      </c>
    </row>
    <row r="20" spans="1:1" s="5" customFormat="1" x14ac:dyDescent="0.25">
      <c r="A20" s="2" t="s">
        <v>4866</v>
      </c>
    </row>
    <row r="21" spans="1:1" s="5" customFormat="1" x14ac:dyDescent="0.25">
      <c r="A21" s="2" t="s">
        <v>4867</v>
      </c>
    </row>
    <row r="22" spans="1:1" s="5" customFormat="1" x14ac:dyDescent="0.25">
      <c r="A22" s="2" t="s">
        <v>4879</v>
      </c>
    </row>
    <row r="23" spans="1:1" s="5" customFormat="1" x14ac:dyDescent="0.25">
      <c r="A23" s="167" t="s">
        <v>4868</v>
      </c>
    </row>
    <row r="24" spans="1:1" s="5" customFormat="1" x14ac:dyDescent="0.25">
      <c r="A24" s="2" t="s">
        <v>4869</v>
      </c>
    </row>
    <row r="25" spans="1:1" s="5" customFormat="1" x14ac:dyDescent="0.25">
      <c r="A25" s="2" t="s">
        <v>4870</v>
      </c>
    </row>
    <row r="26" spans="1:1" s="5" customFormat="1" x14ac:dyDescent="0.25">
      <c r="A26" s="2" t="s">
        <v>4871</v>
      </c>
    </row>
    <row r="27" spans="1:1" s="5" customFormat="1" x14ac:dyDescent="0.25">
      <c r="A27" s="2" t="s">
        <v>4872</v>
      </c>
    </row>
    <row r="28" spans="1:1" s="5" customFormat="1" x14ac:dyDescent="0.25">
      <c r="A28" s="2" t="s">
        <v>4873</v>
      </c>
    </row>
    <row r="29" spans="1:1" s="5" customFormat="1" x14ac:dyDescent="0.25">
      <c r="A29" s="2" t="s">
        <v>4874</v>
      </c>
    </row>
    <row r="30" spans="1:1" s="5" customFormat="1" x14ac:dyDescent="0.25">
      <c r="A30" s="2" t="s">
        <v>4875</v>
      </c>
    </row>
    <row r="31" spans="1:1" s="5" customFormat="1" x14ac:dyDescent="0.25">
      <c r="A31" s="2" t="s">
        <v>4876</v>
      </c>
    </row>
    <row r="32" spans="1:1" s="5" customFormat="1" x14ac:dyDescent="0.25">
      <c r="A32" s="167" t="s">
        <v>4877</v>
      </c>
    </row>
    <row r="33" spans="1:1" s="5" customFormat="1" x14ac:dyDescent="0.25">
      <c r="A33" s="2" t="s">
        <v>4878</v>
      </c>
    </row>
    <row r="34" spans="1:1" s="5" customFormat="1" x14ac:dyDescent="0.25">
      <c r="A34" s="2" t="s">
        <v>4880</v>
      </c>
    </row>
    <row r="35" spans="1:1" s="5" customFormat="1" x14ac:dyDescent="0.25">
      <c r="A35" s="2" t="s">
        <v>4881</v>
      </c>
    </row>
    <row r="36" spans="1:1" s="5" customFormat="1" x14ac:dyDescent="0.25">
      <c r="A36" s="2" t="s">
        <v>4882</v>
      </c>
    </row>
    <row r="37" spans="1:1" s="5" customFormat="1" x14ac:dyDescent="0.25">
      <c r="A37" s="2" t="s">
        <v>4883</v>
      </c>
    </row>
    <row r="38" spans="1:1" s="5" customFormat="1" x14ac:dyDescent="0.25">
      <c r="A38" s="2" t="s">
        <v>4885</v>
      </c>
    </row>
    <row r="39" spans="1:1" s="5" customFormat="1" x14ac:dyDescent="0.25">
      <c r="A39" s="2" t="s">
        <v>4884</v>
      </c>
    </row>
    <row r="40" spans="1:1" s="5" customFormat="1" x14ac:dyDescent="0.25">
      <c r="A40" s="167" t="s">
        <v>4886</v>
      </c>
    </row>
    <row r="41" spans="1:1" s="5" customFormat="1" x14ac:dyDescent="0.25">
      <c r="A41" s="2" t="s">
        <v>4890</v>
      </c>
    </row>
    <row r="42" spans="1:1" s="5" customFormat="1" x14ac:dyDescent="0.25">
      <c r="A42" s="2" t="s">
        <v>4887</v>
      </c>
    </row>
    <row r="43" spans="1:1" s="5" customFormat="1" x14ac:dyDescent="0.25">
      <c r="A43" s="2" t="s">
        <v>4888</v>
      </c>
    </row>
    <row r="44" spans="1:1" x14ac:dyDescent="0.25">
      <c r="A44" s="2" t="s">
        <v>4889</v>
      </c>
    </row>
    <row r="45" spans="1:1" s="5" customFormat="1" x14ac:dyDescent="0.25">
      <c r="A45" s="167" t="s">
        <v>4891</v>
      </c>
    </row>
    <row r="46" spans="1:1" s="5" customFormat="1" x14ac:dyDescent="0.25">
      <c r="A46" s="2" t="s">
        <v>4892</v>
      </c>
    </row>
    <row r="47" spans="1:1" s="5" customFormat="1" x14ac:dyDescent="0.25">
      <c r="A47" s="2" t="s">
        <v>4894</v>
      </c>
    </row>
    <row r="48" spans="1:1" s="5" customFormat="1" x14ac:dyDescent="0.25">
      <c r="A48" s="2" t="s">
        <v>4895</v>
      </c>
    </row>
    <row r="49" spans="1:1" s="5" customFormat="1" x14ac:dyDescent="0.25">
      <c r="A49" s="2"/>
    </row>
    <row r="50" spans="1:1" ht="18.75" x14ac:dyDescent="0.3">
      <c r="A50" s="6" t="s">
        <v>1213</v>
      </c>
    </row>
    <row r="51" spans="1:1" x14ac:dyDescent="0.25">
      <c r="A51" s="5" t="s">
        <v>4893</v>
      </c>
    </row>
    <row r="52" spans="1:1" s="5" customFormat="1" x14ac:dyDescent="0.25">
      <c r="A52" s="5" t="s">
        <v>1240</v>
      </c>
    </row>
    <row r="53" spans="1:1" s="5" customFormat="1" x14ac:dyDescent="0.25">
      <c r="A53" s="5" t="s">
        <v>1241</v>
      </c>
    </row>
    <row r="54" spans="1:1" x14ac:dyDescent="0.25">
      <c r="A54" s="5" t="s">
        <v>1242</v>
      </c>
    </row>
    <row r="55" spans="1:1" x14ac:dyDescent="0.25">
      <c r="A55" s="5" t="s">
        <v>1314</v>
      </c>
    </row>
    <row r="56" spans="1:1" x14ac:dyDescent="0.25">
      <c r="A56" s="5" t="s">
        <v>1239</v>
      </c>
    </row>
    <row r="57" spans="1:1" x14ac:dyDescent="0.25">
      <c r="A57" s="5" t="s">
        <v>1243</v>
      </c>
    </row>
    <row r="58" spans="1:1" x14ac:dyDescent="0.25">
      <c r="A58" s="5" t="s">
        <v>1244</v>
      </c>
    </row>
    <row r="59" spans="1:1" x14ac:dyDescent="0.25">
      <c r="A59" s="5" t="s">
        <v>1245</v>
      </c>
    </row>
    <row r="60" spans="1:1" x14ac:dyDescent="0.25">
      <c r="A60" s="5" t="s">
        <v>1246</v>
      </c>
    </row>
    <row r="61" spans="1:1" x14ac:dyDescent="0.25">
      <c r="A61" s="5" t="s">
        <v>1247</v>
      </c>
    </row>
    <row r="62" spans="1:1" x14ac:dyDescent="0.25">
      <c r="A62" s="26" t="s">
        <v>4830</v>
      </c>
    </row>
    <row r="63" spans="1:1" x14ac:dyDescent="0.25">
      <c r="A63" s="5" t="s">
        <v>1248</v>
      </c>
    </row>
    <row r="64" spans="1:1" x14ac:dyDescent="0.25">
      <c r="A64" s="5"/>
    </row>
    <row r="65" spans="1:1" ht="18.75" x14ac:dyDescent="0.3">
      <c r="A65" s="6" t="s">
        <v>4856</v>
      </c>
    </row>
    <row r="66" spans="1:1" x14ac:dyDescent="0.25">
      <c r="A66" t="s">
        <v>4920</v>
      </c>
    </row>
    <row r="67" spans="1:1" x14ac:dyDescent="0.25">
      <c r="A67" t="s">
        <v>4857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E29" sqref="E29"/>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4835</v>
      </c>
    </row>
    <row r="2" spans="1:9" x14ac:dyDescent="0.25">
      <c r="A2" s="7" t="s">
        <v>4832</v>
      </c>
    </row>
    <row r="3" spans="1:9" ht="15.75" thickBot="1" x14ac:dyDescent="0.3">
      <c r="A3" s="26" t="s">
        <v>4831</v>
      </c>
    </row>
    <row r="4" spans="1:9" ht="15.75" thickBot="1" x14ac:dyDescent="0.3">
      <c r="A4" s="26" t="s">
        <v>4833</v>
      </c>
      <c r="G4" s="27" t="s">
        <v>1228</v>
      </c>
      <c r="H4" s="62">
        <f>COUNTA(OrganizationNames)</f>
        <v>2</v>
      </c>
    </row>
    <row r="5" spans="1:9" ht="15.75" thickBot="1" x14ac:dyDescent="0.3">
      <c r="A5" s="26" t="s">
        <v>293</v>
      </c>
      <c r="G5" s="27" t="s">
        <v>1229</v>
      </c>
      <c r="H5" s="62">
        <f>COUNTA(People[Last Name])</f>
        <v>3</v>
      </c>
    </row>
    <row r="6" spans="1:9" ht="15.75" thickBot="1" x14ac:dyDescent="0.3">
      <c r="G6" s="27" t="s">
        <v>1370</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1249</v>
      </c>
      <c r="C9" s="17" t="s">
        <v>1250</v>
      </c>
      <c r="D9" s="51"/>
      <c r="E9" s="155"/>
      <c r="I9" s="7"/>
    </row>
    <row r="10" spans="1:9" x14ac:dyDescent="0.25">
      <c r="A10" s="125" t="s">
        <v>158</v>
      </c>
      <c r="B10" s="9" t="s">
        <v>1251</v>
      </c>
      <c r="C10" s="9" t="s">
        <v>1252</v>
      </c>
      <c r="D10" s="10"/>
      <c r="E10" s="126" t="s">
        <v>1253</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1339</v>
      </c>
      <c r="H23" s="29" t="s">
        <v>291</v>
      </c>
      <c r="I23" s="29" t="s">
        <v>1365</v>
      </c>
    </row>
    <row r="24" spans="1:9" ht="30.75" thickTop="1" x14ac:dyDescent="0.25">
      <c r="A24" s="16" t="s">
        <v>1254</v>
      </c>
      <c r="B24" s="18" t="s">
        <v>1255</v>
      </c>
      <c r="C24" s="17" t="s">
        <v>1256</v>
      </c>
      <c r="D24" s="9" t="s">
        <v>1250</v>
      </c>
      <c r="E24" s="19" t="s">
        <v>1257</v>
      </c>
      <c r="F24" s="20" t="s">
        <v>1258</v>
      </c>
      <c r="G24" s="18"/>
      <c r="H24" s="143" t="str">
        <f>CONCATENATE(People[[#This Row],[First Name]]," ",People[[#This Row],[Middle Name]]," ",People[[#This Row],[Last Name]])</f>
        <v>Jeffrey S. Horsburgh</v>
      </c>
      <c r="I24" s="146" t="str">
        <f>IF(People[[#This Row],[Person OrcID]]&lt;&gt;"",MAX(I$23:I23)+1,"")</f>
        <v/>
      </c>
    </row>
    <row r="25" spans="1:9" ht="30" x14ac:dyDescent="0.25">
      <c r="A25" s="8" t="s">
        <v>1259</v>
      </c>
      <c r="B25" s="21"/>
      <c r="C25" s="9" t="s">
        <v>1260</v>
      </c>
      <c r="D25" s="9" t="s">
        <v>1250</v>
      </c>
      <c r="E25" s="22" t="s">
        <v>1261</v>
      </c>
      <c r="F25" s="20" t="s">
        <v>1258</v>
      </c>
      <c r="G25" s="21"/>
      <c r="H25" s="142" t="str">
        <f>CONCATENATE(People[[#This Row],[First Name]]," ",People[[#This Row],[Middle Name]]," ",People[[#This Row],[Last Name]])</f>
        <v>Amber  Spackman Jones</v>
      </c>
      <c r="I25" s="147" t="str">
        <f>IF(People[[#This Row],[Person OrcID]]&lt;&gt;"",MAX(I$23:I24)+1,"")</f>
        <v/>
      </c>
    </row>
    <row r="26" spans="1:9" ht="30" x14ac:dyDescent="0.25">
      <c r="A26" s="8" t="s">
        <v>1360</v>
      </c>
      <c r="B26" s="21" t="s">
        <v>1361</v>
      </c>
      <c r="C26" s="9" t="s">
        <v>1362</v>
      </c>
      <c r="D26" s="9" t="s">
        <v>1252</v>
      </c>
      <c r="E26" s="22" t="s">
        <v>1363</v>
      </c>
      <c r="F26" s="141" t="s">
        <v>1364</v>
      </c>
      <c r="G26" s="21" t="s">
        <v>1373</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D24:D33">
    <cfRule type="expression" dxfId="65" priority="6">
      <formula>AND(COUNTIF(OrganizationNames,$D24)=0,D24&lt;&gt;"")</formula>
    </cfRule>
  </conditionalFormatting>
  <conditionalFormatting sqref="A24:A33 C24:E33">
    <cfRule type="expression" dxfId="64" priority="5">
      <formula>AND(COUNTA($A24:$G24)&gt;0,A24="")</formula>
    </cfRule>
  </conditionalFormatting>
  <conditionalFormatting sqref="A10:E18">
    <cfRule type="expression" dxfId="63" priority="4">
      <formula>AND(COUNTA($A9:$E9)=0,A10&lt;&gt;"")</formula>
    </cfRule>
  </conditionalFormatting>
  <conditionalFormatting sqref="A25:G33">
    <cfRule type="expression" dxfId="62" priority="3">
      <formula>AND(COUNTA($A24:$G24)=0,A25&lt;&gt;"")</formula>
    </cfRule>
  </conditionalFormatting>
  <conditionalFormatting sqref="C9:C18">
    <cfRule type="duplicateValues" dxfId="61" priority="2"/>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abSelected="1" zoomScale="115" zoomScaleNormal="115" zoomScalePageLayoutView="150" workbookViewId="0">
      <selection activeCell="D10" sqref="D10"/>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4834</v>
      </c>
    </row>
    <row r="2" spans="1:9" x14ac:dyDescent="0.25">
      <c r="A2" s="26" t="s">
        <v>4831</v>
      </c>
      <c r="H2" s="46"/>
      <c r="I2" s="46"/>
    </row>
    <row r="3" spans="1:9" x14ac:dyDescent="0.25">
      <c r="A3" s="26" t="s">
        <v>4829</v>
      </c>
    </row>
    <row r="4" spans="1:9" x14ac:dyDescent="0.25">
      <c r="A4" s="26" t="s">
        <v>4825</v>
      </c>
    </row>
    <row r="5" spans="1:9" ht="15.75" thickBot="1" x14ac:dyDescent="0.3"/>
    <row r="6" spans="1:9" ht="15.75" thickBot="1" x14ac:dyDescent="0.3">
      <c r="A6" s="174" t="s">
        <v>4826</v>
      </c>
      <c r="B6" s="175"/>
    </row>
    <row r="7" spans="1:9" ht="15.75" thickTop="1" x14ac:dyDescent="0.25">
      <c r="A7" s="42" t="s">
        <v>0</v>
      </c>
      <c r="B7" s="155"/>
    </row>
    <row r="8" spans="1:9" x14ac:dyDescent="0.25">
      <c r="A8" s="43" t="s">
        <v>3</v>
      </c>
      <c r="B8" s="31" t="s">
        <v>1099</v>
      </c>
    </row>
    <row r="9" spans="1:9" x14ac:dyDescent="0.25">
      <c r="A9" s="43" t="s">
        <v>2</v>
      </c>
      <c r="B9" s="31" t="s">
        <v>1262</v>
      </c>
    </row>
    <row r="10" spans="1:9" x14ac:dyDescent="0.25">
      <c r="A10" s="43" t="s">
        <v>1</v>
      </c>
      <c r="B10" s="31" t="s">
        <v>1263</v>
      </c>
    </row>
    <row r="11" spans="1:9" ht="60.75" thickBot="1" x14ac:dyDescent="0.3">
      <c r="A11" s="45" t="s">
        <v>4</v>
      </c>
      <c r="B11" s="156" t="s">
        <v>1264</v>
      </c>
    </row>
    <row r="12" spans="1:9" customFormat="1" ht="15.75" thickBot="1" x14ac:dyDescent="0.3"/>
    <row r="13" spans="1:9" customFormat="1" ht="15.75" thickBot="1" x14ac:dyDescent="0.3">
      <c r="A13" s="178" t="s">
        <v>4828</v>
      </c>
      <c r="B13" s="179"/>
    </row>
    <row r="14" spans="1:9" ht="15.75" thickTop="1" x14ac:dyDescent="0.25">
      <c r="A14" s="42" t="s">
        <v>191</v>
      </c>
      <c r="B14" s="155" t="s">
        <v>1265</v>
      </c>
    </row>
    <row r="15" spans="1:9" x14ac:dyDescent="0.25">
      <c r="A15" s="44" t="s">
        <v>183</v>
      </c>
      <c r="B15" s="149" t="s">
        <v>1263</v>
      </c>
      <c r="D15" s="32"/>
    </row>
    <row r="16" spans="1:9" x14ac:dyDescent="0.25">
      <c r="A16" s="44" t="s">
        <v>178</v>
      </c>
      <c r="B16" s="149" t="s">
        <v>1266</v>
      </c>
    </row>
    <row r="17" spans="1:5" x14ac:dyDescent="0.25">
      <c r="A17" s="44" t="s">
        <v>6</v>
      </c>
      <c r="B17" s="149">
        <v>2015</v>
      </c>
    </row>
    <row r="18" spans="1:5" x14ac:dyDescent="0.25">
      <c r="A18" s="44" t="s">
        <v>190</v>
      </c>
      <c r="B18" s="149"/>
    </row>
    <row r="19" spans="1:5" ht="15.75" thickBot="1" x14ac:dyDescent="0.3">
      <c r="A19" s="45" t="s">
        <v>5</v>
      </c>
      <c r="B19" s="130" t="s">
        <v>1267</v>
      </c>
      <c r="D19" s="32"/>
    </row>
    <row r="20" spans="1:5" ht="15.75" thickBot="1" x14ac:dyDescent="0.3"/>
    <row r="21" spans="1:5" ht="15.75" thickBot="1" x14ac:dyDescent="0.3">
      <c r="A21" s="176" t="s">
        <v>4827</v>
      </c>
      <c r="B21" s="177"/>
      <c r="C21" s="34"/>
      <c r="D21" s="35"/>
      <c r="E21" s="35"/>
    </row>
    <row r="22" spans="1:5" ht="15.75" thickBot="1" x14ac:dyDescent="0.3">
      <c r="A22" s="71" t="s">
        <v>182</v>
      </c>
      <c r="B22" s="72" t="s">
        <v>292</v>
      </c>
      <c r="D22" s="27" t="s">
        <v>1227</v>
      </c>
      <c r="E22" s="28">
        <f>COUNTA(AuthorList[Author Name])</f>
        <v>2</v>
      </c>
    </row>
    <row r="23" spans="1:5" ht="15.75" thickTop="1" x14ac:dyDescent="0.25">
      <c r="A23" s="36">
        <v>1</v>
      </c>
      <c r="B23" s="53" t="s">
        <v>1268</v>
      </c>
    </row>
    <row r="24" spans="1:5" x14ac:dyDescent="0.25">
      <c r="A24" s="38">
        <v>2</v>
      </c>
      <c r="B24" s="11" t="s">
        <v>1269</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59" priority="4">
      <formula>AND(COUNTA(CitationInformation)&gt;0,$B14="")</formula>
    </cfRule>
    <cfRule type="expression" dxfId="58" priority="6">
      <formula>COUNTA(CitationInformation)&gt;0</formula>
    </cfRule>
  </conditionalFormatting>
  <conditionalFormatting sqref="A14:A17 A23">
    <cfRule type="expression" dxfId="57" priority="5">
      <formula>COUNTA(CitationInformation)&gt;0</formula>
    </cfRule>
  </conditionalFormatting>
  <conditionalFormatting sqref="B8:B10">
    <cfRule type="expression" dxfId="56" priority="3">
      <formula>AND(COUNTA($B$7:$B$11)&gt;0,$B8="")</formula>
    </cfRule>
  </conditionalFormatting>
  <conditionalFormatting sqref="B8">
    <cfRule type="expression" dxfId="55" priority="2">
      <formula>AND(COUNTIF(DataSetTypeCV,$B$8)=0,$B$8&lt;&gt;"")</formula>
    </cfRule>
  </conditionalFormatting>
  <conditionalFormatting sqref="B23:B32">
    <cfRule type="expression" dxfId="54"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F23" sqref="F23"/>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4836</v>
      </c>
    </row>
    <row r="2" spans="1:20" x14ac:dyDescent="0.25">
      <c r="A2" s="7" t="s">
        <v>4839</v>
      </c>
      <c r="H2" s="46"/>
      <c r="J2" s="7"/>
      <c r="K2" s="7"/>
      <c r="N2" s="7"/>
      <c r="O2" s="7"/>
      <c r="P2" s="7"/>
    </row>
    <row r="3" spans="1:20" x14ac:dyDescent="0.25">
      <c r="A3" s="26" t="s">
        <v>4831</v>
      </c>
      <c r="H3" s="46"/>
      <c r="J3" s="7"/>
      <c r="K3" s="7"/>
      <c r="N3" s="7"/>
      <c r="O3" s="7"/>
      <c r="P3" s="7"/>
    </row>
    <row r="4" spans="1:20" x14ac:dyDescent="0.25">
      <c r="A4" s="26" t="s">
        <v>4837</v>
      </c>
    </row>
    <row r="5" spans="1:20" x14ac:dyDescent="0.25">
      <c r="A5" s="26" t="s">
        <v>289</v>
      </c>
    </row>
    <row r="6" spans="1:20" ht="15.75" thickBot="1" x14ac:dyDescent="0.3"/>
    <row r="7" spans="1:20" ht="15.75" thickBot="1" x14ac:dyDescent="0.3">
      <c r="A7" s="174" t="s">
        <v>127</v>
      </c>
      <c r="B7" s="175"/>
    </row>
    <row r="8" spans="1:20" ht="16.5" thickTop="1" thickBot="1" x14ac:dyDescent="0.3">
      <c r="A8" s="63" t="s">
        <v>25</v>
      </c>
      <c r="B8" s="30" t="s">
        <v>131</v>
      </c>
      <c r="D8" s="26" t="s">
        <v>288</v>
      </c>
      <c r="H8" s="27" t="s">
        <v>1226</v>
      </c>
      <c r="I8" s="62">
        <f>COUNTA(SamplingFeatures[Feature Code])</f>
        <v>8</v>
      </c>
      <c r="M8" s="27" t="s">
        <v>1222</v>
      </c>
      <c r="N8" s="62">
        <f>MAX(Sites[SiteID])</f>
        <v>3</v>
      </c>
      <c r="R8" s="27" t="s">
        <v>1223</v>
      </c>
      <c r="S8" s="28">
        <f>MAX(Specimens[SpecimenID])</f>
        <v>5</v>
      </c>
    </row>
    <row r="9" spans="1:20" ht="15.75" thickBot="1" x14ac:dyDescent="0.3">
      <c r="A9" s="64" t="s">
        <v>126</v>
      </c>
      <c r="B9" s="33" t="s">
        <v>130</v>
      </c>
      <c r="D9" s="26" t="s">
        <v>1372</v>
      </c>
      <c r="H9" s="27" t="s">
        <v>1371</v>
      </c>
      <c r="I9" s="62">
        <f>MAX(SamplingFeatures[IGSNID])</f>
        <v>1</v>
      </c>
    </row>
    <row r="10" spans="1:20" ht="15.75" thickBot="1" x14ac:dyDescent="0.3">
      <c r="K10" s="161"/>
      <c r="L10" s="180" t="s">
        <v>4838</v>
      </c>
      <c r="M10" s="180"/>
      <c r="N10" s="180"/>
      <c r="O10" s="180"/>
      <c r="P10" s="161"/>
      <c r="Q10" s="180" t="s">
        <v>4840</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1198</v>
      </c>
      <c r="J11" s="145" t="s">
        <v>1366</v>
      </c>
      <c r="K11" s="49"/>
      <c r="L11" s="60" t="s">
        <v>1148</v>
      </c>
      <c r="M11" s="71" t="s">
        <v>198</v>
      </c>
      <c r="N11" s="66" t="s">
        <v>22</v>
      </c>
      <c r="O11" s="72" t="s">
        <v>23</v>
      </c>
      <c r="P11" s="50"/>
      <c r="Q11" s="60" t="s">
        <v>1149</v>
      </c>
      <c r="R11" s="71" t="s">
        <v>199</v>
      </c>
      <c r="S11" s="66" t="s">
        <v>184</v>
      </c>
      <c r="T11" s="72" t="s">
        <v>200</v>
      </c>
    </row>
    <row r="12" spans="1:20" ht="45.75" thickTop="1" x14ac:dyDescent="0.25">
      <c r="A12" s="162"/>
      <c r="B12" s="17" t="s">
        <v>27</v>
      </c>
      <c r="C12" s="17" t="s">
        <v>48</v>
      </c>
      <c r="D12" s="17" t="s">
        <v>1270</v>
      </c>
      <c r="E12" s="51" t="s">
        <v>1271</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1272</v>
      </c>
      <c r="E13" s="10" t="s">
        <v>1273</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1274</v>
      </c>
      <c r="E14" s="10" t="s">
        <v>1275</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217</v>
      </c>
      <c r="T14" s="39" t="b">
        <v>1</v>
      </c>
    </row>
    <row r="15" spans="1:20" x14ac:dyDescent="0.25">
      <c r="A15" s="163"/>
      <c r="B15" s="17" t="s">
        <v>26</v>
      </c>
      <c r="C15" s="9" t="s">
        <v>47</v>
      </c>
      <c r="D15" s="9" t="s">
        <v>1276</v>
      </c>
      <c r="E15" s="10" t="s">
        <v>1277</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217</v>
      </c>
      <c r="T15" s="39" t="b">
        <v>1</v>
      </c>
    </row>
    <row r="16" spans="1:20" x14ac:dyDescent="0.25">
      <c r="A16" s="163"/>
      <c r="B16" s="17" t="s">
        <v>26</v>
      </c>
      <c r="C16" s="9" t="s">
        <v>47</v>
      </c>
      <c r="D16" s="9" t="s">
        <v>1278</v>
      </c>
      <c r="E16" s="10" t="s">
        <v>1279</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217</v>
      </c>
      <c r="T16" s="39" t="b">
        <v>1</v>
      </c>
    </row>
    <row r="17" spans="1:20" x14ac:dyDescent="0.25">
      <c r="A17" s="163"/>
      <c r="B17" s="17" t="s">
        <v>26</v>
      </c>
      <c r="C17" s="9" t="s">
        <v>47</v>
      </c>
      <c r="D17" s="9">
        <v>524</v>
      </c>
      <c r="E17" s="10" t="s">
        <v>1280</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217</v>
      </c>
      <c r="T17" s="39" t="b">
        <v>1</v>
      </c>
    </row>
    <row r="18" spans="1:20" ht="15" customHeight="1" x14ac:dyDescent="0.25">
      <c r="A18" s="163"/>
      <c r="B18" s="17" t="s">
        <v>27</v>
      </c>
      <c r="C18" s="9" t="s">
        <v>48</v>
      </c>
      <c r="D18" s="9" t="s">
        <v>1281</v>
      </c>
      <c r="E18" s="10" t="s">
        <v>1282</v>
      </c>
      <c r="F18" s="55" t="s">
        <v>1283</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1367</v>
      </c>
      <c r="E19" s="10" t="s">
        <v>1367</v>
      </c>
      <c r="F19" s="55" t="s">
        <v>1368</v>
      </c>
      <c r="G19" s="11"/>
      <c r="H19" s="11">
        <v>297</v>
      </c>
      <c r="I19" s="11" t="s">
        <v>1369</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221</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53" priority="19">
      <formula>AND(COUNTIF(SamplingFeatureTypeCV,$B12)=0,$B12&lt;&gt;"")</formula>
    </cfRule>
  </conditionalFormatting>
  <conditionalFormatting sqref="C12:C61">
    <cfRule type="expression" dxfId="52" priority="18">
      <formula>AND(COUNTIF(SamplingFeatureGeotypeCV,$C12)=0,$C12&lt;&gt;"")</formula>
    </cfRule>
  </conditionalFormatting>
  <conditionalFormatting sqref="B12:D61">
    <cfRule type="expression" dxfId="51" priority="17">
      <formula>AND(COUNTA($A12:$I12)&gt;0,B12="")</formula>
    </cfRule>
  </conditionalFormatting>
  <conditionalFormatting sqref="A13:I61">
    <cfRule type="expression" dxfId="50" priority="16">
      <formula>AND(COUNTA($A12:$I12)=0,A13&lt;&gt;"")</formula>
    </cfRule>
  </conditionalFormatting>
  <conditionalFormatting sqref="B8">
    <cfRule type="expression" dxfId="49" priority="15">
      <formula>AND(COUNTIF(ElevationDatumCV,$B$8)=0,$B$8&lt;&gt;"")</formula>
    </cfRule>
  </conditionalFormatting>
  <conditionalFormatting sqref="B9">
    <cfRule type="expression" dxfId="48" priority="14">
      <formula>AND(COUNTIF(LatLonDatumNames,$B$9)=0,$B$9&lt;&gt;"")</formula>
    </cfRule>
  </conditionalFormatting>
  <conditionalFormatting sqref="M12:M61">
    <cfRule type="expression" dxfId="47" priority="12">
      <formula>AND(COUNTIF(SiteTypeCV,$M12)=0,$M12&lt;&gt;"")</formula>
    </cfRule>
  </conditionalFormatting>
  <conditionalFormatting sqref="M12:O61">
    <cfRule type="expression" dxfId="46" priority="9">
      <formula>AND($B12&lt;&gt;"Site",M12&lt;&gt;"")</formula>
    </cfRule>
    <cfRule type="expression" dxfId="45" priority="11">
      <formula>AND($B12="Site",M12="")</formula>
    </cfRule>
  </conditionalFormatting>
  <conditionalFormatting sqref="H12:H61">
    <cfRule type="expression" dxfId="44" priority="10">
      <formula>ISTEXT($H12)</formula>
    </cfRule>
  </conditionalFormatting>
  <conditionalFormatting sqref="N12:O61">
    <cfRule type="expression" dxfId="43" priority="20">
      <formula>ISTEXT(N12)</formula>
    </cfRule>
  </conditionalFormatting>
  <conditionalFormatting sqref="R12:T61">
    <cfRule type="expression" dxfId="42" priority="7">
      <formula>AND($B12&lt;&gt;"Specimen",$R12&lt;&gt;"")</formula>
    </cfRule>
    <cfRule type="expression" dxfId="41" priority="8">
      <formula>AND($B12="Specimen",$R12="")</formula>
    </cfRule>
  </conditionalFormatting>
  <conditionalFormatting sqref="R12:R61">
    <cfRule type="expression" dxfId="40" priority="6">
      <formula>AND(COUNTIF(SpecimenTypeCV,$R12)=0,$R12&lt;&gt;"")</formula>
    </cfRule>
  </conditionalFormatting>
  <conditionalFormatting sqref="S12:S61">
    <cfRule type="expression" dxfId="39" priority="5">
      <formula>AND(COUNTIF(SampledMediumCV,$S12)=0,$S12&lt;&gt;"")</formula>
    </cfRule>
  </conditionalFormatting>
  <conditionalFormatting sqref="T12:T61">
    <cfRule type="expression" dxfId="38" priority="4">
      <formula>AND(COUNTIF(Boolean,$T12)=0,$T12&lt;&gt;"")</formula>
    </cfRule>
  </conditionalFormatting>
  <conditionalFormatting sqref="D12:D61">
    <cfRule type="duplicateValues" dxfId="37" priority="3"/>
  </conditionalFormatting>
  <conditionalFormatting sqref="I12:I61">
    <cfRule type="duplicateValues" dxfId="36" priority="2"/>
  </conditionalFormatting>
  <conditionalFormatting sqref="A12:A61">
    <cfRule type="duplicateValues" dxfId="35"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E16" sqref="E1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4842</v>
      </c>
    </row>
    <row r="2" spans="1:11" ht="15.75" thickBot="1" x14ac:dyDescent="0.3">
      <c r="A2" s="7" t="s">
        <v>4832</v>
      </c>
      <c r="H2" s="46"/>
      <c r="I2" s="46"/>
    </row>
    <row r="3" spans="1:11" ht="15.75" thickBot="1" x14ac:dyDescent="0.3">
      <c r="A3" s="26" t="s">
        <v>4831</v>
      </c>
      <c r="G3" s="27" t="s">
        <v>1224</v>
      </c>
      <c r="H3" s="28">
        <f>COUNTA(RelatedFeatures[First Sampling Feature Code])</f>
        <v>4</v>
      </c>
      <c r="I3" s="27" t="s">
        <v>1225</v>
      </c>
      <c r="J3" s="28">
        <f>MAX(RelatedFeatures[OffsetID])</f>
        <v>1</v>
      </c>
    </row>
    <row r="4" spans="1:11" x14ac:dyDescent="0.25">
      <c r="A4" s="26" t="s">
        <v>4841</v>
      </c>
    </row>
    <row r="5" spans="1:11" ht="15.75" thickBot="1" x14ac:dyDescent="0.3"/>
    <row r="6" spans="1:11" x14ac:dyDescent="0.25">
      <c r="A6" s="176" t="s">
        <v>256</v>
      </c>
      <c r="B6" s="181"/>
      <c r="C6" s="181"/>
      <c r="D6" s="181"/>
      <c r="E6" s="181"/>
      <c r="F6" s="181"/>
      <c r="G6" s="181"/>
      <c r="H6" s="181"/>
      <c r="I6" s="181"/>
      <c r="J6" s="181"/>
      <c r="K6" s="177"/>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1218</v>
      </c>
    </row>
    <row r="8" spans="1:11" ht="15.75" thickTop="1" x14ac:dyDescent="0.25">
      <c r="A8" s="75" t="s">
        <v>1274</v>
      </c>
      <c r="B8" s="76" t="s">
        <v>197</v>
      </c>
      <c r="C8" s="76" t="s">
        <v>1270</v>
      </c>
      <c r="D8" s="77" t="s">
        <v>1127</v>
      </c>
      <c r="E8" s="77">
        <v>10</v>
      </c>
      <c r="F8" s="77" t="s">
        <v>1284</v>
      </c>
      <c r="G8" s="77"/>
      <c r="H8" s="77"/>
      <c r="I8" s="77"/>
      <c r="J8" s="78"/>
      <c r="K8" s="87">
        <f>IF(COUNTA(RelatedFeatures[[#This Row],[Spatial Offset Type]:[Offset 3 Unit]])&gt;0,MAX(K$7:K7)+1,"")</f>
        <v>1</v>
      </c>
    </row>
    <row r="9" spans="1:11" x14ac:dyDescent="0.25">
      <c r="A9" s="75" t="s">
        <v>1276</v>
      </c>
      <c r="B9" s="76" t="s">
        <v>197</v>
      </c>
      <c r="C9" s="76" t="s">
        <v>1272</v>
      </c>
      <c r="D9" s="77"/>
      <c r="E9" s="77"/>
      <c r="F9" s="77"/>
      <c r="G9" s="77"/>
      <c r="H9" s="77"/>
      <c r="I9" s="77"/>
      <c r="J9" s="78"/>
      <c r="K9" s="87" t="str">
        <f>IF(COUNTA(RelatedFeatures[[#This Row],[Spatial Offset Type]:[Offset 3 Unit]])&gt;0,MAX(K$7:K8)+1,"")</f>
        <v/>
      </c>
    </row>
    <row r="10" spans="1:11" x14ac:dyDescent="0.25">
      <c r="A10" s="75" t="s">
        <v>1278</v>
      </c>
      <c r="B10" s="76" t="s">
        <v>197</v>
      </c>
      <c r="C10" s="76" t="s">
        <v>1272</v>
      </c>
      <c r="D10" s="77"/>
      <c r="E10" s="77"/>
      <c r="F10" s="77"/>
      <c r="G10" s="77"/>
      <c r="H10" s="77"/>
      <c r="I10" s="77"/>
      <c r="J10" s="78"/>
      <c r="K10" s="87" t="str">
        <f>IF(COUNTA(RelatedFeatures[[#This Row],[Spatial Offset Type]:[Offset 3 Unit]])&gt;0,MAX(K$7:K9)+1,"")</f>
        <v/>
      </c>
    </row>
    <row r="11" spans="1:11" x14ac:dyDescent="0.25">
      <c r="A11" s="75">
        <v>524</v>
      </c>
      <c r="B11" s="76" t="s">
        <v>197</v>
      </c>
      <c r="C11" s="76" t="s">
        <v>1272</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34" priority="7">
      <formula>AND(COUNTIF(FeatureCodes,$A8)=0,$A8&lt;&gt;"")</formula>
    </cfRule>
  </conditionalFormatting>
  <conditionalFormatting sqref="B8:B39">
    <cfRule type="expression" dxfId="33" priority="6">
      <formula>AND(COUNTIF(RelationshipTypeCV,$B8)=0,$B8&lt;&gt;"")</formula>
    </cfRule>
  </conditionalFormatting>
  <conditionalFormatting sqref="D8:F39">
    <cfRule type="expression" dxfId="32" priority="5">
      <formula>AND(COUNTA($D8:$J8)&gt;0,D8="")</formula>
    </cfRule>
  </conditionalFormatting>
  <conditionalFormatting sqref="D8:D39">
    <cfRule type="expression" dxfId="31" priority="4">
      <formula>AND(COUNTIF(SpatialOffsetTypeCV,$D8)=0,$D8&lt;&gt;"")</formula>
    </cfRule>
  </conditionalFormatting>
  <conditionalFormatting sqref="A8:C39">
    <cfRule type="expression" dxfId="30" priority="3">
      <formula>AND(COUNTA($A8:$J8)&gt;0,A8="")</formula>
    </cfRule>
  </conditionalFormatting>
  <conditionalFormatting sqref="A9:J39">
    <cfRule type="expression" dxfId="29" priority="2">
      <formula>AND(COUNTA($A8:$J8)=0,A9&lt;&gt;"")</formula>
    </cfRule>
  </conditionalFormatting>
  <conditionalFormatting sqref="E8:E39">
    <cfRule type="expression" dxfId="28"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topLeftCell="A7" workbookViewId="0">
      <selection activeCell="D15" sqref="D15"/>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4844</v>
      </c>
    </row>
    <row r="2" spans="1:9" x14ac:dyDescent="0.25">
      <c r="A2" s="7" t="s">
        <v>4832</v>
      </c>
    </row>
    <row r="3" spans="1:9" x14ac:dyDescent="0.25">
      <c r="A3" s="26" t="s">
        <v>4831</v>
      </c>
    </row>
    <row r="4" spans="1:9" x14ac:dyDescent="0.25">
      <c r="A4" s="26" t="s">
        <v>4843</v>
      </c>
    </row>
    <row r="5" spans="1:9" ht="15.75" thickBot="1" x14ac:dyDescent="0.3">
      <c r="A5" s="7" t="s">
        <v>4803</v>
      </c>
    </row>
    <row r="6" spans="1:9" ht="15.75" thickBot="1" x14ac:dyDescent="0.3">
      <c r="A6" s="26" t="s">
        <v>290</v>
      </c>
      <c r="E6" s="27" t="s">
        <v>1230</v>
      </c>
      <c r="F6" s="28">
        <f>COUNTA(MethodCodes)</f>
        <v>5</v>
      </c>
    </row>
    <row r="7" spans="1:9" ht="15.75" thickBot="1" x14ac:dyDescent="0.3"/>
    <row r="8" spans="1:9" x14ac:dyDescent="0.25">
      <c r="A8" s="182" t="s">
        <v>263</v>
      </c>
      <c r="B8" s="183"/>
      <c r="C8" s="183"/>
      <c r="D8" s="183"/>
      <c r="E8" s="183"/>
      <c r="F8" s="184"/>
    </row>
    <row r="9" spans="1:9" ht="15.75" thickBot="1" x14ac:dyDescent="0.3">
      <c r="A9" s="71" t="s">
        <v>260</v>
      </c>
      <c r="B9" s="66" t="s">
        <v>145</v>
      </c>
      <c r="C9" s="66" t="s">
        <v>144</v>
      </c>
      <c r="D9" s="73" t="s">
        <v>146</v>
      </c>
      <c r="E9" s="73" t="s">
        <v>261</v>
      </c>
      <c r="F9" s="69" t="s">
        <v>19</v>
      </c>
    </row>
    <row r="10" spans="1:9" ht="45.75" thickTop="1" x14ac:dyDescent="0.25">
      <c r="A10" s="89" t="s">
        <v>276</v>
      </c>
      <c r="B10" s="76" t="s">
        <v>1285</v>
      </c>
      <c r="C10" s="90" t="s">
        <v>1286</v>
      </c>
      <c r="D10" s="91" t="s">
        <v>1287</v>
      </c>
      <c r="E10" s="92" t="s">
        <v>1288</v>
      </c>
      <c r="F10" s="93" t="s">
        <v>1250</v>
      </c>
      <c r="I10" s="26"/>
    </row>
    <row r="11" spans="1:9" ht="60" x14ac:dyDescent="0.25">
      <c r="A11" s="89" t="s">
        <v>282</v>
      </c>
      <c r="B11" s="76" t="s">
        <v>1289</v>
      </c>
      <c r="C11" s="90" t="s">
        <v>1290</v>
      </c>
      <c r="D11" s="91" t="s">
        <v>1290</v>
      </c>
      <c r="E11" s="92" t="s">
        <v>1288</v>
      </c>
      <c r="F11" s="93" t="s">
        <v>1250</v>
      </c>
    </row>
    <row r="12" spans="1:9" ht="45" x14ac:dyDescent="0.25">
      <c r="A12" s="89" t="s">
        <v>281</v>
      </c>
      <c r="B12" s="76" t="s">
        <v>1291</v>
      </c>
      <c r="C12" s="90" t="s">
        <v>1292</v>
      </c>
      <c r="D12" s="91" t="s">
        <v>1292</v>
      </c>
      <c r="E12" s="92" t="s">
        <v>1288</v>
      </c>
      <c r="F12" s="93" t="s">
        <v>1250</v>
      </c>
    </row>
    <row r="13" spans="1:9" ht="45" x14ac:dyDescent="0.25">
      <c r="A13" s="89" t="s">
        <v>281</v>
      </c>
      <c r="B13" s="76" t="s">
        <v>1293</v>
      </c>
      <c r="C13" s="90" t="s">
        <v>1294</v>
      </c>
      <c r="D13" s="91" t="s">
        <v>1295</v>
      </c>
      <c r="E13" s="92" t="s">
        <v>1288</v>
      </c>
      <c r="F13" s="93" t="s">
        <v>1250</v>
      </c>
    </row>
    <row r="14" spans="1:9" ht="45" x14ac:dyDescent="0.25">
      <c r="A14" s="89" t="s">
        <v>281</v>
      </c>
      <c r="B14" s="76" t="s">
        <v>1296</v>
      </c>
      <c r="C14" s="90" t="s">
        <v>1297</v>
      </c>
      <c r="D14" s="91" t="s">
        <v>1298</v>
      </c>
      <c r="E14" s="92" t="s">
        <v>1288</v>
      </c>
      <c r="F14" s="93" t="s">
        <v>1250</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27" priority="4">
      <formula>AND(COUNTIF(MethodTypeCV,A10)=0,A10&lt;&gt;"")</formula>
    </cfRule>
  </conditionalFormatting>
  <conditionalFormatting sqref="A10:C30">
    <cfRule type="expression" dxfId="26" priority="3">
      <formula>AND(COUNTA($A10:$F10)&gt;0,A10="")</formula>
    </cfRule>
  </conditionalFormatting>
  <conditionalFormatting sqref="A11:F30">
    <cfRule type="expression" dxfId="25" priority="2">
      <formula>AND(COUNTA($A10:$F10)=0,A11&lt;&gt;"")</formula>
    </cfRule>
  </conditionalFormatting>
  <conditionalFormatting sqref="B10:B30">
    <cfRule type="duplicateValues" dxfId="24"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24" sqref="D24"/>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4846</v>
      </c>
    </row>
    <row r="2" spans="1:6" x14ac:dyDescent="0.25">
      <c r="A2" s="7" t="s">
        <v>4832</v>
      </c>
    </row>
    <row r="3" spans="1:6" x14ac:dyDescent="0.25">
      <c r="A3" s="26" t="s">
        <v>4831</v>
      </c>
    </row>
    <row r="4" spans="1:6" ht="15.75" thickBot="1" x14ac:dyDescent="0.3">
      <c r="A4" s="26" t="s">
        <v>4845</v>
      </c>
    </row>
    <row r="5" spans="1:6" ht="15.75" thickBot="1" x14ac:dyDescent="0.3">
      <c r="A5" s="26" t="s">
        <v>294</v>
      </c>
      <c r="E5" s="27" t="s">
        <v>1231</v>
      </c>
      <c r="F5" s="28">
        <f>COUNTA(VariableCodes)</f>
        <v>6</v>
      </c>
    </row>
    <row r="6" spans="1:6" ht="15.75" thickBot="1" x14ac:dyDescent="0.3"/>
    <row r="7" spans="1:6" x14ac:dyDescent="0.25">
      <c r="A7" s="182" t="s">
        <v>299</v>
      </c>
      <c r="B7" s="183"/>
      <c r="C7" s="183"/>
      <c r="D7" s="183"/>
      <c r="E7" s="183"/>
      <c r="F7" s="184"/>
    </row>
    <row r="8" spans="1:6" ht="15.75" thickBot="1" x14ac:dyDescent="0.3">
      <c r="A8" s="71" t="s">
        <v>295</v>
      </c>
      <c r="B8" s="66" t="s">
        <v>142</v>
      </c>
      <c r="C8" s="66" t="s">
        <v>141</v>
      </c>
      <c r="D8" s="73" t="s">
        <v>296</v>
      </c>
      <c r="E8" s="73" t="s">
        <v>297</v>
      </c>
      <c r="F8" s="72" t="s">
        <v>298</v>
      </c>
    </row>
    <row r="9" spans="1:6" ht="15.75" thickTop="1" x14ac:dyDescent="0.25">
      <c r="A9" s="89" t="s">
        <v>8</v>
      </c>
      <c r="B9" s="76" t="s">
        <v>1299</v>
      </c>
      <c r="C9" s="76" t="s">
        <v>804</v>
      </c>
      <c r="D9" s="77"/>
      <c r="E9" s="77" t="s">
        <v>1300</v>
      </c>
      <c r="F9" s="94">
        <v>-9999</v>
      </c>
    </row>
    <row r="10" spans="1:6" x14ac:dyDescent="0.25">
      <c r="A10" s="89" t="s">
        <v>8</v>
      </c>
      <c r="B10" s="76" t="s">
        <v>1301</v>
      </c>
      <c r="C10" s="76" t="s">
        <v>865</v>
      </c>
      <c r="D10" s="77"/>
      <c r="E10" s="77" t="s">
        <v>1302</v>
      </c>
      <c r="F10" s="94">
        <v>-9999</v>
      </c>
    </row>
    <row r="11" spans="1:6" x14ac:dyDescent="0.25">
      <c r="A11" s="89" t="s">
        <v>8</v>
      </c>
      <c r="B11" s="76" t="s">
        <v>1303</v>
      </c>
      <c r="C11" s="76" t="s">
        <v>1304</v>
      </c>
      <c r="D11" s="77"/>
      <c r="E11" s="77"/>
      <c r="F11" s="94">
        <v>-9999</v>
      </c>
    </row>
    <row r="12" spans="1:6" x14ac:dyDescent="0.25">
      <c r="A12" s="89" t="s">
        <v>9</v>
      </c>
      <c r="B12" s="76" t="s">
        <v>1305</v>
      </c>
      <c r="C12" s="76" t="s">
        <v>990</v>
      </c>
      <c r="D12" s="77"/>
      <c r="E12" s="77"/>
      <c r="F12" s="94">
        <v>-9999</v>
      </c>
    </row>
    <row r="13" spans="1:6" x14ac:dyDescent="0.25">
      <c r="A13" s="89" t="s">
        <v>9</v>
      </c>
      <c r="B13" s="76" t="s">
        <v>1306</v>
      </c>
      <c r="C13" s="76" t="s">
        <v>990</v>
      </c>
      <c r="D13" s="77"/>
      <c r="E13" s="77"/>
      <c r="F13" s="94">
        <v>-9999</v>
      </c>
    </row>
    <row r="14" spans="1:6" x14ac:dyDescent="0.25">
      <c r="A14" s="89" t="s">
        <v>9</v>
      </c>
      <c r="B14" s="76" t="s">
        <v>1307</v>
      </c>
      <c r="C14" s="76" t="s">
        <v>990</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23" priority="5">
      <formula>AND(COUNTIF(VariableTypeCV,$A9)=0,$A9&lt;&gt;"")</formula>
    </cfRule>
  </conditionalFormatting>
  <conditionalFormatting sqref="C9:C27">
    <cfRule type="expression" dxfId="22" priority="4">
      <formula>AND(COUNTIF(VariableNameCV,$C9)=0,$C9&lt;&gt;"")</formula>
    </cfRule>
  </conditionalFormatting>
  <conditionalFormatting sqref="A9:C27 F9:F27">
    <cfRule type="expression" dxfId="21" priority="3">
      <formula>AND(COUNTA($A9:$F9)&gt;0,$A9="")</formula>
    </cfRule>
  </conditionalFormatting>
  <conditionalFormatting sqref="A10:F27">
    <cfRule type="expression" dxfId="20" priority="2">
      <formula>AND(COUNTA($A9:$F9)=0,A10&lt;&gt;"")</formula>
    </cfRule>
  </conditionalFormatting>
  <conditionalFormatting sqref="B9:B27">
    <cfRule type="duplicateValues" dxfId="19"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A7" sqref="A7"/>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4848</v>
      </c>
    </row>
    <row r="2" spans="1:5" x14ac:dyDescent="0.25">
      <c r="A2" s="7" t="s">
        <v>4832</v>
      </c>
    </row>
    <row r="3" spans="1:5" x14ac:dyDescent="0.25">
      <c r="A3" s="26" t="s">
        <v>4831</v>
      </c>
    </row>
    <row r="4" spans="1:5" ht="15.75" thickBot="1" x14ac:dyDescent="0.3">
      <c r="A4" s="26" t="s">
        <v>4847</v>
      </c>
    </row>
    <row r="5" spans="1:5" ht="15.75" thickBot="1" x14ac:dyDescent="0.3">
      <c r="A5" s="26" t="s">
        <v>1189</v>
      </c>
      <c r="D5" s="27" t="s">
        <v>1232</v>
      </c>
      <c r="E5" s="28">
        <f>COUNTA(ProcessingLevelCodes)</f>
        <v>5</v>
      </c>
    </row>
    <row r="6" spans="1:5" x14ac:dyDescent="0.25">
      <c r="A6" s="26" t="s">
        <v>4896</v>
      </c>
      <c r="D6" s="165"/>
      <c r="E6" s="165"/>
    </row>
    <row r="7" spans="1:5" x14ac:dyDescent="0.25">
      <c r="A7" s="26" t="s">
        <v>4849</v>
      </c>
      <c r="D7" s="165"/>
      <c r="E7" s="165"/>
    </row>
    <row r="8" spans="1:5" ht="15.75" thickBot="1" x14ac:dyDescent="0.3"/>
    <row r="9" spans="1:5" x14ac:dyDescent="0.25">
      <c r="A9" s="176" t="s">
        <v>1192</v>
      </c>
      <c r="B9" s="181"/>
      <c r="C9" s="177"/>
    </row>
    <row r="10" spans="1:5" ht="15.75" thickBot="1" x14ac:dyDescent="0.3">
      <c r="A10" s="71" t="s">
        <v>1190</v>
      </c>
      <c r="B10" s="66" t="s">
        <v>1191</v>
      </c>
      <c r="C10" s="100" t="s">
        <v>1193</v>
      </c>
    </row>
    <row r="11" spans="1:5" ht="90.75" thickTop="1" x14ac:dyDescent="0.25">
      <c r="A11" s="96">
        <v>0</v>
      </c>
      <c r="B11" s="97" t="s">
        <v>1308</v>
      </c>
      <c r="C11" s="98" t="s">
        <v>1309</v>
      </c>
    </row>
    <row r="12" spans="1:5" ht="75" x14ac:dyDescent="0.25">
      <c r="A12" s="89">
        <v>1</v>
      </c>
      <c r="B12" s="77" t="s">
        <v>1310</v>
      </c>
      <c r="C12" s="99" t="s">
        <v>4790</v>
      </c>
    </row>
    <row r="13" spans="1:5" ht="60" x14ac:dyDescent="0.25">
      <c r="A13" s="89">
        <v>2</v>
      </c>
      <c r="B13" s="77" t="s">
        <v>4786</v>
      </c>
      <c r="C13" s="99" t="s">
        <v>4789</v>
      </c>
    </row>
    <row r="14" spans="1:5" ht="60" x14ac:dyDescent="0.25">
      <c r="A14" s="89">
        <v>3</v>
      </c>
      <c r="B14" s="77" t="s">
        <v>4787</v>
      </c>
      <c r="C14" s="99" t="s">
        <v>4791</v>
      </c>
    </row>
    <row r="15" spans="1:5" ht="75" x14ac:dyDescent="0.25">
      <c r="A15" s="89">
        <v>4</v>
      </c>
      <c r="B15" s="77" t="s">
        <v>4788</v>
      </c>
      <c r="C15" s="99" t="s">
        <v>4792</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18" priority="2"/>
    <cfRule type="expression" dxfId="17" priority="3">
      <formula>AND(COUNTA($A11:$C11)&gt;0,$A11="")</formula>
    </cfRule>
  </conditionalFormatting>
  <conditionalFormatting sqref="A12:C28">
    <cfRule type="expression" dxfId="16"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F5" sqref="F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4850</v>
      </c>
    </row>
    <row r="2" spans="1:16" x14ac:dyDescent="0.25">
      <c r="A2" s="7" t="s">
        <v>4832</v>
      </c>
    </row>
    <row r="3" spans="1:16" x14ac:dyDescent="0.25">
      <c r="A3" s="26" t="s">
        <v>4831</v>
      </c>
    </row>
    <row r="4" spans="1:16" x14ac:dyDescent="0.25">
      <c r="A4" s="26" t="s">
        <v>4852</v>
      </c>
      <c r="D4" s="95"/>
    </row>
    <row r="5" spans="1:16" ht="15.75" thickBot="1" x14ac:dyDescent="0.3">
      <c r="A5" s="26" t="s">
        <v>4851</v>
      </c>
    </row>
    <row r="6" spans="1:16" ht="15.75" thickBot="1" x14ac:dyDescent="0.3">
      <c r="A6" s="26" t="s">
        <v>1220</v>
      </c>
      <c r="D6" s="95"/>
      <c r="M6" s="103" t="s">
        <v>1221</v>
      </c>
      <c r="N6" s="28">
        <f>MAX(DataColumns[Col '#])-2</f>
        <v>3</v>
      </c>
    </row>
    <row r="7" spans="1:16" x14ac:dyDescent="0.25">
      <c r="A7" s="26" t="s">
        <v>4855</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1188</v>
      </c>
      <c r="B10" s="71" t="s">
        <v>1195</v>
      </c>
      <c r="C10" s="73" t="s">
        <v>1150</v>
      </c>
      <c r="D10" s="66" t="s">
        <v>1181</v>
      </c>
      <c r="E10" s="66" t="s">
        <v>145</v>
      </c>
      <c r="F10" s="66" t="s">
        <v>4804</v>
      </c>
      <c r="G10" s="66" t="s">
        <v>135</v>
      </c>
      <c r="H10" s="66" t="s">
        <v>142</v>
      </c>
      <c r="I10" s="66" t="s">
        <v>143</v>
      </c>
      <c r="J10" s="66" t="s">
        <v>136</v>
      </c>
      <c r="K10" s="66" t="s">
        <v>1151</v>
      </c>
      <c r="L10" s="66" t="s">
        <v>139</v>
      </c>
      <c r="M10" s="66" t="s">
        <v>1183</v>
      </c>
      <c r="N10" s="66" t="s">
        <v>1165</v>
      </c>
      <c r="O10" s="66" t="s">
        <v>137</v>
      </c>
      <c r="P10" s="151" t="s">
        <v>138</v>
      </c>
    </row>
    <row r="11" spans="1:16" ht="15.75" thickTop="1" x14ac:dyDescent="0.25">
      <c r="A11" s="58">
        <f>IF(COUNTA(DataColumns[[#This Row],[Column Label]:[Quality Code]])&gt;0,IF(MAX(A$10:A10)=0,3,MAX(A$10:A10)+1),"")</f>
        <v>3</v>
      </c>
      <c r="B11" s="16" t="s">
        <v>1311</v>
      </c>
      <c r="C11" s="18"/>
      <c r="D11" s="17" t="s">
        <v>1281</v>
      </c>
      <c r="E11" s="17" t="s">
        <v>1285</v>
      </c>
      <c r="F11" s="17" t="s">
        <v>1269</v>
      </c>
      <c r="G11" s="17" t="s">
        <v>1153</v>
      </c>
      <c r="H11" s="17" t="s">
        <v>1305</v>
      </c>
      <c r="I11" s="17" t="s">
        <v>4853</v>
      </c>
      <c r="J11" s="17">
        <v>0</v>
      </c>
      <c r="K11" s="17" t="s">
        <v>216</v>
      </c>
      <c r="L11" s="17">
        <v>15</v>
      </c>
      <c r="M11" s="17" t="s">
        <v>4854</v>
      </c>
      <c r="N11" s="17" t="s">
        <v>1167</v>
      </c>
      <c r="O11" s="17" t="s">
        <v>1158</v>
      </c>
      <c r="P11" s="30" t="s">
        <v>1162</v>
      </c>
    </row>
    <row r="12" spans="1:16" x14ac:dyDescent="0.25">
      <c r="A12" s="59">
        <f>IF(COUNTA(DataColumns[[#This Row],[Column Label]:[Quality Code]])&gt;0,IF(MAX(A$10:A11)=0,3,MAX(A$10:A11)+1),"")</f>
        <v>4</v>
      </c>
      <c r="B12" s="8" t="s">
        <v>1312</v>
      </c>
      <c r="C12" s="21"/>
      <c r="D12" s="9" t="s">
        <v>1281</v>
      </c>
      <c r="E12" s="9" t="s">
        <v>1285</v>
      </c>
      <c r="F12" s="9" t="s">
        <v>1269</v>
      </c>
      <c r="G12" s="9" t="s">
        <v>1153</v>
      </c>
      <c r="H12" s="9" t="s">
        <v>1306</v>
      </c>
      <c r="I12" s="17" t="s">
        <v>4853</v>
      </c>
      <c r="J12" s="9">
        <v>0</v>
      </c>
      <c r="K12" s="9" t="s">
        <v>216</v>
      </c>
      <c r="L12" s="9">
        <v>15</v>
      </c>
      <c r="M12" s="17" t="s">
        <v>4854</v>
      </c>
      <c r="N12" s="9" t="s">
        <v>1176</v>
      </c>
      <c r="O12" s="9" t="s">
        <v>1158</v>
      </c>
      <c r="P12" s="31" t="s">
        <v>1162</v>
      </c>
    </row>
    <row r="13" spans="1:16" x14ac:dyDescent="0.25">
      <c r="A13" s="59">
        <f>IF(COUNTA(DataColumns[[#This Row],[Column Label]:[Quality Code]])&gt;0,IF(MAX(A$10:A12)=0,3,MAX(A$10:A12)+1),"")</f>
        <v>5</v>
      </c>
      <c r="B13" s="8" t="s">
        <v>1313</v>
      </c>
      <c r="C13" s="21"/>
      <c r="D13" s="9" t="s">
        <v>1281</v>
      </c>
      <c r="E13" s="9" t="s">
        <v>1285</v>
      </c>
      <c r="F13" s="9" t="s">
        <v>1269</v>
      </c>
      <c r="G13" s="9" t="s">
        <v>1153</v>
      </c>
      <c r="H13" s="9" t="s">
        <v>1307</v>
      </c>
      <c r="I13" s="17" t="s">
        <v>4853</v>
      </c>
      <c r="J13" s="9">
        <v>0</v>
      </c>
      <c r="K13" s="9" t="s">
        <v>216</v>
      </c>
      <c r="L13" s="9">
        <v>15</v>
      </c>
      <c r="M13" s="17" t="s">
        <v>4854</v>
      </c>
      <c r="N13" s="9" t="s">
        <v>1174</v>
      </c>
      <c r="O13" s="9" t="s">
        <v>1158</v>
      </c>
      <c r="P13" s="31" t="s">
        <v>1162</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15" priority="15">
      <formula>AND(COUNTIF(FeatureCodes,$D11)=0,$D11&lt;&gt;"")</formula>
    </cfRule>
  </conditionalFormatting>
  <conditionalFormatting sqref="B11:B97">
    <cfRule type="duplicateValues" dxfId="14" priority="14"/>
  </conditionalFormatting>
  <conditionalFormatting sqref="E11:E97">
    <cfRule type="expression" dxfId="13" priority="13">
      <formula>AND(COUNTIF(MethodCodes,$E11)=0,$E11&lt;&gt;"")</formula>
    </cfRule>
  </conditionalFormatting>
  <conditionalFormatting sqref="F11:F97">
    <cfRule type="expression" dxfId="12" priority="12">
      <formula>AND(COUNTIF(PeopleNames,$F11)=0,$F11&lt;&gt;"")</formula>
    </cfRule>
  </conditionalFormatting>
  <conditionalFormatting sqref="G11:G97">
    <cfRule type="expression" dxfId="11" priority="11">
      <formula>AND(COUNTIF(ResultTypeCV,$G11)=0,$G11&lt;&gt;"")</formula>
    </cfRule>
  </conditionalFormatting>
  <conditionalFormatting sqref="H11:H97">
    <cfRule type="expression" dxfId="10" priority="10">
      <formula>AND(COUNTIF(VariableCodes,$H11)=0,$H11&lt;&gt;"")</formula>
    </cfRule>
  </conditionalFormatting>
  <conditionalFormatting sqref="J11:J97">
    <cfRule type="expression" dxfId="9" priority="9">
      <formula>AND(COUNTIF(ProcessingLevelCodes,$J11)=0,$J11&lt;&gt;"")</formula>
    </cfRule>
  </conditionalFormatting>
  <conditionalFormatting sqref="K11:K97">
    <cfRule type="expression" dxfId="8" priority="8">
      <formula>AND(COUNTIF(SampledMediumCV,$K11)=0,$K11&lt;&gt;"")</formula>
    </cfRule>
  </conditionalFormatting>
  <conditionalFormatting sqref="L11:L97">
    <cfRule type="expression" dxfId="7" priority="7">
      <formula>ISTEXT($L11)</formula>
    </cfRule>
  </conditionalFormatting>
  <conditionalFormatting sqref="N11:N97">
    <cfRule type="expression" dxfId="6" priority="6">
      <formula>AND(COUNTIF(AggregationStatisticCV,$N11)=0,$N11&lt;&gt;"")</formula>
    </cfRule>
  </conditionalFormatting>
  <conditionalFormatting sqref="O11:O97">
    <cfRule type="expression" dxfId="5" priority="5">
      <formula>AND(COUNTIF(CensorCodeCV,$O11)=0,$O11&lt;&gt;"")</formula>
    </cfRule>
  </conditionalFormatting>
  <conditionalFormatting sqref="P11:P97">
    <cfRule type="expression" dxfId="4" priority="4">
      <formula>AND(COUNTIF(QualityCodeCV,$P11)=0,$P11&lt;&gt;"")</formula>
    </cfRule>
  </conditionalFormatting>
  <conditionalFormatting sqref="B11:B97 D11:P97">
    <cfRule type="expression" dxfId="3" priority="3">
      <formula>AND(COUNTA($B11:$P11)&gt;0,B11="")</formula>
    </cfRule>
  </conditionalFormatting>
  <conditionalFormatting sqref="B12:P97">
    <cfRule type="expression" dxfId="2" priority="2">
      <formula>AND(COUNTA($B11:$P11)=0,B12&lt;&gt;"")</formula>
    </cfRule>
  </conditionalFormatting>
  <conditionalFormatting sqref="C11:C97">
    <cfRule type="duplicateValues" dxfId="1"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E18" sqref="AE1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239</v>
      </c>
      <c r="B1" s="26" t="s">
        <v>229</v>
      </c>
      <c r="C1" s="26" t="s">
        <v>4798</v>
      </c>
      <c r="D1" s="26" t="s">
        <v>231</v>
      </c>
      <c r="E1" s="26" t="s">
        <v>1374</v>
      </c>
      <c r="F1" s="26" t="s">
        <v>1345</v>
      </c>
      <c r="G1" s="26" t="s">
        <v>230</v>
      </c>
      <c r="H1" s="26" t="s">
        <v>1356</v>
      </c>
      <c r="I1" s="26" t="s">
        <v>232</v>
      </c>
      <c r="J1" s="26" t="s">
        <v>233</v>
      </c>
      <c r="K1" s="26" t="s">
        <v>1355</v>
      </c>
      <c r="L1" s="26" t="s">
        <v>234</v>
      </c>
      <c r="M1" s="26" t="s">
        <v>235</v>
      </c>
      <c r="N1" s="26" t="s">
        <v>236</v>
      </c>
      <c r="O1" s="26" t="s">
        <v>237</v>
      </c>
      <c r="P1" s="26" t="s">
        <v>1357</v>
      </c>
      <c r="Q1" s="26" t="s">
        <v>238</v>
      </c>
      <c r="R1" s="26" t="s">
        <v>240</v>
      </c>
      <c r="S1" s="26" t="s">
        <v>257</v>
      </c>
      <c r="T1" s="26" t="s">
        <v>258</v>
      </c>
      <c r="U1" s="26" t="s">
        <v>262</v>
      </c>
      <c r="V1" s="26" t="s">
        <v>1092</v>
      </c>
      <c r="W1" s="26" t="s">
        <v>252</v>
      </c>
      <c r="X1" s="26" t="s">
        <v>1194</v>
      </c>
      <c r="Y1" s="26" t="s">
        <v>1196</v>
      </c>
      <c r="Z1" s="26" t="s">
        <v>1197</v>
      </c>
      <c r="AA1" s="26" t="s">
        <v>4800</v>
      </c>
      <c r="AB1" s="26" t="s">
        <v>1202</v>
      </c>
      <c r="AC1" s="26" t="s">
        <v>4801</v>
      </c>
      <c r="AD1" s="26" t="s">
        <v>1205</v>
      </c>
      <c r="AE1" s="26" t="s">
        <v>1207</v>
      </c>
      <c r="AF1" s="26" t="s">
        <v>1215</v>
      </c>
      <c r="AG1" s="26" t="s">
        <v>1216</v>
      </c>
      <c r="AH1" s="26" t="s">
        <v>1233</v>
      </c>
    </row>
    <row r="2" spans="1:35" x14ac:dyDescent="0.25">
      <c r="A2" s="26" t="s">
        <v>1094</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f>IF(NumDataValues=0,3,2)</f>
        <v>2</v>
      </c>
    </row>
    <row r="3" spans="1:35" x14ac:dyDescent="0.25">
      <c r="A3" s="26">
        <f t="shared" ref="A3:A8" si="1">ROW()-3</f>
        <v>0</v>
      </c>
      <c r="B3" s="26" t="s">
        <v>134</v>
      </c>
      <c r="C3" s="26" t="s">
        <v>1238</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IF(COUNTA(CitationInformation)=0,"","Citations:")</f>
        <v>Citations:</v>
      </c>
      <c r="K3" s="26" t="str">
        <f>IF(CitationDOI="","","CitationExternalIdentifiers:")</f>
        <v/>
      </c>
      <c r="L3" s="26" t="str">
        <f>IF(COUNTA(CitationInformation)=0,"","AuthorLists:")</f>
        <v>AuthorLists:</v>
      </c>
      <c r="M3" s="26" t="str">
        <f>IF(COUNTA(CitationInformation)=0,"","DataSetCitations:")</f>
        <v>DataSetCitations:</v>
      </c>
      <c r="N3" s="26" t="s">
        <v>227</v>
      </c>
      <c r="O3" s="26" t="s">
        <v>228</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287</v>
      </c>
      <c r="V3" s="26" t="s">
        <v>1093</v>
      </c>
      <c r="W3" s="26" t="str">
        <f>""</f>
        <v/>
      </c>
      <c r="X3" s="26" t="s">
        <v>4897</v>
      </c>
      <c r="Y3" s="26" t="s">
        <v>1199</v>
      </c>
      <c r="Z3" s="26" t="s">
        <v>1201</v>
      </c>
      <c r="AA3" s="26" t="s">
        <v>4802</v>
      </c>
      <c r="AB3" s="26" t="s">
        <v>1203</v>
      </c>
      <c r="AC3" s="26" t="s">
        <v>4799</v>
      </c>
      <c r="AD3" s="26" t="s">
        <v>1204</v>
      </c>
      <c r="AE3" s="26" t="s">
        <v>1206</v>
      </c>
      <c r="AF3" s="26" t="s">
        <v>1214</v>
      </c>
      <c r="AG3" s="26" t="s">
        <v>1217</v>
      </c>
      <c r="AH3" s="26" t="s">
        <v>1237</v>
      </c>
      <c r="AI3" s="26">
        <f>MAX(B2:AG2)</f>
        <v>9</v>
      </c>
    </row>
    <row r="4" spans="1:35" x14ac:dyDescent="0.25">
      <c r="A4" s="26">
        <f t="shared" si="1"/>
        <v>1</v>
      </c>
      <c r="B4" s="26" t="s">
        <v>4824</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6" t="s">
        <v>1208</v>
      </c>
      <c r="AF4" s="26" t="str">
        <f>IF(INDEX(DataColumns[Column Label],ROW()-3)="",
"PLEASE FILL IN METADATA FOR AT LEAST ONE DATA COLUMN",
INDEX(DataColumns[Column Label],ROW()-3))</f>
        <v>AirTemp_Avg</v>
      </c>
      <c r="AG4" s="26" t="str">
        <f>IF(INDEX(DataColumns[Col '#],ROW()-3)="",
"PLEASE FILL IN METADATA FOR AT LEAST ONE DATA COLUMN",
CONCATENATE("ValueDateTime",", ","ValueDateTimeUTCOffset",", ",INDIRECT(CONCATENATE("R",NumDataColumns+3,"C[-1]"),FALSE)," ],["))</f>
        <v>ValueDateTime, ValueDateTimeUTCOffset, AirTemp_Avg, AirTemp_Min, AirTemp_Max ],[</v>
      </c>
      <c r="AH4" s="26" t="s">
        <v>1234</v>
      </c>
      <c r="AI4" s="26">
        <f>SUM(B2:AG2)</f>
        <v>117</v>
      </c>
    </row>
    <row r="5" spans="1:35" x14ac:dyDescent="0.25">
      <c r="A5" s="26">
        <f t="shared" si="1"/>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"2015-03-30", DateUpdated: "2015-03-30"}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 t="shared" ref="AC5:AC8" si="2">IF(ROW()-3&gt;NumDataColumns,"",
CONCATENATE("  - {DataSetObj: *DataSetID0001, ",
"ResultObj: *ResultID",TEXT(ROW()-3,"0000"),
"}"))</f>
        <v xml:space="preserve">  - {DataSetObj: *DataSetID0001, ResultObj: *ResultID0002}</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6" t="s">
        <v>1209</v>
      </c>
      <c r="AF5" s="26" t="str">
        <f>IF(ROW()-3&gt;NumDataColumns,
"",
CONCATENATE(AF4,", ",INDEX(DataColumns[Column Label],ROW()-3)))</f>
        <v>AirTemp_Avg, AirTemp_Min</v>
      </c>
      <c r="AG5" s="26" t="str">
        <f>IF(NumDataValues=0,"PLEASE FILL IN DATA IN THE DATA VALUES WORKSHEET","")</f>
        <v/>
      </c>
      <c r="AH5" s="26" t="s">
        <v>1235</v>
      </c>
      <c r="AI5" s="26">
        <f>COUNT(INDIRECT(CONCATENATE("'Data Values'!C2:C96148")))</f>
        <v>3359</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 t="shared" si="2"/>
        <v xml:space="preserve">  - {DataSetObj: *DataSetID0001, ResultObj: *ResultID0003}</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6" t="s">
        <v>1210</v>
      </c>
      <c r="AF6" s="26" t="str">
        <f>IF(ROW()-3&gt;NumDataColumns,
"",
CONCATENATE(AF5,", ",INDEX(DataColumns[Column Label],ROW()-3)))</f>
        <v>AirTemp_Avg, AirTemp_Min, AirTemp_Max</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1219</v>
      </c>
      <c r="C1" s="26" t="s">
        <v>1097</v>
      </c>
      <c r="D1" s="26" t="s">
        <v>1095</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heetViews>
  <sheetFormatPr defaultRowHeight="15" x14ac:dyDescent="0.25"/>
  <sheetData>
    <row r="1" spans="1:1" x14ac:dyDescent="0.25">
      <c r="A1" t="s">
        <v>134</v>
      </c>
    </row>
    <row r="2" spans="1:1" x14ac:dyDescent="0.25">
      <c r="A2" t="s">
        <v>4824</v>
      </c>
    </row>
    <row r="3" spans="1:1" x14ac:dyDescent="0.25">
      <c r="A3" t="s">
        <v>4898</v>
      </c>
    </row>
    <row r="4" spans="1:1" x14ac:dyDescent="0.25">
      <c r="A4" t="s">
        <v>1238</v>
      </c>
    </row>
    <row r="5" spans="1:1" x14ac:dyDescent="0.25">
      <c r="A5" t="s">
        <v>4907</v>
      </c>
    </row>
    <row r="6" spans="1:1" x14ac:dyDescent="0.25">
      <c r="A6" t="s">
        <v>188</v>
      </c>
    </row>
    <row r="7" spans="1:1" x14ac:dyDescent="0.25">
      <c r="A7" t="s">
        <v>4771</v>
      </c>
    </row>
    <row r="8" spans="1:1" x14ac:dyDescent="0.25">
      <c r="A8" t="s">
        <v>4772</v>
      </c>
    </row>
    <row r="9" spans="1:1" x14ac:dyDescent="0.25">
      <c r="A9" t="s">
        <v>1375</v>
      </c>
    </row>
    <row r="10" spans="1:1" x14ac:dyDescent="0.25">
      <c r="A10" t="s">
        <v>1376</v>
      </c>
    </row>
    <row r="11" spans="1:1" x14ac:dyDescent="0.25">
      <c r="A11" t="s">
        <v>1377</v>
      </c>
    </row>
    <row r="12" spans="1:1" x14ac:dyDescent="0.25">
      <c r="A12" t="s">
        <v>1378</v>
      </c>
    </row>
    <row r="13" spans="1:1" x14ac:dyDescent="0.25">
      <c r="A13" t="s">
        <v>1379</v>
      </c>
    </row>
    <row r="14" spans="1:1" x14ac:dyDescent="0.25">
      <c r="A14" t="s">
        <v>1380</v>
      </c>
    </row>
    <row r="15" spans="1:1" x14ac:dyDescent="0.25">
      <c r="A15" t="s">
        <v>1381</v>
      </c>
    </row>
    <row r="16" spans="1:1" x14ac:dyDescent="0.25">
      <c r="A16" t="s">
        <v>186</v>
      </c>
    </row>
    <row r="17" spans="1:1" x14ac:dyDescent="0.25">
      <c r="A17" t="s">
        <v>1382</v>
      </c>
    </row>
    <row r="18" spans="1:1" x14ac:dyDescent="0.25">
      <c r="A18" t="s">
        <v>4773</v>
      </c>
    </row>
    <row r="19" spans="1:1" x14ac:dyDescent="0.25">
      <c r="A19" t="s">
        <v>1383</v>
      </c>
    </row>
    <row r="20" spans="1:1" x14ac:dyDescent="0.25">
      <c r="A20" t="s">
        <v>1384</v>
      </c>
    </row>
    <row r="21" spans="1:1" x14ac:dyDescent="0.25">
      <c r="A21" t="s">
        <v>1385</v>
      </c>
    </row>
    <row r="22" spans="1:1" x14ac:dyDescent="0.25">
      <c r="A22" t="s">
        <v>189</v>
      </c>
    </row>
    <row r="23" spans="1:1" x14ac:dyDescent="0.25">
      <c r="A23" t="s">
        <v>1386</v>
      </c>
    </row>
    <row r="24" spans="1:1" x14ac:dyDescent="0.25">
      <c r="A24" t="s">
        <v>1387</v>
      </c>
    </row>
    <row r="25" spans="1:1" x14ac:dyDescent="0.25">
      <c r="A25" t="s">
        <v>1388</v>
      </c>
    </row>
    <row r="26" spans="1:1" x14ac:dyDescent="0.25">
      <c r="A26" t="s">
        <v>4899</v>
      </c>
    </row>
    <row r="27" spans="1:1" x14ac:dyDescent="0.25">
      <c r="A27" t="s">
        <v>1389</v>
      </c>
    </row>
    <row r="28" spans="1:1" x14ac:dyDescent="0.25">
      <c r="A28" t="s">
        <v>4900</v>
      </c>
    </row>
    <row r="29" spans="1:1" x14ac:dyDescent="0.25">
      <c r="A29" t="s">
        <v>1390</v>
      </c>
    </row>
    <row r="30" spans="1:1" x14ac:dyDescent="0.25">
      <c r="A30" t="s">
        <v>1391</v>
      </c>
    </row>
    <row r="31" spans="1:1" x14ac:dyDescent="0.25">
      <c r="A31" t="s">
        <v>1392</v>
      </c>
    </row>
    <row r="32" spans="1:1" x14ac:dyDescent="0.25">
      <c r="A32" t="s">
        <v>1393</v>
      </c>
    </row>
    <row r="33" spans="1:1" x14ac:dyDescent="0.25">
      <c r="A33" t="s">
        <v>227</v>
      </c>
    </row>
    <row r="34" spans="1:1" x14ac:dyDescent="0.25">
      <c r="A34" t="s">
        <v>1394</v>
      </c>
    </row>
    <row r="35" spans="1:1" x14ac:dyDescent="0.25">
      <c r="A35" t="s">
        <v>228</v>
      </c>
    </row>
    <row r="36" spans="1:1" x14ac:dyDescent="0.25">
      <c r="A36" t="s">
        <v>4774</v>
      </c>
    </row>
    <row r="37" spans="1:1" x14ac:dyDescent="0.25">
      <c r="A37" t="s">
        <v>4775</v>
      </c>
    </row>
    <row r="38" spans="1:1" x14ac:dyDescent="0.25">
      <c r="A38" t="s">
        <v>4776</v>
      </c>
    </row>
    <row r="39" spans="1:1" x14ac:dyDescent="0.25">
      <c r="A39" t="s">
        <v>4777</v>
      </c>
    </row>
    <row r="40" spans="1:1" x14ac:dyDescent="0.25">
      <c r="A40" t="s">
        <v>4778</v>
      </c>
    </row>
    <row r="41" spans="1:1" x14ac:dyDescent="0.25">
      <c r="A41" t="s">
        <v>4779</v>
      </c>
    </row>
    <row r="42" spans="1:1" x14ac:dyDescent="0.25">
      <c r="A42" t="s">
        <v>4780</v>
      </c>
    </row>
    <row r="43" spans="1:1" x14ac:dyDescent="0.25">
      <c r="A43" t="s">
        <v>4781</v>
      </c>
    </row>
    <row r="44" spans="1:1" x14ac:dyDescent="0.25">
      <c r="A44" t="s">
        <v>1395</v>
      </c>
    </row>
    <row r="45" spans="1:1" x14ac:dyDescent="0.25">
      <c r="A45" t="s">
        <v>1396</v>
      </c>
    </row>
    <row r="46" spans="1:1" x14ac:dyDescent="0.25">
      <c r="A46" t="s">
        <v>1397</v>
      </c>
    </row>
    <row r="47" spans="1:1" x14ac:dyDescent="0.25">
      <c r="A47" t="s">
        <v>4813</v>
      </c>
    </row>
    <row r="48" spans="1:1" x14ac:dyDescent="0.25">
      <c r="A48" t="s">
        <v>4814</v>
      </c>
    </row>
    <row r="49" spans="1:1" x14ac:dyDescent="0.25">
      <c r="A49" t="s">
        <v>4815</v>
      </c>
    </row>
    <row r="50" spans="1:1" x14ac:dyDescent="0.25">
      <c r="A50" t="s">
        <v>1398</v>
      </c>
    </row>
    <row r="51" spans="1:1" x14ac:dyDescent="0.25">
      <c r="A51" t="s">
        <v>4816</v>
      </c>
    </row>
    <row r="52" spans="1:1" x14ac:dyDescent="0.25">
      <c r="A52" t="s">
        <v>4817</v>
      </c>
    </row>
    <row r="53" spans="1:1" x14ac:dyDescent="0.25">
      <c r="A53" t="s">
        <v>4818</v>
      </c>
    </row>
    <row r="54" spans="1:1" x14ac:dyDescent="0.25">
      <c r="A54" t="s">
        <v>4819</v>
      </c>
    </row>
    <row r="55" spans="1:1" x14ac:dyDescent="0.25">
      <c r="A55" t="s">
        <v>4820</v>
      </c>
    </row>
    <row r="56" spans="1:1" x14ac:dyDescent="0.25">
      <c r="A56" t="s">
        <v>1399</v>
      </c>
    </row>
    <row r="57" spans="1:1" x14ac:dyDescent="0.25">
      <c r="A57" t="s">
        <v>4782</v>
      </c>
    </row>
    <row r="58" spans="1:1" x14ac:dyDescent="0.25">
      <c r="A58" t="s">
        <v>1400</v>
      </c>
    </row>
    <row r="59" spans="1:1" x14ac:dyDescent="0.25">
      <c r="A59" t="s">
        <v>1401</v>
      </c>
    </row>
    <row r="60" spans="1:1" x14ac:dyDescent="0.25">
      <c r="A60" t="s">
        <v>4783</v>
      </c>
    </row>
    <row r="61" spans="1:1" x14ac:dyDescent="0.25">
      <c r="A61" t="s">
        <v>4784</v>
      </c>
    </row>
    <row r="62" spans="1:1" x14ac:dyDescent="0.25">
      <c r="A62" t="s">
        <v>4785</v>
      </c>
    </row>
    <row r="63" spans="1:1" x14ac:dyDescent="0.25">
      <c r="A63" t="s">
        <v>287</v>
      </c>
    </row>
    <row r="64" spans="1:1" x14ac:dyDescent="0.25">
      <c r="A64" t="s">
        <v>1402</v>
      </c>
    </row>
    <row r="65" spans="1:1" x14ac:dyDescent="0.25">
      <c r="A65" t="s">
        <v>1403</v>
      </c>
    </row>
    <row r="66" spans="1:1" x14ac:dyDescent="0.25">
      <c r="A66" t="s">
        <v>1404</v>
      </c>
    </row>
    <row r="67" spans="1:1" x14ac:dyDescent="0.25">
      <c r="A67" t="s">
        <v>1405</v>
      </c>
    </row>
    <row r="68" spans="1:1" x14ac:dyDescent="0.25">
      <c r="A68" t="s">
        <v>1406</v>
      </c>
    </row>
    <row r="69" spans="1:1" x14ac:dyDescent="0.25">
      <c r="A69" t="s">
        <v>1093</v>
      </c>
    </row>
    <row r="70" spans="1:1" x14ac:dyDescent="0.25">
      <c r="A70" t="s">
        <v>4908</v>
      </c>
    </row>
    <row r="71" spans="1:1" x14ac:dyDescent="0.25">
      <c r="A71" t="s">
        <v>4909</v>
      </c>
    </row>
    <row r="72" spans="1:1" x14ac:dyDescent="0.25">
      <c r="A72" t="s">
        <v>4910</v>
      </c>
    </row>
    <row r="73" spans="1:1" x14ac:dyDescent="0.25">
      <c r="A73" t="s">
        <v>4911</v>
      </c>
    </row>
    <row r="74" spans="1:1" x14ac:dyDescent="0.25">
      <c r="A74" t="s">
        <v>4912</v>
      </c>
    </row>
    <row r="75" spans="1:1" x14ac:dyDescent="0.25">
      <c r="A75" t="s">
        <v>4913</v>
      </c>
    </row>
    <row r="76" spans="1:1" x14ac:dyDescent="0.25">
      <c r="A76" t="s">
        <v>4897</v>
      </c>
    </row>
    <row r="77" spans="1:1" x14ac:dyDescent="0.25">
      <c r="A77" t="s">
        <v>1407</v>
      </c>
    </row>
    <row r="78" spans="1:1" x14ac:dyDescent="0.25">
      <c r="A78" t="s">
        <v>4793</v>
      </c>
    </row>
    <row r="79" spans="1:1" x14ac:dyDescent="0.25">
      <c r="A79" t="s">
        <v>4794</v>
      </c>
    </row>
    <row r="80" spans="1:1" x14ac:dyDescent="0.25">
      <c r="A80" t="s">
        <v>4795</v>
      </c>
    </row>
    <row r="81" spans="1:1" x14ac:dyDescent="0.25">
      <c r="A81" t="s">
        <v>4796</v>
      </c>
    </row>
    <row r="82" spans="1:1" x14ac:dyDescent="0.25">
      <c r="A82" t="s">
        <v>1199</v>
      </c>
    </row>
    <row r="83" spans="1:1" x14ac:dyDescent="0.25">
      <c r="A83" t="s">
        <v>4901</v>
      </c>
    </row>
    <row r="84" spans="1:1" x14ac:dyDescent="0.25">
      <c r="A84" t="s">
        <v>4902</v>
      </c>
    </row>
    <row r="85" spans="1:1" x14ac:dyDescent="0.25">
      <c r="A85" t="s">
        <v>4903</v>
      </c>
    </row>
    <row r="86" spans="1:1" x14ac:dyDescent="0.25">
      <c r="A86" t="s">
        <v>1201</v>
      </c>
    </row>
    <row r="87" spans="1:1" x14ac:dyDescent="0.25">
      <c r="A87" t="s">
        <v>1408</v>
      </c>
    </row>
    <row r="88" spans="1:1" x14ac:dyDescent="0.25">
      <c r="A88" t="s">
        <v>1409</v>
      </c>
    </row>
    <row r="89" spans="1:1" x14ac:dyDescent="0.25">
      <c r="A89" t="s">
        <v>1410</v>
      </c>
    </row>
    <row r="90" spans="1:1" x14ac:dyDescent="0.25">
      <c r="A90" t="s">
        <v>4802</v>
      </c>
    </row>
    <row r="91" spans="1:1" x14ac:dyDescent="0.25">
      <c r="A91" t="s">
        <v>4805</v>
      </c>
    </row>
    <row r="92" spans="1:1" x14ac:dyDescent="0.25">
      <c r="A92" t="s">
        <v>4806</v>
      </c>
    </row>
    <row r="93" spans="1:1" x14ac:dyDescent="0.25">
      <c r="A93" t="s">
        <v>4807</v>
      </c>
    </row>
    <row r="94" spans="1:1" x14ac:dyDescent="0.25">
      <c r="A94" t="s">
        <v>1203</v>
      </c>
    </row>
    <row r="95" spans="1:1" x14ac:dyDescent="0.25">
      <c r="A95" t="s">
        <v>4914</v>
      </c>
    </row>
    <row r="96" spans="1:1" x14ac:dyDescent="0.25">
      <c r="A96" t="s">
        <v>4915</v>
      </c>
    </row>
    <row r="97" spans="1:1" x14ac:dyDescent="0.25">
      <c r="A97" t="s">
        <v>4916</v>
      </c>
    </row>
    <row r="98" spans="1:1" x14ac:dyDescent="0.25">
      <c r="A98" t="s">
        <v>4799</v>
      </c>
    </row>
    <row r="99" spans="1:1" x14ac:dyDescent="0.25">
      <c r="A99" t="s">
        <v>4821</v>
      </c>
    </row>
    <row r="100" spans="1:1" x14ac:dyDescent="0.25">
      <c r="A100" t="s">
        <v>4822</v>
      </c>
    </row>
    <row r="101" spans="1:1" x14ac:dyDescent="0.25">
      <c r="A101" t="s">
        <v>4823</v>
      </c>
    </row>
    <row r="102" spans="1:1" x14ac:dyDescent="0.25">
      <c r="A102" t="s">
        <v>1204</v>
      </c>
    </row>
    <row r="103" spans="1:1" x14ac:dyDescent="0.25">
      <c r="A103" t="s">
        <v>4917</v>
      </c>
    </row>
    <row r="104" spans="1:1" x14ac:dyDescent="0.25">
      <c r="A104" t="s">
        <v>4918</v>
      </c>
    </row>
    <row r="105" spans="1:1" x14ac:dyDescent="0.25">
      <c r="A105" t="s">
        <v>4919</v>
      </c>
    </row>
    <row r="106" spans="1:1" x14ac:dyDescent="0.25">
      <c r="A106" t="s">
        <v>1206</v>
      </c>
    </row>
    <row r="107" spans="1:1" x14ac:dyDescent="0.25">
      <c r="A107" t="s">
        <v>1208</v>
      </c>
    </row>
    <row r="108" spans="1:1" x14ac:dyDescent="0.25">
      <c r="A108" t="s">
        <v>1209</v>
      </c>
    </row>
    <row r="109" spans="1:1" x14ac:dyDescent="0.25">
      <c r="A109" t="s">
        <v>1210</v>
      </c>
    </row>
    <row r="110" spans="1:1" x14ac:dyDescent="0.25">
      <c r="A110" t="s">
        <v>4904</v>
      </c>
    </row>
    <row r="111" spans="1:1" x14ac:dyDescent="0.25">
      <c r="A111" t="s">
        <v>4905</v>
      </c>
    </row>
    <row r="112" spans="1:1" x14ac:dyDescent="0.25">
      <c r="A112" t="s">
        <v>4906</v>
      </c>
    </row>
    <row r="113" spans="1:1" x14ac:dyDescent="0.25">
      <c r="A113" t="s">
        <v>1214</v>
      </c>
    </row>
    <row r="114" spans="1:1" x14ac:dyDescent="0.25">
      <c r="A114" t="s">
        <v>1217</v>
      </c>
    </row>
    <row r="115" spans="1:1" x14ac:dyDescent="0.25">
      <c r="A115" t="s">
        <v>4797</v>
      </c>
    </row>
    <row r="116" spans="1:1" x14ac:dyDescent="0.25">
      <c r="A116" t="s">
        <v>1411</v>
      </c>
    </row>
    <row r="117" spans="1:1" x14ac:dyDescent="0.25">
      <c r="A117" t="s">
        <v>1412</v>
      </c>
    </row>
    <row r="118" spans="1:1" x14ac:dyDescent="0.25">
      <c r="A118" t="s">
        <v>1413</v>
      </c>
    </row>
    <row r="119" spans="1:1" x14ac:dyDescent="0.25">
      <c r="A119" t="s">
        <v>1414</v>
      </c>
    </row>
    <row r="120" spans="1:1" x14ac:dyDescent="0.25">
      <c r="A120" t="s">
        <v>1415</v>
      </c>
    </row>
    <row r="121" spans="1:1" x14ac:dyDescent="0.25">
      <c r="A121" t="s">
        <v>1416</v>
      </c>
    </row>
    <row r="122" spans="1:1" x14ac:dyDescent="0.25">
      <c r="A122" t="s">
        <v>1417</v>
      </c>
    </row>
    <row r="123" spans="1:1" x14ac:dyDescent="0.25">
      <c r="A123" t="s">
        <v>1418</v>
      </c>
    </row>
    <row r="124" spans="1:1" x14ac:dyDescent="0.25">
      <c r="A124" t="s">
        <v>1419</v>
      </c>
    </row>
    <row r="125" spans="1:1" x14ac:dyDescent="0.25">
      <c r="A125" t="s">
        <v>1420</v>
      </c>
    </row>
    <row r="126" spans="1:1" x14ac:dyDescent="0.25">
      <c r="A126" t="s">
        <v>1421</v>
      </c>
    </row>
    <row r="127" spans="1:1" x14ac:dyDescent="0.25">
      <c r="A127" t="s">
        <v>1422</v>
      </c>
    </row>
    <row r="128" spans="1:1" x14ac:dyDescent="0.25">
      <c r="A128" t="s">
        <v>1423</v>
      </c>
    </row>
    <row r="129" spans="1:1" x14ac:dyDescent="0.25">
      <c r="A129" t="s">
        <v>1424</v>
      </c>
    </row>
    <row r="130" spans="1:1" x14ac:dyDescent="0.25">
      <c r="A130" t="s">
        <v>1425</v>
      </c>
    </row>
    <row r="131" spans="1:1" x14ac:dyDescent="0.25">
      <c r="A131" t="s">
        <v>1426</v>
      </c>
    </row>
    <row r="132" spans="1:1" x14ac:dyDescent="0.25">
      <c r="A132" t="s">
        <v>1427</v>
      </c>
    </row>
    <row r="133" spans="1:1" x14ac:dyDescent="0.25">
      <c r="A133" t="s">
        <v>1428</v>
      </c>
    </row>
    <row r="134" spans="1:1" x14ac:dyDescent="0.25">
      <c r="A134" t="s">
        <v>1429</v>
      </c>
    </row>
    <row r="135" spans="1:1" x14ac:dyDescent="0.25">
      <c r="A135" t="s">
        <v>1430</v>
      </c>
    </row>
    <row r="136" spans="1:1" x14ac:dyDescent="0.25">
      <c r="A136" t="s">
        <v>1431</v>
      </c>
    </row>
    <row r="137" spans="1:1" x14ac:dyDescent="0.25">
      <c r="A137" t="s">
        <v>1432</v>
      </c>
    </row>
    <row r="138" spans="1:1" x14ac:dyDescent="0.25">
      <c r="A138" t="s">
        <v>1433</v>
      </c>
    </row>
    <row r="139" spans="1:1" x14ac:dyDescent="0.25">
      <c r="A139" t="s">
        <v>1434</v>
      </c>
    </row>
    <row r="140" spans="1:1" x14ac:dyDescent="0.25">
      <c r="A140" t="s">
        <v>1435</v>
      </c>
    </row>
    <row r="141" spans="1:1" x14ac:dyDescent="0.25">
      <c r="A141" t="s">
        <v>1436</v>
      </c>
    </row>
    <row r="142" spans="1:1" x14ac:dyDescent="0.25">
      <c r="A142" t="s">
        <v>1437</v>
      </c>
    </row>
    <row r="143" spans="1:1" x14ac:dyDescent="0.25">
      <c r="A143" t="s">
        <v>1438</v>
      </c>
    </row>
    <row r="144" spans="1:1" x14ac:dyDescent="0.25">
      <c r="A144" t="s">
        <v>1439</v>
      </c>
    </row>
    <row r="145" spans="1:1" x14ac:dyDescent="0.25">
      <c r="A145" t="s">
        <v>1440</v>
      </c>
    </row>
    <row r="146" spans="1:1" x14ac:dyDescent="0.25">
      <c r="A146" t="s">
        <v>1441</v>
      </c>
    </row>
    <row r="147" spans="1:1" x14ac:dyDescent="0.25">
      <c r="A147" t="s">
        <v>1442</v>
      </c>
    </row>
    <row r="148" spans="1:1" x14ac:dyDescent="0.25">
      <c r="A148" t="s">
        <v>1443</v>
      </c>
    </row>
    <row r="149" spans="1:1" x14ac:dyDescent="0.25">
      <c r="A149" t="s">
        <v>1444</v>
      </c>
    </row>
    <row r="150" spans="1:1" x14ac:dyDescent="0.25">
      <c r="A150" t="s">
        <v>1445</v>
      </c>
    </row>
    <row r="151" spans="1:1" x14ac:dyDescent="0.25">
      <c r="A151" t="s">
        <v>1446</v>
      </c>
    </row>
    <row r="152" spans="1:1" x14ac:dyDescent="0.25">
      <c r="A152" t="s">
        <v>1447</v>
      </c>
    </row>
    <row r="153" spans="1:1" x14ac:dyDescent="0.25">
      <c r="A153" t="s">
        <v>1448</v>
      </c>
    </row>
    <row r="154" spans="1:1" x14ac:dyDescent="0.25">
      <c r="A154" t="s">
        <v>1449</v>
      </c>
    </row>
    <row r="155" spans="1:1" x14ac:dyDescent="0.25">
      <c r="A155" t="s">
        <v>1450</v>
      </c>
    </row>
    <row r="156" spans="1:1" x14ac:dyDescent="0.25">
      <c r="A156" t="s">
        <v>1451</v>
      </c>
    </row>
    <row r="157" spans="1:1" x14ac:dyDescent="0.25">
      <c r="A157" t="s">
        <v>1452</v>
      </c>
    </row>
    <row r="158" spans="1:1" x14ac:dyDescent="0.25">
      <c r="A158" t="s">
        <v>1453</v>
      </c>
    </row>
    <row r="159" spans="1:1" x14ac:dyDescent="0.25">
      <c r="A159" t="s">
        <v>1454</v>
      </c>
    </row>
    <row r="160" spans="1:1" x14ac:dyDescent="0.25">
      <c r="A160" t="s">
        <v>1455</v>
      </c>
    </row>
    <row r="161" spans="1:1" x14ac:dyDescent="0.25">
      <c r="A161" t="s">
        <v>1456</v>
      </c>
    </row>
    <row r="162" spans="1:1" x14ac:dyDescent="0.25">
      <c r="A162" t="s">
        <v>1457</v>
      </c>
    </row>
    <row r="163" spans="1:1" x14ac:dyDescent="0.25">
      <c r="A163" t="s">
        <v>1458</v>
      </c>
    </row>
    <row r="164" spans="1:1" x14ac:dyDescent="0.25">
      <c r="A164" t="s">
        <v>1459</v>
      </c>
    </row>
    <row r="165" spans="1:1" x14ac:dyDescent="0.25">
      <c r="A165" t="s">
        <v>1460</v>
      </c>
    </row>
    <row r="166" spans="1:1" x14ac:dyDescent="0.25">
      <c r="A166" t="s">
        <v>1461</v>
      </c>
    </row>
    <row r="167" spans="1:1" x14ac:dyDescent="0.25">
      <c r="A167" t="s">
        <v>1462</v>
      </c>
    </row>
    <row r="168" spans="1:1" x14ac:dyDescent="0.25">
      <c r="A168" t="s">
        <v>1463</v>
      </c>
    </row>
    <row r="169" spans="1:1" x14ac:dyDescent="0.25">
      <c r="A169" t="s">
        <v>1464</v>
      </c>
    </row>
    <row r="170" spans="1:1" x14ac:dyDescent="0.25">
      <c r="A170" t="s">
        <v>1465</v>
      </c>
    </row>
    <row r="171" spans="1:1" x14ac:dyDescent="0.25">
      <c r="A171" t="s">
        <v>1466</v>
      </c>
    </row>
    <row r="172" spans="1:1" x14ac:dyDescent="0.25">
      <c r="A172" t="s">
        <v>1467</v>
      </c>
    </row>
    <row r="173" spans="1:1" x14ac:dyDescent="0.25">
      <c r="A173" t="s">
        <v>1468</v>
      </c>
    </row>
    <row r="174" spans="1:1" x14ac:dyDescent="0.25">
      <c r="A174" t="s">
        <v>1469</v>
      </c>
    </row>
    <row r="175" spans="1:1" x14ac:dyDescent="0.25">
      <c r="A175" t="s">
        <v>1470</v>
      </c>
    </row>
    <row r="176" spans="1:1" x14ac:dyDescent="0.25">
      <c r="A176" t="s">
        <v>1471</v>
      </c>
    </row>
    <row r="177" spans="1:1" x14ac:dyDescent="0.25">
      <c r="A177" t="s">
        <v>1472</v>
      </c>
    </row>
    <row r="178" spans="1:1" x14ac:dyDescent="0.25">
      <c r="A178" t="s">
        <v>1473</v>
      </c>
    </row>
    <row r="179" spans="1:1" x14ac:dyDescent="0.25">
      <c r="A179" t="s">
        <v>1474</v>
      </c>
    </row>
    <row r="180" spans="1:1" x14ac:dyDescent="0.25">
      <c r="A180" t="s">
        <v>1475</v>
      </c>
    </row>
    <row r="181" spans="1:1" x14ac:dyDescent="0.25">
      <c r="A181" t="s">
        <v>1476</v>
      </c>
    </row>
    <row r="182" spans="1:1" x14ac:dyDescent="0.25">
      <c r="A182" t="s">
        <v>1477</v>
      </c>
    </row>
    <row r="183" spans="1:1" x14ac:dyDescent="0.25">
      <c r="A183" t="s">
        <v>1478</v>
      </c>
    </row>
    <row r="184" spans="1:1" x14ac:dyDescent="0.25">
      <c r="A184" t="s">
        <v>1479</v>
      </c>
    </row>
    <row r="185" spans="1:1" x14ac:dyDescent="0.25">
      <c r="A185" t="s">
        <v>1480</v>
      </c>
    </row>
    <row r="186" spans="1:1" x14ac:dyDescent="0.25">
      <c r="A186" t="s">
        <v>1481</v>
      </c>
    </row>
    <row r="187" spans="1:1" x14ac:dyDescent="0.25">
      <c r="A187" t="s">
        <v>1482</v>
      </c>
    </row>
    <row r="188" spans="1:1" x14ac:dyDescent="0.25">
      <c r="A188" t="s">
        <v>1483</v>
      </c>
    </row>
    <row r="189" spans="1:1" x14ac:dyDescent="0.25">
      <c r="A189" t="s">
        <v>1484</v>
      </c>
    </row>
    <row r="190" spans="1:1" x14ac:dyDescent="0.25">
      <c r="A190" t="s">
        <v>1485</v>
      </c>
    </row>
    <row r="191" spans="1:1" x14ac:dyDescent="0.25">
      <c r="A191" t="s">
        <v>1486</v>
      </c>
    </row>
    <row r="192" spans="1:1" x14ac:dyDescent="0.25">
      <c r="A192" t="s">
        <v>1487</v>
      </c>
    </row>
    <row r="193" spans="1:1" x14ac:dyDescent="0.25">
      <c r="A193" t="s">
        <v>1488</v>
      </c>
    </row>
    <row r="194" spans="1:1" x14ac:dyDescent="0.25">
      <c r="A194" t="s">
        <v>1489</v>
      </c>
    </row>
    <row r="195" spans="1:1" x14ac:dyDescent="0.25">
      <c r="A195" t="s">
        <v>1490</v>
      </c>
    </row>
    <row r="196" spans="1:1" x14ac:dyDescent="0.25">
      <c r="A196" t="s">
        <v>1491</v>
      </c>
    </row>
    <row r="197" spans="1:1" x14ac:dyDescent="0.25">
      <c r="A197" t="s">
        <v>1492</v>
      </c>
    </row>
    <row r="198" spans="1:1" x14ac:dyDescent="0.25">
      <c r="A198" t="s">
        <v>1493</v>
      </c>
    </row>
    <row r="199" spans="1:1" x14ac:dyDescent="0.25">
      <c r="A199" t="s">
        <v>1494</v>
      </c>
    </row>
    <row r="200" spans="1:1" x14ac:dyDescent="0.25">
      <c r="A200" t="s">
        <v>1495</v>
      </c>
    </row>
    <row r="201" spans="1:1" x14ac:dyDescent="0.25">
      <c r="A201" t="s">
        <v>1496</v>
      </c>
    </row>
    <row r="202" spans="1:1" x14ac:dyDescent="0.25">
      <c r="A202" t="s">
        <v>1497</v>
      </c>
    </row>
    <row r="203" spans="1:1" x14ac:dyDescent="0.25">
      <c r="A203" t="s">
        <v>1498</v>
      </c>
    </row>
    <row r="204" spans="1:1" x14ac:dyDescent="0.25">
      <c r="A204" t="s">
        <v>1499</v>
      </c>
    </row>
    <row r="205" spans="1:1" x14ac:dyDescent="0.25">
      <c r="A205" t="s">
        <v>1500</v>
      </c>
    </row>
    <row r="206" spans="1:1" x14ac:dyDescent="0.25">
      <c r="A206" t="s">
        <v>1501</v>
      </c>
    </row>
    <row r="207" spans="1:1" x14ac:dyDescent="0.25">
      <c r="A207" t="s">
        <v>1502</v>
      </c>
    </row>
    <row r="208" spans="1:1" x14ac:dyDescent="0.25">
      <c r="A208" t="s">
        <v>1503</v>
      </c>
    </row>
    <row r="209" spans="1:1" x14ac:dyDescent="0.25">
      <c r="A209" t="s">
        <v>1504</v>
      </c>
    </row>
    <row r="210" spans="1:1" x14ac:dyDescent="0.25">
      <c r="A210" t="s">
        <v>1505</v>
      </c>
    </row>
    <row r="211" spans="1:1" x14ac:dyDescent="0.25">
      <c r="A211" t="s">
        <v>1506</v>
      </c>
    </row>
    <row r="212" spans="1:1" x14ac:dyDescent="0.25">
      <c r="A212" t="s">
        <v>1507</v>
      </c>
    </row>
    <row r="213" spans="1:1" x14ac:dyDescent="0.25">
      <c r="A213" t="s">
        <v>1508</v>
      </c>
    </row>
    <row r="214" spans="1:1" x14ac:dyDescent="0.25">
      <c r="A214" t="s">
        <v>1509</v>
      </c>
    </row>
    <row r="215" spans="1:1" x14ac:dyDescent="0.25">
      <c r="A215" t="s">
        <v>1510</v>
      </c>
    </row>
    <row r="216" spans="1:1" x14ac:dyDescent="0.25">
      <c r="A216" t="s">
        <v>1511</v>
      </c>
    </row>
    <row r="217" spans="1:1" x14ac:dyDescent="0.25">
      <c r="A217" t="s">
        <v>1512</v>
      </c>
    </row>
    <row r="218" spans="1:1" x14ac:dyDescent="0.25">
      <c r="A218" t="s">
        <v>1513</v>
      </c>
    </row>
    <row r="219" spans="1:1" x14ac:dyDescent="0.25">
      <c r="A219" t="s">
        <v>1514</v>
      </c>
    </row>
    <row r="220" spans="1:1" x14ac:dyDescent="0.25">
      <c r="A220" t="s">
        <v>1515</v>
      </c>
    </row>
    <row r="221" spans="1:1" x14ac:dyDescent="0.25">
      <c r="A221" t="s">
        <v>1516</v>
      </c>
    </row>
    <row r="222" spans="1:1" x14ac:dyDescent="0.25">
      <c r="A222" t="s">
        <v>1517</v>
      </c>
    </row>
    <row r="223" spans="1:1" x14ac:dyDescent="0.25">
      <c r="A223" t="s">
        <v>1518</v>
      </c>
    </row>
    <row r="224" spans="1:1" x14ac:dyDescent="0.25">
      <c r="A224" t="s">
        <v>1519</v>
      </c>
    </row>
    <row r="225" spans="1:1" x14ac:dyDescent="0.25">
      <c r="A225" t="s">
        <v>1520</v>
      </c>
    </row>
    <row r="226" spans="1:1" x14ac:dyDescent="0.25">
      <c r="A226" t="s">
        <v>1521</v>
      </c>
    </row>
    <row r="227" spans="1:1" x14ac:dyDescent="0.25">
      <c r="A227" t="s">
        <v>1522</v>
      </c>
    </row>
    <row r="228" spans="1:1" x14ac:dyDescent="0.25">
      <c r="A228" t="s">
        <v>1523</v>
      </c>
    </row>
    <row r="229" spans="1:1" x14ac:dyDescent="0.25">
      <c r="A229" t="s">
        <v>1524</v>
      </c>
    </row>
    <row r="230" spans="1:1" x14ac:dyDescent="0.25">
      <c r="A230" t="s">
        <v>1525</v>
      </c>
    </row>
    <row r="231" spans="1:1" x14ac:dyDescent="0.25">
      <c r="A231" t="s">
        <v>1526</v>
      </c>
    </row>
    <row r="232" spans="1:1" x14ac:dyDescent="0.25">
      <c r="A232" t="s">
        <v>1527</v>
      </c>
    </row>
    <row r="233" spans="1:1" x14ac:dyDescent="0.25">
      <c r="A233" t="s">
        <v>1528</v>
      </c>
    </row>
    <row r="234" spans="1:1" x14ac:dyDescent="0.25">
      <c r="A234" t="s">
        <v>1529</v>
      </c>
    </row>
    <row r="235" spans="1:1" x14ac:dyDescent="0.25">
      <c r="A235" t="s">
        <v>1530</v>
      </c>
    </row>
    <row r="236" spans="1:1" x14ac:dyDescent="0.25">
      <c r="A236" t="s">
        <v>1531</v>
      </c>
    </row>
    <row r="237" spans="1:1" x14ac:dyDescent="0.25">
      <c r="A237" t="s">
        <v>1532</v>
      </c>
    </row>
    <row r="238" spans="1:1" x14ac:dyDescent="0.25">
      <c r="A238" t="s">
        <v>1533</v>
      </c>
    </row>
    <row r="239" spans="1:1" x14ac:dyDescent="0.25">
      <c r="A239" t="s">
        <v>1534</v>
      </c>
    </row>
    <row r="240" spans="1:1" x14ac:dyDescent="0.25">
      <c r="A240" t="s">
        <v>1535</v>
      </c>
    </row>
    <row r="241" spans="1:1" x14ac:dyDescent="0.25">
      <c r="A241" t="s">
        <v>1536</v>
      </c>
    </row>
    <row r="242" spans="1:1" x14ac:dyDescent="0.25">
      <c r="A242" t="s">
        <v>1537</v>
      </c>
    </row>
    <row r="243" spans="1:1" x14ac:dyDescent="0.25">
      <c r="A243" t="s">
        <v>1538</v>
      </c>
    </row>
    <row r="244" spans="1:1" x14ac:dyDescent="0.25">
      <c r="A244" t="s">
        <v>1539</v>
      </c>
    </row>
    <row r="245" spans="1:1" x14ac:dyDescent="0.25">
      <c r="A245" t="s">
        <v>1540</v>
      </c>
    </row>
    <row r="246" spans="1:1" x14ac:dyDescent="0.25">
      <c r="A246" t="s">
        <v>1541</v>
      </c>
    </row>
    <row r="247" spans="1:1" x14ac:dyDescent="0.25">
      <c r="A247" t="s">
        <v>1542</v>
      </c>
    </row>
    <row r="248" spans="1:1" x14ac:dyDescent="0.25">
      <c r="A248" t="s">
        <v>1543</v>
      </c>
    </row>
    <row r="249" spans="1:1" x14ac:dyDescent="0.25">
      <c r="A249" t="s">
        <v>1544</v>
      </c>
    </row>
    <row r="250" spans="1:1" x14ac:dyDescent="0.25">
      <c r="A250" t="s">
        <v>1545</v>
      </c>
    </row>
    <row r="251" spans="1:1" x14ac:dyDescent="0.25">
      <c r="A251" t="s">
        <v>1546</v>
      </c>
    </row>
    <row r="252" spans="1:1" x14ac:dyDescent="0.25">
      <c r="A252" t="s">
        <v>1547</v>
      </c>
    </row>
    <row r="253" spans="1:1" x14ac:dyDescent="0.25">
      <c r="A253" t="s">
        <v>1548</v>
      </c>
    </row>
    <row r="254" spans="1:1" x14ac:dyDescent="0.25">
      <c r="A254" t="s">
        <v>1549</v>
      </c>
    </row>
    <row r="255" spans="1:1" x14ac:dyDescent="0.25">
      <c r="A255" t="s">
        <v>1550</v>
      </c>
    </row>
    <row r="256" spans="1:1" x14ac:dyDescent="0.25">
      <c r="A256" t="s">
        <v>1551</v>
      </c>
    </row>
    <row r="257" spans="1:1" x14ac:dyDescent="0.25">
      <c r="A257" t="s">
        <v>1552</v>
      </c>
    </row>
    <row r="258" spans="1:1" x14ac:dyDescent="0.25">
      <c r="A258" t="s">
        <v>1553</v>
      </c>
    </row>
    <row r="259" spans="1:1" x14ac:dyDescent="0.25">
      <c r="A259" t="s">
        <v>1554</v>
      </c>
    </row>
    <row r="260" spans="1:1" x14ac:dyDescent="0.25">
      <c r="A260" t="s">
        <v>1555</v>
      </c>
    </row>
    <row r="261" spans="1:1" x14ac:dyDescent="0.25">
      <c r="A261" t="s">
        <v>1556</v>
      </c>
    </row>
    <row r="262" spans="1:1" x14ac:dyDescent="0.25">
      <c r="A262" t="s">
        <v>1557</v>
      </c>
    </row>
    <row r="263" spans="1:1" x14ac:dyDescent="0.25">
      <c r="A263" t="s">
        <v>1558</v>
      </c>
    </row>
    <row r="264" spans="1:1" x14ac:dyDescent="0.25">
      <c r="A264" t="s">
        <v>1559</v>
      </c>
    </row>
    <row r="265" spans="1:1" x14ac:dyDescent="0.25">
      <c r="A265" t="s">
        <v>1560</v>
      </c>
    </row>
    <row r="266" spans="1:1" x14ac:dyDescent="0.25">
      <c r="A266" t="s">
        <v>1561</v>
      </c>
    </row>
    <row r="267" spans="1:1" x14ac:dyDescent="0.25">
      <c r="A267" t="s">
        <v>1562</v>
      </c>
    </row>
    <row r="268" spans="1:1" x14ac:dyDescent="0.25">
      <c r="A268" t="s">
        <v>1563</v>
      </c>
    </row>
    <row r="269" spans="1:1" x14ac:dyDescent="0.25">
      <c r="A269" t="s">
        <v>1564</v>
      </c>
    </row>
    <row r="270" spans="1:1" x14ac:dyDescent="0.25">
      <c r="A270" t="s">
        <v>1565</v>
      </c>
    </row>
    <row r="271" spans="1:1" x14ac:dyDescent="0.25">
      <c r="A271" t="s">
        <v>1566</v>
      </c>
    </row>
    <row r="272" spans="1:1" x14ac:dyDescent="0.25">
      <c r="A272" t="s">
        <v>1567</v>
      </c>
    </row>
    <row r="273" spans="1:1" x14ac:dyDescent="0.25">
      <c r="A273" t="s">
        <v>1568</v>
      </c>
    </row>
    <row r="274" spans="1:1" x14ac:dyDescent="0.25">
      <c r="A274" t="s">
        <v>1569</v>
      </c>
    </row>
    <row r="275" spans="1:1" x14ac:dyDescent="0.25">
      <c r="A275" t="s">
        <v>1570</v>
      </c>
    </row>
    <row r="276" spans="1:1" x14ac:dyDescent="0.25">
      <c r="A276" t="s">
        <v>1571</v>
      </c>
    </row>
    <row r="277" spans="1:1" x14ac:dyDescent="0.25">
      <c r="A277" t="s">
        <v>1572</v>
      </c>
    </row>
    <row r="278" spans="1:1" x14ac:dyDescent="0.25">
      <c r="A278" t="s">
        <v>1573</v>
      </c>
    </row>
    <row r="279" spans="1:1" x14ac:dyDescent="0.25">
      <c r="A279" t="s">
        <v>1574</v>
      </c>
    </row>
    <row r="280" spans="1:1" x14ac:dyDescent="0.25">
      <c r="A280" t="s">
        <v>1575</v>
      </c>
    </row>
    <row r="281" spans="1:1" x14ac:dyDescent="0.25">
      <c r="A281" t="s">
        <v>1576</v>
      </c>
    </row>
    <row r="282" spans="1:1" x14ac:dyDescent="0.25">
      <c r="A282" t="s">
        <v>1577</v>
      </c>
    </row>
    <row r="283" spans="1:1" x14ac:dyDescent="0.25">
      <c r="A283" t="s">
        <v>1578</v>
      </c>
    </row>
    <row r="284" spans="1:1" x14ac:dyDescent="0.25">
      <c r="A284" t="s">
        <v>1579</v>
      </c>
    </row>
    <row r="285" spans="1:1" x14ac:dyDescent="0.25">
      <c r="A285" t="s">
        <v>1580</v>
      </c>
    </row>
    <row r="286" spans="1:1" x14ac:dyDescent="0.25">
      <c r="A286" t="s">
        <v>1581</v>
      </c>
    </row>
    <row r="287" spans="1:1" x14ac:dyDescent="0.25">
      <c r="A287" t="s">
        <v>1582</v>
      </c>
    </row>
    <row r="288" spans="1:1" x14ac:dyDescent="0.25">
      <c r="A288" t="s">
        <v>1583</v>
      </c>
    </row>
    <row r="289" spans="1:1" x14ac:dyDescent="0.25">
      <c r="A289" t="s">
        <v>1584</v>
      </c>
    </row>
    <row r="290" spans="1:1" x14ac:dyDescent="0.25">
      <c r="A290" t="s">
        <v>1585</v>
      </c>
    </row>
    <row r="291" spans="1:1" x14ac:dyDescent="0.25">
      <c r="A291" t="s">
        <v>1586</v>
      </c>
    </row>
    <row r="292" spans="1:1" x14ac:dyDescent="0.25">
      <c r="A292" t="s">
        <v>1587</v>
      </c>
    </row>
    <row r="293" spans="1:1" x14ac:dyDescent="0.25">
      <c r="A293" t="s">
        <v>1588</v>
      </c>
    </row>
    <row r="294" spans="1:1" x14ac:dyDescent="0.25">
      <c r="A294" t="s">
        <v>1589</v>
      </c>
    </row>
    <row r="295" spans="1:1" x14ac:dyDescent="0.25">
      <c r="A295" t="s">
        <v>1590</v>
      </c>
    </row>
    <row r="296" spans="1:1" x14ac:dyDescent="0.25">
      <c r="A296" t="s">
        <v>1591</v>
      </c>
    </row>
    <row r="297" spans="1:1" x14ac:dyDescent="0.25">
      <c r="A297" t="s">
        <v>1592</v>
      </c>
    </row>
    <row r="298" spans="1:1" x14ac:dyDescent="0.25">
      <c r="A298" t="s">
        <v>1593</v>
      </c>
    </row>
    <row r="299" spans="1:1" x14ac:dyDescent="0.25">
      <c r="A299" t="s">
        <v>1594</v>
      </c>
    </row>
    <row r="300" spans="1:1" x14ac:dyDescent="0.25">
      <c r="A300" t="s">
        <v>1595</v>
      </c>
    </row>
    <row r="301" spans="1:1" x14ac:dyDescent="0.25">
      <c r="A301" t="s">
        <v>1596</v>
      </c>
    </row>
    <row r="302" spans="1:1" x14ac:dyDescent="0.25">
      <c r="A302" t="s">
        <v>1597</v>
      </c>
    </row>
    <row r="303" spans="1:1" x14ac:dyDescent="0.25">
      <c r="A303" t="s">
        <v>1598</v>
      </c>
    </row>
    <row r="304" spans="1:1" x14ac:dyDescent="0.25">
      <c r="A304" t="s">
        <v>1599</v>
      </c>
    </row>
    <row r="305" spans="1:1" x14ac:dyDescent="0.25">
      <c r="A305" t="s">
        <v>1600</v>
      </c>
    </row>
    <row r="306" spans="1:1" x14ac:dyDescent="0.25">
      <c r="A306" t="s">
        <v>1601</v>
      </c>
    </row>
    <row r="307" spans="1:1" x14ac:dyDescent="0.25">
      <c r="A307" t="s">
        <v>1602</v>
      </c>
    </row>
    <row r="308" spans="1:1" x14ac:dyDescent="0.25">
      <c r="A308" t="s">
        <v>1603</v>
      </c>
    </row>
    <row r="309" spans="1:1" x14ac:dyDescent="0.25">
      <c r="A309" t="s">
        <v>1604</v>
      </c>
    </row>
    <row r="310" spans="1:1" x14ac:dyDescent="0.25">
      <c r="A310" t="s">
        <v>1605</v>
      </c>
    </row>
    <row r="311" spans="1:1" x14ac:dyDescent="0.25">
      <c r="A311" t="s">
        <v>1606</v>
      </c>
    </row>
    <row r="312" spans="1:1" x14ac:dyDescent="0.25">
      <c r="A312" t="s">
        <v>1607</v>
      </c>
    </row>
    <row r="313" spans="1:1" x14ac:dyDescent="0.25">
      <c r="A313" t="s">
        <v>1608</v>
      </c>
    </row>
    <row r="314" spans="1:1" x14ac:dyDescent="0.25">
      <c r="A314" t="s">
        <v>1609</v>
      </c>
    </row>
    <row r="315" spans="1:1" x14ac:dyDescent="0.25">
      <c r="A315" t="s">
        <v>1610</v>
      </c>
    </row>
    <row r="316" spans="1:1" x14ac:dyDescent="0.25">
      <c r="A316" t="s">
        <v>1611</v>
      </c>
    </row>
    <row r="317" spans="1:1" x14ac:dyDescent="0.25">
      <c r="A317" t="s">
        <v>1612</v>
      </c>
    </row>
    <row r="318" spans="1:1" x14ac:dyDescent="0.25">
      <c r="A318" t="s">
        <v>1613</v>
      </c>
    </row>
    <row r="319" spans="1:1" x14ac:dyDescent="0.25">
      <c r="A319" t="s">
        <v>1614</v>
      </c>
    </row>
    <row r="320" spans="1:1" x14ac:dyDescent="0.25">
      <c r="A320" t="s">
        <v>1615</v>
      </c>
    </row>
    <row r="321" spans="1:1" x14ac:dyDescent="0.25">
      <c r="A321" t="s">
        <v>1616</v>
      </c>
    </row>
    <row r="322" spans="1:1" x14ac:dyDescent="0.25">
      <c r="A322" t="s">
        <v>1617</v>
      </c>
    </row>
    <row r="323" spans="1:1" x14ac:dyDescent="0.25">
      <c r="A323" t="s">
        <v>1618</v>
      </c>
    </row>
    <row r="324" spans="1:1" x14ac:dyDescent="0.25">
      <c r="A324" t="s">
        <v>1619</v>
      </c>
    </row>
    <row r="325" spans="1:1" x14ac:dyDescent="0.25">
      <c r="A325" t="s">
        <v>1620</v>
      </c>
    </row>
    <row r="326" spans="1:1" x14ac:dyDescent="0.25">
      <c r="A326" t="s">
        <v>1621</v>
      </c>
    </row>
    <row r="327" spans="1:1" x14ac:dyDescent="0.25">
      <c r="A327" t="s">
        <v>1622</v>
      </c>
    </row>
    <row r="328" spans="1:1" x14ac:dyDescent="0.25">
      <c r="A328" t="s">
        <v>1623</v>
      </c>
    </row>
    <row r="329" spans="1:1" x14ac:dyDescent="0.25">
      <c r="A329" t="s">
        <v>1624</v>
      </c>
    </row>
    <row r="330" spans="1:1" x14ac:dyDescent="0.25">
      <c r="A330" t="s">
        <v>1625</v>
      </c>
    </row>
    <row r="331" spans="1:1" x14ac:dyDescent="0.25">
      <c r="A331" t="s">
        <v>1626</v>
      </c>
    </row>
    <row r="332" spans="1:1" x14ac:dyDescent="0.25">
      <c r="A332" t="s">
        <v>1627</v>
      </c>
    </row>
    <row r="333" spans="1:1" x14ac:dyDescent="0.25">
      <c r="A333" t="s">
        <v>1628</v>
      </c>
    </row>
    <row r="334" spans="1:1" x14ac:dyDescent="0.25">
      <c r="A334" t="s">
        <v>1629</v>
      </c>
    </row>
    <row r="335" spans="1:1" x14ac:dyDescent="0.25">
      <c r="A335" t="s">
        <v>1630</v>
      </c>
    </row>
    <row r="336" spans="1:1" x14ac:dyDescent="0.25">
      <c r="A336" t="s">
        <v>1631</v>
      </c>
    </row>
    <row r="337" spans="1:1" x14ac:dyDescent="0.25">
      <c r="A337" t="s">
        <v>1632</v>
      </c>
    </row>
    <row r="338" spans="1:1" x14ac:dyDescent="0.25">
      <c r="A338" t="s">
        <v>1633</v>
      </c>
    </row>
    <row r="339" spans="1:1" x14ac:dyDescent="0.25">
      <c r="A339" t="s">
        <v>1634</v>
      </c>
    </row>
    <row r="340" spans="1:1" x14ac:dyDescent="0.25">
      <c r="A340" t="s">
        <v>1635</v>
      </c>
    </row>
    <row r="341" spans="1:1" x14ac:dyDescent="0.25">
      <c r="A341" t="s">
        <v>1636</v>
      </c>
    </row>
    <row r="342" spans="1:1" x14ac:dyDescent="0.25">
      <c r="A342" t="s">
        <v>1637</v>
      </c>
    </row>
    <row r="343" spans="1:1" x14ac:dyDescent="0.25">
      <c r="A343" t="s">
        <v>1638</v>
      </c>
    </row>
    <row r="344" spans="1:1" x14ac:dyDescent="0.25">
      <c r="A344" t="s">
        <v>1639</v>
      </c>
    </row>
    <row r="345" spans="1:1" x14ac:dyDescent="0.25">
      <c r="A345" t="s">
        <v>1640</v>
      </c>
    </row>
    <row r="346" spans="1:1" x14ac:dyDescent="0.25">
      <c r="A346" t="s">
        <v>1641</v>
      </c>
    </row>
    <row r="347" spans="1:1" x14ac:dyDescent="0.25">
      <c r="A347" t="s">
        <v>1642</v>
      </c>
    </row>
    <row r="348" spans="1:1" x14ac:dyDescent="0.25">
      <c r="A348" t="s">
        <v>1643</v>
      </c>
    </row>
    <row r="349" spans="1:1" x14ac:dyDescent="0.25">
      <c r="A349" t="s">
        <v>1644</v>
      </c>
    </row>
    <row r="350" spans="1:1" x14ac:dyDescent="0.25">
      <c r="A350" t="s">
        <v>1645</v>
      </c>
    </row>
    <row r="351" spans="1:1" x14ac:dyDescent="0.25">
      <c r="A351" t="s">
        <v>1646</v>
      </c>
    </row>
    <row r="352" spans="1:1" x14ac:dyDescent="0.25">
      <c r="A352" t="s">
        <v>1647</v>
      </c>
    </row>
    <row r="353" spans="1:1" x14ac:dyDescent="0.25">
      <c r="A353" t="s">
        <v>1648</v>
      </c>
    </row>
    <row r="354" spans="1:1" x14ac:dyDescent="0.25">
      <c r="A354" t="s">
        <v>1649</v>
      </c>
    </row>
    <row r="355" spans="1:1" x14ac:dyDescent="0.25">
      <c r="A355" t="s">
        <v>1650</v>
      </c>
    </row>
    <row r="356" spans="1:1" x14ac:dyDescent="0.25">
      <c r="A356" t="s">
        <v>1651</v>
      </c>
    </row>
    <row r="357" spans="1:1" x14ac:dyDescent="0.25">
      <c r="A357" t="s">
        <v>1652</v>
      </c>
    </row>
    <row r="358" spans="1:1" x14ac:dyDescent="0.25">
      <c r="A358" t="s">
        <v>1653</v>
      </c>
    </row>
    <row r="359" spans="1:1" x14ac:dyDescent="0.25">
      <c r="A359" t="s">
        <v>1654</v>
      </c>
    </row>
    <row r="360" spans="1:1" x14ac:dyDescent="0.25">
      <c r="A360" t="s">
        <v>1655</v>
      </c>
    </row>
    <row r="361" spans="1:1" x14ac:dyDescent="0.25">
      <c r="A361" t="s">
        <v>1656</v>
      </c>
    </row>
    <row r="362" spans="1:1" x14ac:dyDescent="0.25">
      <c r="A362" t="s">
        <v>1657</v>
      </c>
    </row>
    <row r="363" spans="1:1" x14ac:dyDescent="0.25">
      <c r="A363" t="s">
        <v>1658</v>
      </c>
    </row>
    <row r="364" spans="1:1" x14ac:dyDescent="0.25">
      <c r="A364" t="s">
        <v>1659</v>
      </c>
    </row>
    <row r="365" spans="1:1" x14ac:dyDescent="0.25">
      <c r="A365" t="s">
        <v>1660</v>
      </c>
    </row>
    <row r="366" spans="1:1" x14ac:dyDescent="0.25">
      <c r="A366" t="s">
        <v>1661</v>
      </c>
    </row>
    <row r="367" spans="1:1" x14ac:dyDescent="0.25">
      <c r="A367" t="s">
        <v>1662</v>
      </c>
    </row>
    <row r="368" spans="1:1" x14ac:dyDescent="0.25">
      <c r="A368" t="s">
        <v>1663</v>
      </c>
    </row>
    <row r="369" spans="1:1" x14ac:dyDescent="0.25">
      <c r="A369" t="s">
        <v>1664</v>
      </c>
    </row>
    <row r="370" spans="1:1" x14ac:dyDescent="0.25">
      <c r="A370" t="s">
        <v>1665</v>
      </c>
    </row>
    <row r="371" spans="1:1" x14ac:dyDescent="0.25">
      <c r="A371" t="s">
        <v>1666</v>
      </c>
    </row>
    <row r="372" spans="1:1" x14ac:dyDescent="0.25">
      <c r="A372" t="s">
        <v>1667</v>
      </c>
    </row>
    <row r="373" spans="1:1" x14ac:dyDescent="0.25">
      <c r="A373" t="s">
        <v>1668</v>
      </c>
    </row>
    <row r="374" spans="1:1" x14ac:dyDescent="0.25">
      <c r="A374" t="s">
        <v>1669</v>
      </c>
    </row>
    <row r="375" spans="1:1" x14ac:dyDescent="0.25">
      <c r="A375" t="s">
        <v>1670</v>
      </c>
    </row>
    <row r="376" spans="1:1" x14ac:dyDescent="0.25">
      <c r="A376" t="s">
        <v>1671</v>
      </c>
    </row>
    <row r="377" spans="1:1" x14ac:dyDescent="0.25">
      <c r="A377" t="s">
        <v>1672</v>
      </c>
    </row>
    <row r="378" spans="1:1" x14ac:dyDescent="0.25">
      <c r="A378" t="s">
        <v>1673</v>
      </c>
    </row>
    <row r="379" spans="1:1" x14ac:dyDescent="0.25">
      <c r="A379" t="s">
        <v>1674</v>
      </c>
    </row>
    <row r="380" spans="1:1" x14ac:dyDescent="0.25">
      <c r="A380" t="s">
        <v>1675</v>
      </c>
    </row>
    <row r="381" spans="1:1" x14ac:dyDescent="0.25">
      <c r="A381" t="s">
        <v>1676</v>
      </c>
    </row>
    <row r="382" spans="1:1" x14ac:dyDescent="0.25">
      <c r="A382" t="s">
        <v>1677</v>
      </c>
    </row>
    <row r="383" spans="1:1" x14ac:dyDescent="0.25">
      <c r="A383" t="s">
        <v>1678</v>
      </c>
    </row>
    <row r="384" spans="1:1" x14ac:dyDescent="0.25">
      <c r="A384" t="s">
        <v>1679</v>
      </c>
    </row>
    <row r="385" spans="1:1" x14ac:dyDescent="0.25">
      <c r="A385" t="s">
        <v>1680</v>
      </c>
    </row>
    <row r="386" spans="1:1" x14ac:dyDescent="0.25">
      <c r="A386" t="s">
        <v>1681</v>
      </c>
    </row>
    <row r="387" spans="1:1" x14ac:dyDescent="0.25">
      <c r="A387" t="s">
        <v>1682</v>
      </c>
    </row>
    <row r="388" spans="1:1" x14ac:dyDescent="0.25">
      <c r="A388" t="s">
        <v>1683</v>
      </c>
    </row>
    <row r="389" spans="1:1" x14ac:dyDescent="0.25">
      <c r="A389" t="s">
        <v>1684</v>
      </c>
    </row>
    <row r="390" spans="1:1" x14ac:dyDescent="0.25">
      <c r="A390" t="s">
        <v>1685</v>
      </c>
    </row>
    <row r="391" spans="1:1" x14ac:dyDescent="0.25">
      <c r="A391" t="s">
        <v>1686</v>
      </c>
    </row>
    <row r="392" spans="1:1" x14ac:dyDescent="0.25">
      <c r="A392" t="s">
        <v>1687</v>
      </c>
    </row>
    <row r="393" spans="1:1" x14ac:dyDescent="0.25">
      <c r="A393" t="s">
        <v>1688</v>
      </c>
    </row>
    <row r="394" spans="1:1" x14ac:dyDescent="0.25">
      <c r="A394" t="s">
        <v>1689</v>
      </c>
    </row>
    <row r="395" spans="1:1" x14ac:dyDescent="0.25">
      <c r="A395" t="s">
        <v>1690</v>
      </c>
    </row>
    <row r="396" spans="1:1" x14ac:dyDescent="0.25">
      <c r="A396" t="s">
        <v>1691</v>
      </c>
    </row>
    <row r="397" spans="1:1" x14ac:dyDescent="0.25">
      <c r="A397" t="s">
        <v>1692</v>
      </c>
    </row>
    <row r="398" spans="1:1" x14ac:dyDescent="0.25">
      <c r="A398" t="s">
        <v>1693</v>
      </c>
    </row>
    <row r="399" spans="1:1" x14ac:dyDescent="0.25">
      <c r="A399" t="s">
        <v>1694</v>
      </c>
    </row>
    <row r="400" spans="1:1" x14ac:dyDescent="0.25">
      <c r="A400" t="s">
        <v>1695</v>
      </c>
    </row>
    <row r="401" spans="1:1" x14ac:dyDescent="0.25">
      <c r="A401" t="s">
        <v>1696</v>
      </c>
    </row>
    <row r="402" spans="1:1" x14ac:dyDescent="0.25">
      <c r="A402" t="s">
        <v>1697</v>
      </c>
    </row>
    <row r="403" spans="1:1" x14ac:dyDescent="0.25">
      <c r="A403" t="s">
        <v>1698</v>
      </c>
    </row>
    <row r="404" spans="1:1" x14ac:dyDescent="0.25">
      <c r="A404" t="s">
        <v>1699</v>
      </c>
    </row>
    <row r="405" spans="1:1" x14ac:dyDescent="0.25">
      <c r="A405" t="s">
        <v>1700</v>
      </c>
    </row>
    <row r="406" spans="1:1" x14ac:dyDescent="0.25">
      <c r="A406" t="s">
        <v>1701</v>
      </c>
    </row>
    <row r="407" spans="1:1" x14ac:dyDescent="0.25">
      <c r="A407" t="s">
        <v>1702</v>
      </c>
    </row>
    <row r="408" spans="1:1" x14ac:dyDescent="0.25">
      <c r="A408" t="s">
        <v>1703</v>
      </c>
    </row>
    <row r="409" spans="1:1" x14ac:dyDescent="0.25">
      <c r="A409" t="s">
        <v>1704</v>
      </c>
    </row>
    <row r="410" spans="1:1" x14ac:dyDescent="0.25">
      <c r="A410" t="s">
        <v>1705</v>
      </c>
    </row>
    <row r="411" spans="1:1" x14ac:dyDescent="0.25">
      <c r="A411" t="s">
        <v>1706</v>
      </c>
    </row>
    <row r="412" spans="1:1" x14ac:dyDescent="0.25">
      <c r="A412" t="s">
        <v>1707</v>
      </c>
    </row>
    <row r="413" spans="1:1" x14ac:dyDescent="0.25">
      <c r="A413" t="s">
        <v>1708</v>
      </c>
    </row>
    <row r="414" spans="1:1" x14ac:dyDescent="0.25">
      <c r="A414" t="s">
        <v>1709</v>
      </c>
    </row>
    <row r="415" spans="1:1" x14ac:dyDescent="0.25">
      <c r="A415" t="s">
        <v>1710</v>
      </c>
    </row>
    <row r="416" spans="1:1" x14ac:dyDescent="0.25">
      <c r="A416" t="s">
        <v>1711</v>
      </c>
    </row>
    <row r="417" spans="1:1" x14ac:dyDescent="0.25">
      <c r="A417" t="s">
        <v>1712</v>
      </c>
    </row>
    <row r="418" spans="1:1" x14ac:dyDescent="0.25">
      <c r="A418" t="s">
        <v>1713</v>
      </c>
    </row>
    <row r="419" spans="1:1" x14ac:dyDescent="0.25">
      <c r="A419" t="s">
        <v>1714</v>
      </c>
    </row>
    <row r="420" spans="1:1" x14ac:dyDescent="0.25">
      <c r="A420" t="s">
        <v>1715</v>
      </c>
    </row>
    <row r="421" spans="1:1" x14ac:dyDescent="0.25">
      <c r="A421" t="s">
        <v>1716</v>
      </c>
    </row>
    <row r="422" spans="1:1" x14ac:dyDescent="0.25">
      <c r="A422" t="s">
        <v>1717</v>
      </c>
    </row>
    <row r="423" spans="1:1" x14ac:dyDescent="0.25">
      <c r="A423" t="s">
        <v>1718</v>
      </c>
    </row>
    <row r="424" spans="1:1" x14ac:dyDescent="0.25">
      <c r="A424" t="s">
        <v>1719</v>
      </c>
    </row>
    <row r="425" spans="1:1" x14ac:dyDescent="0.25">
      <c r="A425" t="s">
        <v>1720</v>
      </c>
    </row>
    <row r="426" spans="1:1" x14ac:dyDescent="0.25">
      <c r="A426" t="s">
        <v>1721</v>
      </c>
    </row>
    <row r="427" spans="1:1" x14ac:dyDescent="0.25">
      <c r="A427" t="s">
        <v>1722</v>
      </c>
    </row>
    <row r="428" spans="1:1" x14ac:dyDescent="0.25">
      <c r="A428" t="s">
        <v>1723</v>
      </c>
    </row>
    <row r="429" spans="1:1" x14ac:dyDescent="0.25">
      <c r="A429" t="s">
        <v>1724</v>
      </c>
    </row>
    <row r="430" spans="1:1" x14ac:dyDescent="0.25">
      <c r="A430" t="s">
        <v>1725</v>
      </c>
    </row>
    <row r="431" spans="1:1" x14ac:dyDescent="0.25">
      <c r="A431" t="s">
        <v>1726</v>
      </c>
    </row>
    <row r="432" spans="1:1" x14ac:dyDescent="0.25">
      <c r="A432" t="s">
        <v>1727</v>
      </c>
    </row>
    <row r="433" spans="1:1" x14ac:dyDescent="0.25">
      <c r="A433" t="s">
        <v>1728</v>
      </c>
    </row>
    <row r="434" spans="1:1" x14ac:dyDescent="0.25">
      <c r="A434" t="s">
        <v>1729</v>
      </c>
    </row>
    <row r="435" spans="1:1" x14ac:dyDescent="0.25">
      <c r="A435" t="s">
        <v>1730</v>
      </c>
    </row>
    <row r="436" spans="1:1" x14ac:dyDescent="0.25">
      <c r="A436" t="s">
        <v>1731</v>
      </c>
    </row>
    <row r="437" spans="1:1" x14ac:dyDescent="0.25">
      <c r="A437" t="s">
        <v>1732</v>
      </c>
    </row>
    <row r="438" spans="1:1" x14ac:dyDescent="0.25">
      <c r="A438" t="s">
        <v>1733</v>
      </c>
    </row>
    <row r="439" spans="1:1" x14ac:dyDescent="0.25">
      <c r="A439" t="s">
        <v>1734</v>
      </c>
    </row>
    <row r="440" spans="1:1" x14ac:dyDescent="0.25">
      <c r="A440" t="s">
        <v>1735</v>
      </c>
    </row>
    <row r="441" spans="1:1" x14ac:dyDescent="0.25">
      <c r="A441" t="s">
        <v>1736</v>
      </c>
    </row>
    <row r="442" spans="1:1" x14ac:dyDescent="0.25">
      <c r="A442" t="s">
        <v>1737</v>
      </c>
    </row>
    <row r="443" spans="1:1" x14ac:dyDescent="0.25">
      <c r="A443" t="s">
        <v>1738</v>
      </c>
    </row>
    <row r="444" spans="1:1" x14ac:dyDescent="0.25">
      <c r="A444" t="s">
        <v>1739</v>
      </c>
    </row>
    <row r="445" spans="1:1" x14ac:dyDescent="0.25">
      <c r="A445" t="s">
        <v>1740</v>
      </c>
    </row>
    <row r="446" spans="1:1" x14ac:dyDescent="0.25">
      <c r="A446" t="s">
        <v>1741</v>
      </c>
    </row>
    <row r="447" spans="1:1" x14ac:dyDescent="0.25">
      <c r="A447" t="s">
        <v>1742</v>
      </c>
    </row>
    <row r="448" spans="1:1" x14ac:dyDescent="0.25">
      <c r="A448" t="s">
        <v>1743</v>
      </c>
    </row>
    <row r="449" spans="1:1" x14ac:dyDescent="0.25">
      <c r="A449" t="s">
        <v>1744</v>
      </c>
    </row>
    <row r="450" spans="1:1" x14ac:dyDescent="0.25">
      <c r="A450" t="s">
        <v>1745</v>
      </c>
    </row>
    <row r="451" spans="1:1" x14ac:dyDescent="0.25">
      <c r="A451" t="s">
        <v>1746</v>
      </c>
    </row>
    <row r="452" spans="1:1" x14ac:dyDescent="0.25">
      <c r="A452" t="s">
        <v>1747</v>
      </c>
    </row>
    <row r="453" spans="1:1" x14ac:dyDescent="0.25">
      <c r="A453" t="s">
        <v>1748</v>
      </c>
    </row>
    <row r="454" spans="1:1" x14ac:dyDescent="0.25">
      <c r="A454" t="s">
        <v>1749</v>
      </c>
    </row>
    <row r="455" spans="1:1" x14ac:dyDescent="0.25">
      <c r="A455" t="s">
        <v>1750</v>
      </c>
    </row>
    <row r="456" spans="1:1" x14ac:dyDescent="0.25">
      <c r="A456" t="s">
        <v>1751</v>
      </c>
    </row>
    <row r="457" spans="1:1" x14ac:dyDescent="0.25">
      <c r="A457" t="s">
        <v>1752</v>
      </c>
    </row>
    <row r="458" spans="1:1" x14ac:dyDescent="0.25">
      <c r="A458" t="s">
        <v>1753</v>
      </c>
    </row>
    <row r="459" spans="1:1" x14ac:dyDescent="0.25">
      <c r="A459" t="s">
        <v>1754</v>
      </c>
    </row>
    <row r="460" spans="1:1" x14ac:dyDescent="0.25">
      <c r="A460" t="s">
        <v>1755</v>
      </c>
    </row>
    <row r="461" spans="1:1" x14ac:dyDescent="0.25">
      <c r="A461" t="s">
        <v>1756</v>
      </c>
    </row>
    <row r="462" spans="1:1" x14ac:dyDescent="0.25">
      <c r="A462" t="s">
        <v>1757</v>
      </c>
    </row>
    <row r="463" spans="1:1" x14ac:dyDescent="0.25">
      <c r="A463" t="s">
        <v>1758</v>
      </c>
    </row>
    <row r="464" spans="1:1" x14ac:dyDescent="0.25">
      <c r="A464" t="s">
        <v>1759</v>
      </c>
    </row>
    <row r="465" spans="1:1" x14ac:dyDescent="0.25">
      <c r="A465" t="s">
        <v>1760</v>
      </c>
    </row>
    <row r="466" spans="1:1" x14ac:dyDescent="0.25">
      <c r="A466" t="s">
        <v>1761</v>
      </c>
    </row>
    <row r="467" spans="1:1" x14ac:dyDescent="0.25">
      <c r="A467" t="s">
        <v>1762</v>
      </c>
    </row>
    <row r="468" spans="1:1" x14ac:dyDescent="0.25">
      <c r="A468" t="s">
        <v>1763</v>
      </c>
    </row>
    <row r="469" spans="1:1" x14ac:dyDescent="0.25">
      <c r="A469" t="s">
        <v>1764</v>
      </c>
    </row>
    <row r="470" spans="1:1" x14ac:dyDescent="0.25">
      <c r="A470" t="s">
        <v>1765</v>
      </c>
    </row>
    <row r="471" spans="1:1" x14ac:dyDescent="0.25">
      <c r="A471" t="s">
        <v>1766</v>
      </c>
    </row>
    <row r="472" spans="1:1" x14ac:dyDescent="0.25">
      <c r="A472" t="s">
        <v>1767</v>
      </c>
    </row>
    <row r="473" spans="1:1" x14ac:dyDescent="0.25">
      <c r="A473" t="s">
        <v>1768</v>
      </c>
    </row>
    <row r="474" spans="1:1" x14ac:dyDescent="0.25">
      <c r="A474" t="s">
        <v>1769</v>
      </c>
    </row>
    <row r="475" spans="1:1" x14ac:dyDescent="0.25">
      <c r="A475" t="s">
        <v>1770</v>
      </c>
    </row>
    <row r="476" spans="1:1" x14ac:dyDescent="0.25">
      <c r="A476" t="s">
        <v>1771</v>
      </c>
    </row>
    <row r="477" spans="1:1" x14ac:dyDescent="0.25">
      <c r="A477" t="s">
        <v>1772</v>
      </c>
    </row>
    <row r="478" spans="1:1" x14ac:dyDescent="0.25">
      <c r="A478" t="s">
        <v>1773</v>
      </c>
    </row>
    <row r="479" spans="1:1" x14ac:dyDescent="0.25">
      <c r="A479" t="s">
        <v>1774</v>
      </c>
    </row>
    <row r="480" spans="1:1" x14ac:dyDescent="0.25">
      <c r="A480" t="s">
        <v>1775</v>
      </c>
    </row>
    <row r="481" spans="1:1" x14ac:dyDescent="0.25">
      <c r="A481" t="s">
        <v>1776</v>
      </c>
    </row>
    <row r="482" spans="1:1" x14ac:dyDescent="0.25">
      <c r="A482" t="s">
        <v>1777</v>
      </c>
    </row>
    <row r="483" spans="1:1" x14ac:dyDescent="0.25">
      <c r="A483" t="s">
        <v>1778</v>
      </c>
    </row>
    <row r="484" spans="1:1" x14ac:dyDescent="0.25">
      <c r="A484" t="s">
        <v>1779</v>
      </c>
    </row>
    <row r="485" spans="1:1" x14ac:dyDescent="0.25">
      <c r="A485" t="s">
        <v>1780</v>
      </c>
    </row>
    <row r="486" spans="1:1" x14ac:dyDescent="0.25">
      <c r="A486" t="s">
        <v>1781</v>
      </c>
    </row>
    <row r="487" spans="1:1" x14ac:dyDescent="0.25">
      <c r="A487" t="s">
        <v>1782</v>
      </c>
    </row>
    <row r="488" spans="1:1" x14ac:dyDescent="0.25">
      <c r="A488" t="s">
        <v>1783</v>
      </c>
    </row>
    <row r="489" spans="1:1" x14ac:dyDescent="0.25">
      <c r="A489" t="s">
        <v>1784</v>
      </c>
    </row>
    <row r="490" spans="1:1" x14ac:dyDescent="0.25">
      <c r="A490" t="s">
        <v>1785</v>
      </c>
    </row>
    <row r="491" spans="1:1" x14ac:dyDescent="0.25">
      <c r="A491" t="s">
        <v>1786</v>
      </c>
    </row>
    <row r="492" spans="1:1" x14ac:dyDescent="0.25">
      <c r="A492" t="s">
        <v>1787</v>
      </c>
    </row>
    <row r="493" spans="1:1" x14ac:dyDescent="0.25">
      <c r="A493" t="s">
        <v>1788</v>
      </c>
    </row>
    <row r="494" spans="1:1" x14ac:dyDescent="0.25">
      <c r="A494" t="s">
        <v>1789</v>
      </c>
    </row>
    <row r="495" spans="1:1" x14ac:dyDescent="0.25">
      <c r="A495" t="s">
        <v>1790</v>
      </c>
    </row>
    <row r="496" spans="1:1" x14ac:dyDescent="0.25">
      <c r="A496" t="s">
        <v>1791</v>
      </c>
    </row>
    <row r="497" spans="1:1" x14ac:dyDescent="0.25">
      <c r="A497" t="s">
        <v>1792</v>
      </c>
    </row>
    <row r="498" spans="1:1" x14ac:dyDescent="0.25">
      <c r="A498" t="s">
        <v>1793</v>
      </c>
    </row>
    <row r="499" spans="1:1" x14ac:dyDescent="0.25">
      <c r="A499" t="s">
        <v>1794</v>
      </c>
    </row>
    <row r="500" spans="1:1" x14ac:dyDescent="0.25">
      <c r="A500" t="s">
        <v>1795</v>
      </c>
    </row>
    <row r="501" spans="1:1" x14ac:dyDescent="0.25">
      <c r="A501" t="s">
        <v>1796</v>
      </c>
    </row>
    <row r="502" spans="1:1" x14ac:dyDescent="0.25">
      <c r="A502" t="s">
        <v>1797</v>
      </c>
    </row>
    <row r="503" spans="1:1" x14ac:dyDescent="0.25">
      <c r="A503" t="s">
        <v>1798</v>
      </c>
    </row>
    <row r="504" spans="1:1" x14ac:dyDescent="0.25">
      <c r="A504" t="s">
        <v>1799</v>
      </c>
    </row>
    <row r="505" spans="1:1" x14ac:dyDescent="0.25">
      <c r="A505" t="s">
        <v>1800</v>
      </c>
    </row>
    <row r="506" spans="1:1" x14ac:dyDescent="0.25">
      <c r="A506" t="s">
        <v>1801</v>
      </c>
    </row>
    <row r="507" spans="1:1" x14ac:dyDescent="0.25">
      <c r="A507" t="s">
        <v>1802</v>
      </c>
    </row>
    <row r="508" spans="1:1" x14ac:dyDescent="0.25">
      <c r="A508" t="s">
        <v>1803</v>
      </c>
    </row>
    <row r="509" spans="1:1" x14ac:dyDescent="0.25">
      <c r="A509" t="s">
        <v>1804</v>
      </c>
    </row>
    <row r="510" spans="1:1" x14ac:dyDescent="0.25">
      <c r="A510" t="s">
        <v>1805</v>
      </c>
    </row>
    <row r="511" spans="1:1" x14ac:dyDescent="0.25">
      <c r="A511" t="s">
        <v>1806</v>
      </c>
    </row>
    <row r="512" spans="1:1" x14ac:dyDescent="0.25">
      <c r="A512" t="s">
        <v>1807</v>
      </c>
    </row>
    <row r="513" spans="1:1" x14ac:dyDescent="0.25">
      <c r="A513" t="s">
        <v>1808</v>
      </c>
    </row>
    <row r="514" spans="1:1" x14ac:dyDescent="0.25">
      <c r="A514" t="s">
        <v>1809</v>
      </c>
    </row>
    <row r="515" spans="1:1" x14ac:dyDescent="0.25">
      <c r="A515" t="s">
        <v>1810</v>
      </c>
    </row>
    <row r="516" spans="1:1" x14ac:dyDescent="0.25">
      <c r="A516" t="s">
        <v>1811</v>
      </c>
    </row>
    <row r="517" spans="1:1" x14ac:dyDescent="0.25">
      <c r="A517" t="s">
        <v>1812</v>
      </c>
    </row>
    <row r="518" spans="1:1" x14ac:dyDescent="0.25">
      <c r="A518" t="s">
        <v>1813</v>
      </c>
    </row>
    <row r="519" spans="1:1" x14ac:dyDescent="0.25">
      <c r="A519" t="s">
        <v>1814</v>
      </c>
    </row>
    <row r="520" spans="1:1" x14ac:dyDescent="0.25">
      <c r="A520" t="s">
        <v>1815</v>
      </c>
    </row>
    <row r="521" spans="1:1" x14ac:dyDescent="0.25">
      <c r="A521" t="s">
        <v>1816</v>
      </c>
    </row>
    <row r="522" spans="1:1" x14ac:dyDescent="0.25">
      <c r="A522" t="s">
        <v>1817</v>
      </c>
    </row>
    <row r="523" spans="1:1" x14ac:dyDescent="0.25">
      <c r="A523" t="s">
        <v>1818</v>
      </c>
    </row>
    <row r="524" spans="1:1" x14ac:dyDescent="0.25">
      <c r="A524" t="s">
        <v>1819</v>
      </c>
    </row>
    <row r="525" spans="1:1" x14ac:dyDescent="0.25">
      <c r="A525" t="s">
        <v>1820</v>
      </c>
    </row>
    <row r="526" spans="1:1" x14ac:dyDescent="0.25">
      <c r="A526" t="s">
        <v>1821</v>
      </c>
    </row>
    <row r="527" spans="1:1" x14ac:dyDescent="0.25">
      <c r="A527" t="s">
        <v>1822</v>
      </c>
    </row>
    <row r="528" spans="1:1" x14ac:dyDescent="0.25">
      <c r="A528" t="s">
        <v>1823</v>
      </c>
    </row>
    <row r="529" spans="1:1" x14ac:dyDescent="0.25">
      <c r="A529" t="s">
        <v>1824</v>
      </c>
    </row>
    <row r="530" spans="1:1" x14ac:dyDescent="0.25">
      <c r="A530" t="s">
        <v>1825</v>
      </c>
    </row>
    <row r="531" spans="1:1" x14ac:dyDescent="0.25">
      <c r="A531" t="s">
        <v>1826</v>
      </c>
    </row>
    <row r="532" spans="1:1" x14ac:dyDescent="0.25">
      <c r="A532" t="s">
        <v>1827</v>
      </c>
    </row>
    <row r="533" spans="1:1" x14ac:dyDescent="0.25">
      <c r="A533" t="s">
        <v>1828</v>
      </c>
    </row>
    <row r="534" spans="1:1" x14ac:dyDescent="0.25">
      <c r="A534" t="s">
        <v>1829</v>
      </c>
    </row>
    <row r="535" spans="1:1" x14ac:dyDescent="0.25">
      <c r="A535" t="s">
        <v>1830</v>
      </c>
    </row>
    <row r="536" spans="1:1" x14ac:dyDescent="0.25">
      <c r="A536" t="s">
        <v>1831</v>
      </c>
    </row>
    <row r="537" spans="1:1" x14ac:dyDescent="0.25">
      <c r="A537" t="s">
        <v>1832</v>
      </c>
    </row>
    <row r="538" spans="1:1" x14ac:dyDescent="0.25">
      <c r="A538" t="s">
        <v>1833</v>
      </c>
    </row>
    <row r="539" spans="1:1" x14ac:dyDescent="0.25">
      <c r="A539" t="s">
        <v>1834</v>
      </c>
    </row>
    <row r="540" spans="1:1" x14ac:dyDescent="0.25">
      <c r="A540" t="s">
        <v>1835</v>
      </c>
    </row>
    <row r="541" spans="1:1" x14ac:dyDescent="0.25">
      <c r="A541" t="s">
        <v>1836</v>
      </c>
    </row>
    <row r="542" spans="1:1" x14ac:dyDescent="0.25">
      <c r="A542" t="s">
        <v>1837</v>
      </c>
    </row>
    <row r="543" spans="1:1" x14ac:dyDescent="0.25">
      <c r="A543" t="s">
        <v>1838</v>
      </c>
    </row>
    <row r="544" spans="1:1" x14ac:dyDescent="0.25">
      <c r="A544" t="s">
        <v>1839</v>
      </c>
    </row>
    <row r="545" spans="1:1" x14ac:dyDescent="0.25">
      <c r="A545" t="s">
        <v>1840</v>
      </c>
    </row>
    <row r="546" spans="1:1" x14ac:dyDescent="0.25">
      <c r="A546" t="s">
        <v>1841</v>
      </c>
    </row>
    <row r="547" spans="1:1" x14ac:dyDescent="0.25">
      <c r="A547" t="s">
        <v>1842</v>
      </c>
    </row>
    <row r="548" spans="1:1" x14ac:dyDescent="0.25">
      <c r="A548" t="s">
        <v>1843</v>
      </c>
    </row>
    <row r="549" spans="1:1" x14ac:dyDescent="0.25">
      <c r="A549" t="s">
        <v>1844</v>
      </c>
    </row>
    <row r="550" spans="1:1" x14ac:dyDescent="0.25">
      <c r="A550" t="s">
        <v>1845</v>
      </c>
    </row>
    <row r="551" spans="1:1" x14ac:dyDescent="0.25">
      <c r="A551" t="s">
        <v>1846</v>
      </c>
    </row>
    <row r="552" spans="1:1" x14ac:dyDescent="0.25">
      <c r="A552" t="s">
        <v>1847</v>
      </c>
    </row>
    <row r="553" spans="1:1" x14ac:dyDescent="0.25">
      <c r="A553" t="s">
        <v>1848</v>
      </c>
    </row>
    <row r="554" spans="1:1" x14ac:dyDescent="0.25">
      <c r="A554" t="s">
        <v>1849</v>
      </c>
    </row>
    <row r="555" spans="1:1" x14ac:dyDescent="0.25">
      <c r="A555" t="s">
        <v>1850</v>
      </c>
    </row>
    <row r="556" spans="1:1" x14ac:dyDescent="0.25">
      <c r="A556" t="s">
        <v>1851</v>
      </c>
    </row>
    <row r="557" spans="1:1" x14ac:dyDescent="0.25">
      <c r="A557" t="s">
        <v>1852</v>
      </c>
    </row>
    <row r="558" spans="1:1" x14ac:dyDescent="0.25">
      <c r="A558" t="s">
        <v>1853</v>
      </c>
    </row>
    <row r="559" spans="1:1" x14ac:dyDescent="0.25">
      <c r="A559" t="s">
        <v>1854</v>
      </c>
    </row>
    <row r="560" spans="1:1" x14ac:dyDescent="0.25">
      <c r="A560" t="s">
        <v>1855</v>
      </c>
    </row>
    <row r="561" spans="1:1" x14ac:dyDescent="0.25">
      <c r="A561" t="s">
        <v>1856</v>
      </c>
    </row>
    <row r="562" spans="1:1" x14ac:dyDescent="0.25">
      <c r="A562" t="s">
        <v>1857</v>
      </c>
    </row>
    <row r="563" spans="1:1" x14ac:dyDescent="0.25">
      <c r="A563" t="s">
        <v>1858</v>
      </c>
    </row>
    <row r="564" spans="1:1" x14ac:dyDescent="0.25">
      <c r="A564" t="s">
        <v>1859</v>
      </c>
    </row>
    <row r="565" spans="1:1" x14ac:dyDescent="0.25">
      <c r="A565" t="s">
        <v>1860</v>
      </c>
    </row>
    <row r="566" spans="1:1" x14ac:dyDescent="0.25">
      <c r="A566" t="s">
        <v>1861</v>
      </c>
    </row>
    <row r="567" spans="1:1" x14ac:dyDescent="0.25">
      <c r="A567" t="s">
        <v>1862</v>
      </c>
    </row>
    <row r="568" spans="1:1" x14ac:dyDescent="0.25">
      <c r="A568" t="s">
        <v>1863</v>
      </c>
    </row>
    <row r="569" spans="1:1" x14ac:dyDescent="0.25">
      <c r="A569" t="s">
        <v>1864</v>
      </c>
    </row>
    <row r="570" spans="1:1" x14ac:dyDescent="0.25">
      <c r="A570" t="s">
        <v>1865</v>
      </c>
    </row>
    <row r="571" spans="1:1" x14ac:dyDescent="0.25">
      <c r="A571" t="s">
        <v>1866</v>
      </c>
    </row>
    <row r="572" spans="1:1" x14ac:dyDescent="0.25">
      <c r="A572" t="s">
        <v>1867</v>
      </c>
    </row>
    <row r="573" spans="1:1" x14ac:dyDescent="0.25">
      <c r="A573" t="s">
        <v>1868</v>
      </c>
    </row>
    <row r="574" spans="1:1" x14ac:dyDescent="0.25">
      <c r="A574" t="s">
        <v>1869</v>
      </c>
    </row>
    <row r="575" spans="1:1" x14ac:dyDescent="0.25">
      <c r="A575" t="s">
        <v>1870</v>
      </c>
    </row>
    <row r="576" spans="1:1" x14ac:dyDescent="0.25">
      <c r="A576" t="s">
        <v>1871</v>
      </c>
    </row>
    <row r="577" spans="1:1" x14ac:dyDescent="0.25">
      <c r="A577" t="s">
        <v>1872</v>
      </c>
    </row>
    <row r="578" spans="1:1" x14ac:dyDescent="0.25">
      <c r="A578" t="s">
        <v>1873</v>
      </c>
    </row>
    <row r="579" spans="1:1" x14ac:dyDescent="0.25">
      <c r="A579" t="s">
        <v>1874</v>
      </c>
    </row>
    <row r="580" spans="1:1" x14ac:dyDescent="0.25">
      <c r="A580" t="s">
        <v>1875</v>
      </c>
    </row>
    <row r="581" spans="1:1" x14ac:dyDescent="0.25">
      <c r="A581" t="s">
        <v>1876</v>
      </c>
    </row>
    <row r="582" spans="1:1" x14ac:dyDescent="0.25">
      <c r="A582" t="s">
        <v>1877</v>
      </c>
    </row>
    <row r="583" spans="1:1" x14ac:dyDescent="0.25">
      <c r="A583" t="s">
        <v>1878</v>
      </c>
    </row>
    <row r="584" spans="1:1" x14ac:dyDescent="0.25">
      <c r="A584" t="s">
        <v>1879</v>
      </c>
    </row>
    <row r="585" spans="1:1" x14ac:dyDescent="0.25">
      <c r="A585" t="s">
        <v>1880</v>
      </c>
    </row>
    <row r="586" spans="1:1" x14ac:dyDescent="0.25">
      <c r="A586" t="s">
        <v>1881</v>
      </c>
    </row>
    <row r="587" spans="1:1" x14ac:dyDescent="0.25">
      <c r="A587" t="s">
        <v>1882</v>
      </c>
    </row>
    <row r="588" spans="1:1" x14ac:dyDescent="0.25">
      <c r="A588" t="s">
        <v>1883</v>
      </c>
    </row>
    <row r="589" spans="1:1" x14ac:dyDescent="0.25">
      <c r="A589" t="s">
        <v>1884</v>
      </c>
    </row>
    <row r="590" spans="1:1" x14ac:dyDescent="0.25">
      <c r="A590" t="s">
        <v>1885</v>
      </c>
    </row>
    <row r="591" spans="1:1" x14ac:dyDescent="0.25">
      <c r="A591" t="s">
        <v>1886</v>
      </c>
    </row>
    <row r="592" spans="1:1" x14ac:dyDescent="0.25">
      <c r="A592" t="s">
        <v>1887</v>
      </c>
    </row>
    <row r="593" spans="1:1" x14ac:dyDescent="0.25">
      <c r="A593" t="s">
        <v>1888</v>
      </c>
    </row>
    <row r="594" spans="1:1" x14ac:dyDescent="0.25">
      <c r="A594" t="s">
        <v>1889</v>
      </c>
    </row>
    <row r="595" spans="1:1" x14ac:dyDescent="0.25">
      <c r="A595" t="s">
        <v>1890</v>
      </c>
    </row>
    <row r="596" spans="1:1" x14ac:dyDescent="0.25">
      <c r="A596" t="s">
        <v>1891</v>
      </c>
    </row>
    <row r="597" spans="1:1" x14ac:dyDescent="0.25">
      <c r="A597" t="s">
        <v>1892</v>
      </c>
    </row>
    <row r="598" spans="1:1" x14ac:dyDescent="0.25">
      <c r="A598" t="s">
        <v>1893</v>
      </c>
    </row>
    <row r="599" spans="1:1" x14ac:dyDescent="0.25">
      <c r="A599" t="s">
        <v>1894</v>
      </c>
    </row>
    <row r="600" spans="1:1" x14ac:dyDescent="0.25">
      <c r="A600" t="s">
        <v>1895</v>
      </c>
    </row>
    <row r="601" spans="1:1" x14ac:dyDescent="0.25">
      <c r="A601" t="s">
        <v>1896</v>
      </c>
    </row>
    <row r="602" spans="1:1" x14ac:dyDescent="0.25">
      <c r="A602" t="s">
        <v>1897</v>
      </c>
    </row>
    <row r="603" spans="1:1" x14ac:dyDescent="0.25">
      <c r="A603" t="s">
        <v>1898</v>
      </c>
    </row>
    <row r="604" spans="1:1" x14ac:dyDescent="0.25">
      <c r="A604" t="s">
        <v>1899</v>
      </c>
    </row>
    <row r="605" spans="1:1" x14ac:dyDescent="0.25">
      <c r="A605" t="s">
        <v>1900</v>
      </c>
    </row>
    <row r="606" spans="1:1" x14ac:dyDescent="0.25">
      <c r="A606" t="s">
        <v>1901</v>
      </c>
    </row>
    <row r="607" spans="1:1" x14ac:dyDescent="0.25">
      <c r="A607" t="s">
        <v>1902</v>
      </c>
    </row>
    <row r="608" spans="1:1" x14ac:dyDescent="0.25">
      <c r="A608" t="s">
        <v>1903</v>
      </c>
    </row>
    <row r="609" spans="1:1" x14ac:dyDescent="0.25">
      <c r="A609" t="s">
        <v>1904</v>
      </c>
    </row>
    <row r="610" spans="1:1" x14ac:dyDescent="0.25">
      <c r="A610" t="s">
        <v>1905</v>
      </c>
    </row>
    <row r="611" spans="1:1" x14ac:dyDescent="0.25">
      <c r="A611" t="s">
        <v>1906</v>
      </c>
    </row>
    <row r="612" spans="1:1" x14ac:dyDescent="0.25">
      <c r="A612" t="s">
        <v>1907</v>
      </c>
    </row>
    <row r="613" spans="1:1" x14ac:dyDescent="0.25">
      <c r="A613" t="s">
        <v>1908</v>
      </c>
    </row>
    <row r="614" spans="1:1" x14ac:dyDescent="0.25">
      <c r="A614" t="s">
        <v>1909</v>
      </c>
    </row>
    <row r="615" spans="1:1" x14ac:dyDescent="0.25">
      <c r="A615" t="s">
        <v>1910</v>
      </c>
    </row>
    <row r="616" spans="1:1" x14ac:dyDescent="0.25">
      <c r="A616" t="s">
        <v>1911</v>
      </c>
    </row>
    <row r="617" spans="1:1" x14ac:dyDescent="0.25">
      <c r="A617" t="s">
        <v>1912</v>
      </c>
    </row>
    <row r="618" spans="1:1" x14ac:dyDescent="0.25">
      <c r="A618" t="s">
        <v>1913</v>
      </c>
    </row>
    <row r="619" spans="1:1" x14ac:dyDescent="0.25">
      <c r="A619" t="s">
        <v>1914</v>
      </c>
    </row>
    <row r="620" spans="1:1" x14ac:dyDescent="0.25">
      <c r="A620" t="s">
        <v>1915</v>
      </c>
    </row>
    <row r="621" spans="1:1" x14ac:dyDescent="0.25">
      <c r="A621" t="s">
        <v>1916</v>
      </c>
    </row>
    <row r="622" spans="1:1" x14ac:dyDescent="0.25">
      <c r="A622" t="s">
        <v>1917</v>
      </c>
    </row>
    <row r="623" spans="1:1" x14ac:dyDescent="0.25">
      <c r="A623" t="s">
        <v>1918</v>
      </c>
    </row>
    <row r="624" spans="1:1" x14ac:dyDescent="0.25">
      <c r="A624" t="s">
        <v>1919</v>
      </c>
    </row>
    <row r="625" spans="1:1" x14ac:dyDescent="0.25">
      <c r="A625" t="s">
        <v>1920</v>
      </c>
    </row>
    <row r="626" spans="1:1" x14ac:dyDescent="0.25">
      <c r="A626" t="s">
        <v>1921</v>
      </c>
    </row>
    <row r="627" spans="1:1" x14ac:dyDescent="0.25">
      <c r="A627" t="s">
        <v>1922</v>
      </c>
    </row>
    <row r="628" spans="1:1" x14ac:dyDescent="0.25">
      <c r="A628" t="s">
        <v>1923</v>
      </c>
    </row>
    <row r="629" spans="1:1" x14ac:dyDescent="0.25">
      <c r="A629" t="s">
        <v>1924</v>
      </c>
    </row>
    <row r="630" spans="1:1" x14ac:dyDescent="0.25">
      <c r="A630" t="s">
        <v>1925</v>
      </c>
    </row>
    <row r="631" spans="1:1" x14ac:dyDescent="0.25">
      <c r="A631" t="s">
        <v>1926</v>
      </c>
    </row>
    <row r="632" spans="1:1" x14ac:dyDescent="0.25">
      <c r="A632" t="s">
        <v>1927</v>
      </c>
    </row>
    <row r="633" spans="1:1" x14ac:dyDescent="0.25">
      <c r="A633" t="s">
        <v>1928</v>
      </c>
    </row>
    <row r="634" spans="1:1" x14ac:dyDescent="0.25">
      <c r="A634" t="s">
        <v>1929</v>
      </c>
    </row>
    <row r="635" spans="1:1" x14ac:dyDescent="0.25">
      <c r="A635" t="s">
        <v>1930</v>
      </c>
    </row>
    <row r="636" spans="1:1" x14ac:dyDescent="0.25">
      <c r="A636" t="s">
        <v>1931</v>
      </c>
    </row>
    <row r="637" spans="1:1" x14ac:dyDescent="0.25">
      <c r="A637" t="s">
        <v>1932</v>
      </c>
    </row>
    <row r="638" spans="1:1" x14ac:dyDescent="0.25">
      <c r="A638" t="s">
        <v>1933</v>
      </c>
    </row>
    <row r="639" spans="1:1" x14ac:dyDescent="0.25">
      <c r="A639" t="s">
        <v>1934</v>
      </c>
    </row>
    <row r="640" spans="1:1" x14ac:dyDescent="0.25">
      <c r="A640" t="s">
        <v>1935</v>
      </c>
    </row>
    <row r="641" spans="1:1" x14ac:dyDescent="0.25">
      <c r="A641" t="s">
        <v>1936</v>
      </c>
    </row>
    <row r="642" spans="1:1" x14ac:dyDescent="0.25">
      <c r="A642" t="s">
        <v>1937</v>
      </c>
    </row>
    <row r="643" spans="1:1" x14ac:dyDescent="0.25">
      <c r="A643" t="s">
        <v>1938</v>
      </c>
    </row>
    <row r="644" spans="1:1" x14ac:dyDescent="0.25">
      <c r="A644" t="s">
        <v>1939</v>
      </c>
    </row>
    <row r="645" spans="1:1" x14ac:dyDescent="0.25">
      <c r="A645" t="s">
        <v>1940</v>
      </c>
    </row>
    <row r="646" spans="1:1" x14ac:dyDescent="0.25">
      <c r="A646" t="s">
        <v>1941</v>
      </c>
    </row>
    <row r="647" spans="1:1" x14ac:dyDescent="0.25">
      <c r="A647" t="s">
        <v>1942</v>
      </c>
    </row>
    <row r="648" spans="1:1" x14ac:dyDescent="0.25">
      <c r="A648" t="s">
        <v>1943</v>
      </c>
    </row>
    <row r="649" spans="1:1" x14ac:dyDescent="0.25">
      <c r="A649" t="s">
        <v>1944</v>
      </c>
    </row>
    <row r="650" spans="1:1" x14ac:dyDescent="0.25">
      <c r="A650" t="s">
        <v>1945</v>
      </c>
    </row>
    <row r="651" spans="1:1" x14ac:dyDescent="0.25">
      <c r="A651" t="s">
        <v>1946</v>
      </c>
    </row>
    <row r="652" spans="1:1" x14ac:dyDescent="0.25">
      <c r="A652" t="s">
        <v>1947</v>
      </c>
    </row>
    <row r="653" spans="1:1" x14ac:dyDescent="0.25">
      <c r="A653" t="s">
        <v>1948</v>
      </c>
    </row>
    <row r="654" spans="1:1" x14ac:dyDescent="0.25">
      <c r="A654" t="s">
        <v>1949</v>
      </c>
    </row>
    <row r="655" spans="1:1" x14ac:dyDescent="0.25">
      <c r="A655" t="s">
        <v>1950</v>
      </c>
    </row>
    <row r="656" spans="1:1" x14ac:dyDescent="0.25">
      <c r="A656" t="s">
        <v>1951</v>
      </c>
    </row>
    <row r="657" spans="1:1" x14ac:dyDescent="0.25">
      <c r="A657" t="s">
        <v>1952</v>
      </c>
    </row>
    <row r="658" spans="1:1" x14ac:dyDescent="0.25">
      <c r="A658" t="s">
        <v>1953</v>
      </c>
    </row>
    <row r="659" spans="1:1" x14ac:dyDescent="0.25">
      <c r="A659" t="s">
        <v>1954</v>
      </c>
    </row>
    <row r="660" spans="1:1" x14ac:dyDescent="0.25">
      <c r="A660" t="s">
        <v>1955</v>
      </c>
    </row>
    <row r="661" spans="1:1" x14ac:dyDescent="0.25">
      <c r="A661" t="s">
        <v>1956</v>
      </c>
    </row>
    <row r="662" spans="1:1" x14ac:dyDescent="0.25">
      <c r="A662" t="s">
        <v>1957</v>
      </c>
    </row>
    <row r="663" spans="1:1" x14ac:dyDescent="0.25">
      <c r="A663" t="s">
        <v>1958</v>
      </c>
    </row>
    <row r="664" spans="1:1" x14ac:dyDescent="0.25">
      <c r="A664" t="s">
        <v>1959</v>
      </c>
    </row>
    <row r="665" spans="1:1" x14ac:dyDescent="0.25">
      <c r="A665" t="s">
        <v>1960</v>
      </c>
    </row>
    <row r="666" spans="1:1" x14ac:dyDescent="0.25">
      <c r="A666" t="s">
        <v>1961</v>
      </c>
    </row>
    <row r="667" spans="1:1" x14ac:dyDescent="0.25">
      <c r="A667" t="s">
        <v>1962</v>
      </c>
    </row>
    <row r="668" spans="1:1" x14ac:dyDescent="0.25">
      <c r="A668" t="s">
        <v>1963</v>
      </c>
    </row>
    <row r="669" spans="1:1" x14ac:dyDescent="0.25">
      <c r="A669" t="s">
        <v>1964</v>
      </c>
    </row>
    <row r="670" spans="1:1" x14ac:dyDescent="0.25">
      <c r="A670" t="s">
        <v>1965</v>
      </c>
    </row>
    <row r="671" spans="1:1" x14ac:dyDescent="0.25">
      <c r="A671" t="s">
        <v>1966</v>
      </c>
    </row>
    <row r="672" spans="1:1" x14ac:dyDescent="0.25">
      <c r="A672" t="s">
        <v>1967</v>
      </c>
    </row>
    <row r="673" spans="1:1" x14ac:dyDescent="0.25">
      <c r="A673" t="s">
        <v>1968</v>
      </c>
    </row>
    <row r="674" spans="1:1" x14ac:dyDescent="0.25">
      <c r="A674" t="s">
        <v>1969</v>
      </c>
    </row>
    <row r="675" spans="1:1" x14ac:dyDescent="0.25">
      <c r="A675" t="s">
        <v>1970</v>
      </c>
    </row>
    <row r="676" spans="1:1" x14ac:dyDescent="0.25">
      <c r="A676" t="s">
        <v>1971</v>
      </c>
    </row>
    <row r="677" spans="1:1" x14ac:dyDescent="0.25">
      <c r="A677" t="s">
        <v>1972</v>
      </c>
    </row>
    <row r="678" spans="1:1" x14ac:dyDescent="0.25">
      <c r="A678" t="s">
        <v>1973</v>
      </c>
    </row>
    <row r="679" spans="1:1" x14ac:dyDescent="0.25">
      <c r="A679" t="s">
        <v>1974</v>
      </c>
    </row>
    <row r="680" spans="1:1" x14ac:dyDescent="0.25">
      <c r="A680" t="s">
        <v>1975</v>
      </c>
    </row>
    <row r="681" spans="1:1" x14ac:dyDescent="0.25">
      <c r="A681" t="s">
        <v>1976</v>
      </c>
    </row>
    <row r="682" spans="1:1" x14ac:dyDescent="0.25">
      <c r="A682" t="s">
        <v>1977</v>
      </c>
    </row>
    <row r="683" spans="1:1" x14ac:dyDescent="0.25">
      <c r="A683" t="s">
        <v>1978</v>
      </c>
    </row>
    <row r="684" spans="1:1" x14ac:dyDescent="0.25">
      <c r="A684" t="s">
        <v>1979</v>
      </c>
    </row>
    <row r="685" spans="1:1" x14ac:dyDescent="0.25">
      <c r="A685" t="s">
        <v>1980</v>
      </c>
    </row>
    <row r="686" spans="1:1" x14ac:dyDescent="0.25">
      <c r="A686" t="s">
        <v>1981</v>
      </c>
    </row>
    <row r="687" spans="1:1" x14ac:dyDescent="0.25">
      <c r="A687" t="s">
        <v>1982</v>
      </c>
    </row>
    <row r="688" spans="1:1" x14ac:dyDescent="0.25">
      <c r="A688" t="s">
        <v>1983</v>
      </c>
    </row>
    <row r="689" spans="1:1" x14ac:dyDescent="0.25">
      <c r="A689" t="s">
        <v>1984</v>
      </c>
    </row>
    <row r="690" spans="1:1" x14ac:dyDescent="0.25">
      <c r="A690" t="s">
        <v>1985</v>
      </c>
    </row>
    <row r="691" spans="1:1" x14ac:dyDescent="0.25">
      <c r="A691" t="s">
        <v>1986</v>
      </c>
    </row>
    <row r="692" spans="1:1" x14ac:dyDescent="0.25">
      <c r="A692" t="s">
        <v>1987</v>
      </c>
    </row>
    <row r="693" spans="1:1" x14ac:dyDescent="0.25">
      <c r="A693" t="s">
        <v>1988</v>
      </c>
    </row>
    <row r="694" spans="1:1" x14ac:dyDescent="0.25">
      <c r="A694" t="s">
        <v>1989</v>
      </c>
    </row>
    <row r="695" spans="1:1" x14ac:dyDescent="0.25">
      <c r="A695" t="s">
        <v>1990</v>
      </c>
    </row>
    <row r="696" spans="1:1" x14ac:dyDescent="0.25">
      <c r="A696" t="s">
        <v>1991</v>
      </c>
    </row>
    <row r="697" spans="1:1" x14ac:dyDescent="0.25">
      <c r="A697" t="s">
        <v>1992</v>
      </c>
    </row>
    <row r="698" spans="1:1" x14ac:dyDescent="0.25">
      <c r="A698" t="s">
        <v>1993</v>
      </c>
    </row>
    <row r="699" spans="1:1" x14ac:dyDescent="0.25">
      <c r="A699" t="s">
        <v>1994</v>
      </c>
    </row>
    <row r="700" spans="1:1" x14ac:dyDescent="0.25">
      <c r="A700" t="s">
        <v>1995</v>
      </c>
    </row>
    <row r="701" spans="1:1" x14ac:dyDescent="0.25">
      <c r="A701" t="s">
        <v>1996</v>
      </c>
    </row>
    <row r="702" spans="1:1" x14ac:dyDescent="0.25">
      <c r="A702" t="s">
        <v>1997</v>
      </c>
    </row>
    <row r="703" spans="1:1" x14ac:dyDescent="0.25">
      <c r="A703" t="s">
        <v>1998</v>
      </c>
    </row>
    <row r="704" spans="1:1" x14ac:dyDescent="0.25">
      <c r="A704" t="s">
        <v>1999</v>
      </c>
    </row>
    <row r="705" spans="1:1" x14ac:dyDescent="0.25">
      <c r="A705" t="s">
        <v>2000</v>
      </c>
    </row>
    <row r="706" spans="1:1" x14ac:dyDescent="0.25">
      <c r="A706" t="s">
        <v>2001</v>
      </c>
    </row>
    <row r="707" spans="1:1" x14ac:dyDescent="0.25">
      <c r="A707" t="s">
        <v>2002</v>
      </c>
    </row>
    <row r="708" spans="1:1" x14ac:dyDescent="0.25">
      <c r="A708" t="s">
        <v>2003</v>
      </c>
    </row>
    <row r="709" spans="1:1" x14ac:dyDescent="0.25">
      <c r="A709" t="s">
        <v>2004</v>
      </c>
    </row>
    <row r="710" spans="1:1" x14ac:dyDescent="0.25">
      <c r="A710" t="s">
        <v>2005</v>
      </c>
    </row>
    <row r="711" spans="1:1" x14ac:dyDescent="0.25">
      <c r="A711" t="s">
        <v>2006</v>
      </c>
    </row>
    <row r="712" spans="1:1" x14ac:dyDescent="0.25">
      <c r="A712" t="s">
        <v>2007</v>
      </c>
    </row>
    <row r="713" spans="1:1" x14ac:dyDescent="0.25">
      <c r="A713" t="s">
        <v>2008</v>
      </c>
    </row>
    <row r="714" spans="1:1" x14ac:dyDescent="0.25">
      <c r="A714" t="s">
        <v>2009</v>
      </c>
    </row>
    <row r="715" spans="1:1" x14ac:dyDescent="0.25">
      <c r="A715" t="s">
        <v>2010</v>
      </c>
    </row>
    <row r="716" spans="1:1" x14ac:dyDescent="0.25">
      <c r="A716" t="s">
        <v>2011</v>
      </c>
    </row>
    <row r="717" spans="1:1" x14ac:dyDescent="0.25">
      <c r="A717" t="s">
        <v>2012</v>
      </c>
    </row>
    <row r="718" spans="1:1" x14ac:dyDescent="0.25">
      <c r="A718" t="s">
        <v>2013</v>
      </c>
    </row>
    <row r="719" spans="1:1" x14ac:dyDescent="0.25">
      <c r="A719" t="s">
        <v>2014</v>
      </c>
    </row>
    <row r="720" spans="1:1" x14ac:dyDescent="0.25">
      <c r="A720" t="s">
        <v>2015</v>
      </c>
    </row>
    <row r="721" spans="1:1" x14ac:dyDescent="0.25">
      <c r="A721" t="s">
        <v>2016</v>
      </c>
    </row>
    <row r="722" spans="1:1" x14ac:dyDescent="0.25">
      <c r="A722" t="s">
        <v>2017</v>
      </c>
    </row>
    <row r="723" spans="1:1" x14ac:dyDescent="0.25">
      <c r="A723" t="s">
        <v>2018</v>
      </c>
    </row>
    <row r="724" spans="1:1" x14ac:dyDescent="0.25">
      <c r="A724" t="s">
        <v>2019</v>
      </c>
    </row>
    <row r="725" spans="1:1" x14ac:dyDescent="0.25">
      <c r="A725" t="s">
        <v>2020</v>
      </c>
    </row>
    <row r="726" spans="1:1" x14ac:dyDescent="0.25">
      <c r="A726" t="s">
        <v>2021</v>
      </c>
    </row>
    <row r="727" spans="1:1" x14ac:dyDescent="0.25">
      <c r="A727" t="s">
        <v>2022</v>
      </c>
    </row>
    <row r="728" spans="1:1" x14ac:dyDescent="0.25">
      <c r="A728" t="s">
        <v>2023</v>
      </c>
    </row>
    <row r="729" spans="1:1" x14ac:dyDescent="0.25">
      <c r="A729" t="s">
        <v>2024</v>
      </c>
    </row>
    <row r="730" spans="1:1" x14ac:dyDescent="0.25">
      <c r="A730" t="s">
        <v>2025</v>
      </c>
    </row>
    <row r="731" spans="1:1" x14ac:dyDescent="0.25">
      <c r="A731" t="s">
        <v>2026</v>
      </c>
    </row>
    <row r="732" spans="1:1" x14ac:dyDescent="0.25">
      <c r="A732" t="s">
        <v>2027</v>
      </c>
    </row>
    <row r="733" spans="1:1" x14ac:dyDescent="0.25">
      <c r="A733" t="s">
        <v>2028</v>
      </c>
    </row>
    <row r="734" spans="1:1" x14ac:dyDescent="0.25">
      <c r="A734" t="s">
        <v>2029</v>
      </c>
    </row>
    <row r="735" spans="1:1" x14ac:dyDescent="0.25">
      <c r="A735" t="s">
        <v>2030</v>
      </c>
    </row>
    <row r="736" spans="1:1" x14ac:dyDescent="0.25">
      <c r="A736" t="s">
        <v>2031</v>
      </c>
    </row>
    <row r="737" spans="1:1" x14ac:dyDescent="0.25">
      <c r="A737" t="s">
        <v>2032</v>
      </c>
    </row>
    <row r="738" spans="1:1" x14ac:dyDescent="0.25">
      <c r="A738" t="s">
        <v>2033</v>
      </c>
    </row>
    <row r="739" spans="1:1" x14ac:dyDescent="0.25">
      <c r="A739" t="s">
        <v>2034</v>
      </c>
    </row>
    <row r="740" spans="1:1" x14ac:dyDescent="0.25">
      <c r="A740" t="s">
        <v>2035</v>
      </c>
    </row>
    <row r="741" spans="1:1" x14ac:dyDescent="0.25">
      <c r="A741" t="s">
        <v>2036</v>
      </c>
    </row>
    <row r="742" spans="1:1" x14ac:dyDescent="0.25">
      <c r="A742" t="s">
        <v>2037</v>
      </c>
    </row>
    <row r="743" spans="1:1" x14ac:dyDescent="0.25">
      <c r="A743" t="s">
        <v>2038</v>
      </c>
    </row>
    <row r="744" spans="1:1" x14ac:dyDescent="0.25">
      <c r="A744" t="s">
        <v>2039</v>
      </c>
    </row>
    <row r="745" spans="1:1" x14ac:dyDescent="0.25">
      <c r="A745" t="s">
        <v>2040</v>
      </c>
    </row>
    <row r="746" spans="1:1" x14ac:dyDescent="0.25">
      <c r="A746" t="s">
        <v>2041</v>
      </c>
    </row>
    <row r="747" spans="1:1" x14ac:dyDescent="0.25">
      <c r="A747" t="s">
        <v>2042</v>
      </c>
    </row>
    <row r="748" spans="1:1" x14ac:dyDescent="0.25">
      <c r="A748" t="s">
        <v>2043</v>
      </c>
    </row>
    <row r="749" spans="1:1" x14ac:dyDescent="0.25">
      <c r="A749" t="s">
        <v>2044</v>
      </c>
    </row>
    <row r="750" spans="1:1" x14ac:dyDescent="0.25">
      <c r="A750" t="s">
        <v>2045</v>
      </c>
    </row>
    <row r="751" spans="1:1" x14ac:dyDescent="0.25">
      <c r="A751" t="s">
        <v>2046</v>
      </c>
    </row>
    <row r="752" spans="1:1" x14ac:dyDescent="0.25">
      <c r="A752" t="s">
        <v>2047</v>
      </c>
    </row>
    <row r="753" spans="1:1" x14ac:dyDescent="0.25">
      <c r="A753" t="s">
        <v>2048</v>
      </c>
    </row>
    <row r="754" spans="1:1" x14ac:dyDescent="0.25">
      <c r="A754" t="s">
        <v>2049</v>
      </c>
    </row>
    <row r="755" spans="1:1" x14ac:dyDescent="0.25">
      <c r="A755" t="s">
        <v>2050</v>
      </c>
    </row>
    <row r="756" spans="1:1" x14ac:dyDescent="0.25">
      <c r="A756" t="s">
        <v>2051</v>
      </c>
    </row>
    <row r="757" spans="1:1" x14ac:dyDescent="0.25">
      <c r="A757" t="s">
        <v>2052</v>
      </c>
    </row>
    <row r="758" spans="1:1" x14ac:dyDescent="0.25">
      <c r="A758" t="s">
        <v>2053</v>
      </c>
    </row>
    <row r="759" spans="1:1" x14ac:dyDescent="0.25">
      <c r="A759" t="s">
        <v>2054</v>
      </c>
    </row>
    <row r="760" spans="1:1" x14ac:dyDescent="0.25">
      <c r="A760" t="s">
        <v>2055</v>
      </c>
    </row>
    <row r="761" spans="1:1" x14ac:dyDescent="0.25">
      <c r="A761" t="s">
        <v>2056</v>
      </c>
    </row>
    <row r="762" spans="1:1" x14ac:dyDescent="0.25">
      <c r="A762" t="s">
        <v>2057</v>
      </c>
    </row>
    <row r="763" spans="1:1" x14ac:dyDescent="0.25">
      <c r="A763" t="s">
        <v>2058</v>
      </c>
    </row>
    <row r="764" spans="1:1" x14ac:dyDescent="0.25">
      <c r="A764" t="s">
        <v>2059</v>
      </c>
    </row>
    <row r="765" spans="1:1" x14ac:dyDescent="0.25">
      <c r="A765" t="s">
        <v>2060</v>
      </c>
    </row>
    <row r="766" spans="1:1" x14ac:dyDescent="0.25">
      <c r="A766" t="s">
        <v>2061</v>
      </c>
    </row>
    <row r="767" spans="1:1" x14ac:dyDescent="0.25">
      <c r="A767" t="s">
        <v>2062</v>
      </c>
    </row>
    <row r="768" spans="1:1" x14ac:dyDescent="0.25">
      <c r="A768" t="s">
        <v>2063</v>
      </c>
    </row>
    <row r="769" spans="1:1" x14ac:dyDescent="0.25">
      <c r="A769" t="s">
        <v>2064</v>
      </c>
    </row>
    <row r="770" spans="1:1" x14ac:dyDescent="0.25">
      <c r="A770" t="s">
        <v>2065</v>
      </c>
    </row>
    <row r="771" spans="1:1" x14ac:dyDescent="0.25">
      <c r="A771" t="s">
        <v>2066</v>
      </c>
    </row>
    <row r="772" spans="1:1" x14ac:dyDescent="0.25">
      <c r="A772" t="s">
        <v>2067</v>
      </c>
    </row>
    <row r="773" spans="1:1" x14ac:dyDescent="0.25">
      <c r="A773" t="s">
        <v>2068</v>
      </c>
    </row>
    <row r="774" spans="1:1" x14ac:dyDescent="0.25">
      <c r="A774" t="s">
        <v>2069</v>
      </c>
    </row>
    <row r="775" spans="1:1" x14ac:dyDescent="0.25">
      <c r="A775" t="s">
        <v>2070</v>
      </c>
    </row>
    <row r="776" spans="1:1" x14ac:dyDescent="0.25">
      <c r="A776" t="s">
        <v>2071</v>
      </c>
    </row>
    <row r="777" spans="1:1" x14ac:dyDescent="0.25">
      <c r="A777" t="s">
        <v>2072</v>
      </c>
    </row>
    <row r="778" spans="1:1" x14ac:dyDescent="0.25">
      <c r="A778" t="s">
        <v>2073</v>
      </c>
    </row>
    <row r="779" spans="1:1" x14ac:dyDescent="0.25">
      <c r="A779" t="s">
        <v>2074</v>
      </c>
    </row>
    <row r="780" spans="1:1" x14ac:dyDescent="0.25">
      <c r="A780" t="s">
        <v>2075</v>
      </c>
    </row>
    <row r="781" spans="1:1" x14ac:dyDescent="0.25">
      <c r="A781" t="s">
        <v>2076</v>
      </c>
    </row>
    <row r="782" spans="1:1" x14ac:dyDescent="0.25">
      <c r="A782" t="s">
        <v>2077</v>
      </c>
    </row>
    <row r="783" spans="1:1" x14ac:dyDescent="0.25">
      <c r="A783" t="s">
        <v>2078</v>
      </c>
    </row>
    <row r="784" spans="1:1" x14ac:dyDescent="0.25">
      <c r="A784" t="s">
        <v>2079</v>
      </c>
    </row>
    <row r="785" spans="1:1" x14ac:dyDescent="0.25">
      <c r="A785" t="s">
        <v>2080</v>
      </c>
    </row>
    <row r="786" spans="1:1" x14ac:dyDescent="0.25">
      <c r="A786" t="s">
        <v>2081</v>
      </c>
    </row>
    <row r="787" spans="1:1" x14ac:dyDescent="0.25">
      <c r="A787" t="s">
        <v>2082</v>
      </c>
    </row>
    <row r="788" spans="1:1" x14ac:dyDescent="0.25">
      <c r="A788" t="s">
        <v>2083</v>
      </c>
    </row>
    <row r="789" spans="1:1" x14ac:dyDescent="0.25">
      <c r="A789" t="s">
        <v>2084</v>
      </c>
    </row>
    <row r="790" spans="1:1" x14ac:dyDescent="0.25">
      <c r="A790" t="s">
        <v>2085</v>
      </c>
    </row>
    <row r="791" spans="1:1" x14ac:dyDescent="0.25">
      <c r="A791" t="s">
        <v>2086</v>
      </c>
    </row>
    <row r="792" spans="1:1" x14ac:dyDescent="0.25">
      <c r="A792" t="s">
        <v>2087</v>
      </c>
    </row>
    <row r="793" spans="1:1" x14ac:dyDescent="0.25">
      <c r="A793" t="s">
        <v>2088</v>
      </c>
    </row>
    <row r="794" spans="1:1" x14ac:dyDescent="0.25">
      <c r="A794" t="s">
        <v>2089</v>
      </c>
    </row>
    <row r="795" spans="1:1" x14ac:dyDescent="0.25">
      <c r="A795" t="s">
        <v>2090</v>
      </c>
    </row>
    <row r="796" spans="1:1" x14ac:dyDescent="0.25">
      <c r="A796" t="s">
        <v>2091</v>
      </c>
    </row>
    <row r="797" spans="1:1" x14ac:dyDescent="0.25">
      <c r="A797" t="s">
        <v>2092</v>
      </c>
    </row>
    <row r="798" spans="1:1" x14ac:dyDescent="0.25">
      <c r="A798" t="s">
        <v>2093</v>
      </c>
    </row>
    <row r="799" spans="1:1" x14ac:dyDescent="0.25">
      <c r="A799" t="s">
        <v>2094</v>
      </c>
    </row>
    <row r="800" spans="1:1" x14ac:dyDescent="0.25">
      <c r="A800" t="s">
        <v>2095</v>
      </c>
    </row>
    <row r="801" spans="1:1" x14ac:dyDescent="0.25">
      <c r="A801" t="s">
        <v>2096</v>
      </c>
    </row>
    <row r="802" spans="1:1" x14ac:dyDescent="0.25">
      <c r="A802" t="s">
        <v>2097</v>
      </c>
    </row>
    <row r="803" spans="1:1" x14ac:dyDescent="0.25">
      <c r="A803" t="s">
        <v>2098</v>
      </c>
    </row>
    <row r="804" spans="1:1" x14ac:dyDescent="0.25">
      <c r="A804" t="s">
        <v>2099</v>
      </c>
    </row>
    <row r="805" spans="1:1" x14ac:dyDescent="0.25">
      <c r="A805" t="s">
        <v>2100</v>
      </c>
    </row>
    <row r="806" spans="1:1" x14ac:dyDescent="0.25">
      <c r="A806" t="s">
        <v>2101</v>
      </c>
    </row>
    <row r="807" spans="1:1" x14ac:dyDescent="0.25">
      <c r="A807" t="s">
        <v>2102</v>
      </c>
    </row>
    <row r="808" spans="1:1" x14ac:dyDescent="0.25">
      <c r="A808" t="s">
        <v>2103</v>
      </c>
    </row>
    <row r="809" spans="1:1" x14ac:dyDescent="0.25">
      <c r="A809" t="s">
        <v>2104</v>
      </c>
    </row>
    <row r="810" spans="1:1" x14ac:dyDescent="0.25">
      <c r="A810" t="s">
        <v>2105</v>
      </c>
    </row>
    <row r="811" spans="1:1" x14ac:dyDescent="0.25">
      <c r="A811" t="s">
        <v>2106</v>
      </c>
    </row>
    <row r="812" spans="1:1" x14ac:dyDescent="0.25">
      <c r="A812" t="s">
        <v>2107</v>
      </c>
    </row>
    <row r="813" spans="1:1" x14ac:dyDescent="0.25">
      <c r="A813" t="s">
        <v>2108</v>
      </c>
    </row>
    <row r="814" spans="1:1" x14ac:dyDescent="0.25">
      <c r="A814" t="s">
        <v>2109</v>
      </c>
    </row>
    <row r="815" spans="1:1" x14ac:dyDescent="0.25">
      <c r="A815" t="s">
        <v>2110</v>
      </c>
    </row>
    <row r="816" spans="1:1" x14ac:dyDescent="0.25">
      <c r="A816" t="s">
        <v>2111</v>
      </c>
    </row>
    <row r="817" spans="1:1" x14ac:dyDescent="0.25">
      <c r="A817" t="s">
        <v>2112</v>
      </c>
    </row>
    <row r="818" spans="1:1" x14ac:dyDescent="0.25">
      <c r="A818" t="s">
        <v>2113</v>
      </c>
    </row>
    <row r="819" spans="1:1" x14ac:dyDescent="0.25">
      <c r="A819" t="s">
        <v>2114</v>
      </c>
    </row>
    <row r="820" spans="1:1" x14ac:dyDescent="0.25">
      <c r="A820" t="s">
        <v>2115</v>
      </c>
    </row>
    <row r="821" spans="1:1" x14ac:dyDescent="0.25">
      <c r="A821" t="s">
        <v>2116</v>
      </c>
    </row>
    <row r="822" spans="1:1" x14ac:dyDescent="0.25">
      <c r="A822" t="s">
        <v>2117</v>
      </c>
    </row>
    <row r="823" spans="1:1" x14ac:dyDescent="0.25">
      <c r="A823" t="s">
        <v>2118</v>
      </c>
    </row>
    <row r="824" spans="1:1" x14ac:dyDescent="0.25">
      <c r="A824" t="s">
        <v>2119</v>
      </c>
    </row>
    <row r="825" spans="1:1" x14ac:dyDescent="0.25">
      <c r="A825" t="s">
        <v>2120</v>
      </c>
    </row>
    <row r="826" spans="1:1" x14ac:dyDescent="0.25">
      <c r="A826" t="s">
        <v>2121</v>
      </c>
    </row>
    <row r="827" spans="1:1" x14ac:dyDescent="0.25">
      <c r="A827" t="s">
        <v>2122</v>
      </c>
    </row>
    <row r="828" spans="1:1" x14ac:dyDescent="0.25">
      <c r="A828" t="s">
        <v>2123</v>
      </c>
    </row>
    <row r="829" spans="1:1" x14ac:dyDescent="0.25">
      <c r="A829" t="s">
        <v>2124</v>
      </c>
    </row>
    <row r="830" spans="1:1" x14ac:dyDescent="0.25">
      <c r="A830" t="s">
        <v>2125</v>
      </c>
    </row>
    <row r="831" spans="1:1" x14ac:dyDescent="0.25">
      <c r="A831" t="s">
        <v>2126</v>
      </c>
    </row>
    <row r="832" spans="1:1" x14ac:dyDescent="0.25">
      <c r="A832" t="s">
        <v>2127</v>
      </c>
    </row>
    <row r="833" spans="1:1" x14ac:dyDescent="0.25">
      <c r="A833" t="s">
        <v>2128</v>
      </c>
    </row>
    <row r="834" spans="1:1" x14ac:dyDescent="0.25">
      <c r="A834" t="s">
        <v>2129</v>
      </c>
    </row>
    <row r="835" spans="1:1" x14ac:dyDescent="0.25">
      <c r="A835" t="s">
        <v>2130</v>
      </c>
    </row>
    <row r="836" spans="1:1" x14ac:dyDescent="0.25">
      <c r="A836" t="s">
        <v>2131</v>
      </c>
    </row>
    <row r="837" spans="1:1" x14ac:dyDescent="0.25">
      <c r="A837" t="s">
        <v>2132</v>
      </c>
    </row>
    <row r="838" spans="1:1" x14ac:dyDescent="0.25">
      <c r="A838" t="s">
        <v>2133</v>
      </c>
    </row>
    <row r="839" spans="1:1" x14ac:dyDescent="0.25">
      <c r="A839" t="s">
        <v>2134</v>
      </c>
    </row>
    <row r="840" spans="1:1" x14ac:dyDescent="0.25">
      <c r="A840" t="s">
        <v>2135</v>
      </c>
    </row>
    <row r="841" spans="1:1" x14ac:dyDescent="0.25">
      <c r="A841" t="s">
        <v>2136</v>
      </c>
    </row>
    <row r="842" spans="1:1" x14ac:dyDescent="0.25">
      <c r="A842" t="s">
        <v>2137</v>
      </c>
    </row>
    <row r="843" spans="1:1" x14ac:dyDescent="0.25">
      <c r="A843" t="s">
        <v>2138</v>
      </c>
    </row>
    <row r="844" spans="1:1" x14ac:dyDescent="0.25">
      <c r="A844" t="s">
        <v>2139</v>
      </c>
    </row>
    <row r="845" spans="1:1" x14ac:dyDescent="0.25">
      <c r="A845" t="s">
        <v>2140</v>
      </c>
    </row>
    <row r="846" spans="1:1" x14ac:dyDescent="0.25">
      <c r="A846" t="s">
        <v>2141</v>
      </c>
    </row>
    <row r="847" spans="1:1" x14ac:dyDescent="0.25">
      <c r="A847" t="s">
        <v>2142</v>
      </c>
    </row>
    <row r="848" spans="1:1" x14ac:dyDescent="0.25">
      <c r="A848" t="s">
        <v>2143</v>
      </c>
    </row>
    <row r="849" spans="1:1" x14ac:dyDescent="0.25">
      <c r="A849" t="s">
        <v>2144</v>
      </c>
    </row>
    <row r="850" spans="1:1" x14ac:dyDescent="0.25">
      <c r="A850" t="s">
        <v>2145</v>
      </c>
    </row>
    <row r="851" spans="1:1" x14ac:dyDescent="0.25">
      <c r="A851" t="s">
        <v>2146</v>
      </c>
    </row>
    <row r="852" spans="1:1" x14ac:dyDescent="0.25">
      <c r="A852" t="s">
        <v>2147</v>
      </c>
    </row>
    <row r="853" spans="1:1" x14ac:dyDescent="0.25">
      <c r="A853" t="s">
        <v>2148</v>
      </c>
    </row>
    <row r="854" spans="1:1" x14ac:dyDescent="0.25">
      <c r="A854" t="s">
        <v>2149</v>
      </c>
    </row>
    <row r="855" spans="1:1" x14ac:dyDescent="0.25">
      <c r="A855" t="s">
        <v>2150</v>
      </c>
    </row>
    <row r="856" spans="1:1" x14ac:dyDescent="0.25">
      <c r="A856" t="s">
        <v>2151</v>
      </c>
    </row>
    <row r="857" spans="1:1" x14ac:dyDescent="0.25">
      <c r="A857" t="s">
        <v>2152</v>
      </c>
    </row>
    <row r="858" spans="1:1" x14ac:dyDescent="0.25">
      <c r="A858" t="s">
        <v>2153</v>
      </c>
    </row>
    <row r="859" spans="1:1" x14ac:dyDescent="0.25">
      <c r="A859" t="s">
        <v>2154</v>
      </c>
    </row>
    <row r="860" spans="1:1" x14ac:dyDescent="0.25">
      <c r="A860" t="s">
        <v>2155</v>
      </c>
    </row>
    <row r="861" spans="1:1" x14ac:dyDescent="0.25">
      <c r="A861" t="s">
        <v>2156</v>
      </c>
    </row>
    <row r="862" spans="1:1" x14ac:dyDescent="0.25">
      <c r="A862" t="s">
        <v>2157</v>
      </c>
    </row>
    <row r="863" spans="1:1" x14ac:dyDescent="0.25">
      <c r="A863" t="s">
        <v>2158</v>
      </c>
    </row>
    <row r="864" spans="1:1" x14ac:dyDescent="0.25">
      <c r="A864" t="s">
        <v>2159</v>
      </c>
    </row>
    <row r="865" spans="1:1" x14ac:dyDescent="0.25">
      <c r="A865" t="s">
        <v>2160</v>
      </c>
    </row>
    <row r="866" spans="1:1" x14ac:dyDescent="0.25">
      <c r="A866" t="s">
        <v>2161</v>
      </c>
    </row>
    <row r="867" spans="1:1" x14ac:dyDescent="0.25">
      <c r="A867" t="s">
        <v>2162</v>
      </c>
    </row>
    <row r="868" spans="1:1" x14ac:dyDescent="0.25">
      <c r="A868" t="s">
        <v>2163</v>
      </c>
    </row>
    <row r="869" spans="1:1" x14ac:dyDescent="0.25">
      <c r="A869" t="s">
        <v>2164</v>
      </c>
    </row>
    <row r="870" spans="1:1" x14ac:dyDescent="0.25">
      <c r="A870" t="s">
        <v>2165</v>
      </c>
    </row>
    <row r="871" spans="1:1" x14ac:dyDescent="0.25">
      <c r="A871" t="s">
        <v>2166</v>
      </c>
    </row>
    <row r="872" spans="1:1" x14ac:dyDescent="0.25">
      <c r="A872" t="s">
        <v>2167</v>
      </c>
    </row>
    <row r="873" spans="1:1" x14ac:dyDescent="0.25">
      <c r="A873" t="s">
        <v>2168</v>
      </c>
    </row>
    <row r="874" spans="1:1" x14ac:dyDescent="0.25">
      <c r="A874" t="s">
        <v>2169</v>
      </c>
    </row>
    <row r="875" spans="1:1" x14ac:dyDescent="0.25">
      <c r="A875" t="s">
        <v>2170</v>
      </c>
    </row>
    <row r="876" spans="1:1" x14ac:dyDescent="0.25">
      <c r="A876" t="s">
        <v>2171</v>
      </c>
    </row>
    <row r="877" spans="1:1" x14ac:dyDescent="0.25">
      <c r="A877" t="s">
        <v>2172</v>
      </c>
    </row>
    <row r="878" spans="1:1" x14ac:dyDescent="0.25">
      <c r="A878" t="s">
        <v>2173</v>
      </c>
    </row>
    <row r="879" spans="1:1" x14ac:dyDescent="0.25">
      <c r="A879" t="s">
        <v>2174</v>
      </c>
    </row>
    <row r="880" spans="1:1" x14ac:dyDescent="0.25">
      <c r="A880" t="s">
        <v>2175</v>
      </c>
    </row>
    <row r="881" spans="1:1" x14ac:dyDescent="0.25">
      <c r="A881" t="s">
        <v>2176</v>
      </c>
    </row>
    <row r="882" spans="1:1" x14ac:dyDescent="0.25">
      <c r="A882" t="s">
        <v>2177</v>
      </c>
    </row>
    <row r="883" spans="1:1" x14ac:dyDescent="0.25">
      <c r="A883" t="s">
        <v>2178</v>
      </c>
    </row>
    <row r="884" spans="1:1" x14ac:dyDescent="0.25">
      <c r="A884" t="s">
        <v>2179</v>
      </c>
    </row>
    <row r="885" spans="1:1" x14ac:dyDescent="0.25">
      <c r="A885" t="s">
        <v>2180</v>
      </c>
    </row>
    <row r="886" spans="1:1" x14ac:dyDescent="0.25">
      <c r="A886" t="s">
        <v>2181</v>
      </c>
    </row>
    <row r="887" spans="1:1" x14ac:dyDescent="0.25">
      <c r="A887" t="s">
        <v>2182</v>
      </c>
    </row>
    <row r="888" spans="1:1" x14ac:dyDescent="0.25">
      <c r="A888" t="s">
        <v>2183</v>
      </c>
    </row>
    <row r="889" spans="1:1" x14ac:dyDescent="0.25">
      <c r="A889" t="s">
        <v>2184</v>
      </c>
    </row>
    <row r="890" spans="1:1" x14ac:dyDescent="0.25">
      <c r="A890" t="s">
        <v>2185</v>
      </c>
    </row>
    <row r="891" spans="1:1" x14ac:dyDescent="0.25">
      <c r="A891" t="s">
        <v>2186</v>
      </c>
    </row>
    <row r="892" spans="1:1" x14ac:dyDescent="0.25">
      <c r="A892" t="s">
        <v>2187</v>
      </c>
    </row>
    <row r="893" spans="1:1" x14ac:dyDescent="0.25">
      <c r="A893" t="s">
        <v>2188</v>
      </c>
    </row>
    <row r="894" spans="1:1" x14ac:dyDescent="0.25">
      <c r="A894" t="s">
        <v>2189</v>
      </c>
    </row>
    <row r="895" spans="1:1" x14ac:dyDescent="0.25">
      <c r="A895" t="s">
        <v>2190</v>
      </c>
    </row>
    <row r="896" spans="1:1" x14ac:dyDescent="0.25">
      <c r="A896" t="s">
        <v>2191</v>
      </c>
    </row>
    <row r="897" spans="1:1" x14ac:dyDescent="0.25">
      <c r="A897" t="s">
        <v>2192</v>
      </c>
    </row>
    <row r="898" spans="1:1" x14ac:dyDescent="0.25">
      <c r="A898" t="s">
        <v>2193</v>
      </c>
    </row>
    <row r="899" spans="1:1" x14ac:dyDescent="0.25">
      <c r="A899" t="s">
        <v>2194</v>
      </c>
    </row>
    <row r="900" spans="1:1" x14ac:dyDescent="0.25">
      <c r="A900" t="s">
        <v>2195</v>
      </c>
    </row>
    <row r="901" spans="1:1" x14ac:dyDescent="0.25">
      <c r="A901" t="s">
        <v>2196</v>
      </c>
    </row>
    <row r="902" spans="1:1" x14ac:dyDescent="0.25">
      <c r="A902" t="s">
        <v>2197</v>
      </c>
    </row>
    <row r="903" spans="1:1" x14ac:dyDescent="0.25">
      <c r="A903" t="s">
        <v>2198</v>
      </c>
    </row>
    <row r="904" spans="1:1" x14ac:dyDescent="0.25">
      <c r="A904" t="s">
        <v>2199</v>
      </c>
    </row>
    <row r="905" spans="1:1" x14ac:dyDescent="0.25">
      <c r="A905" t="s">
        <v>2200</v>
      </c>
    </row>
    <row r="906" spans="1:1" x14ac:dyDescent="0.25">
      <c r="A906" t="s">
        <v>2201</v>
      </c>
    </row>
    <row r="907" spans="1:1" x14ac:dyDescent="0.25">
      <c r="A907" t="s">
        <v>2202</v>
      </c>
    </row>
    <row r="908" spans="1:1" x14ac:dyDescent="0.25">
      <c r="A908" t="s">
        <v>2203</v>
      </c>
    </row>
    <row r="909" spans="1:1" x14ac:dyDescent="0.25">
      <c r="A909" t="s">
        <v>2204</v>
      </c>
    </row>
    <row r="910" spans="1:1" x14ac:dyDescent="0.25">
      <c r="A910" t="s">
        <v>2205</v>
      </c>
    </row>
    <row r="911" spans="1:1" x14ac:dyDescent="0.25">
      <c r="A911" t="s">
        <v>2206</v>
      </c>
    </row>
    <row r="912" spans="1:1" x14ac:dyDescent="0.25">
      <c r="A912" t="s">
        <v>2207</v>
      </c>
    </row>
    <row r="913" spans="1:1" x14ac:dyDescent="0.25">
      <c r="A913" t="s">
        <v>2208</v>
      </c>
    </row>
    <row r="914" spans="1:1" x14ac:dyDescent="0.25">
      <c r="A914" t="s">
        <v>2209</v>
      </c>
    </row>
    <row r="915" spans="1:1" x14ac:dyDescent="0.25">
      <c r="A915" t="s">
        <v>2210</v>
      </c>
    </row>
    <row r="916" spans="1:1" x14ac:dyDescent="0.25">
      <c r="A916" t="s">
        <v>2211</v>
      </c>
    </row>
    <row r="917" spans="1:1" x14ac:dyDescent="0.25">
      <c r="A917" t="s">
        <v>2212</v>
      </c>
    </row>
    <row r="918" spans="1:1" x14ac:dyDescent="0.25">
      <c r="A918" t="s">
        <v>2213</v>
      </c>
    </row>
    <row r="919" spans="1:1" x14ac:dyDescent="0.25">
      <c r="A919" t="s">
        <v>2214</v>
      </c>
    </row>
    <row r="920" spans="1:1" x14ac:dyDescent="0.25">
      <c r="A920" t="s">
        <v>2215</v>
      </c>
    </row>
    <row r="921" spans="1:1" x14ac:dyDescent="0.25">
      <c r="A921" t="s">
        <v>2216</v>
      </c>
    </row>
    <row r="922" spans="1:1" x14ac:dyDescent="0.25">
      <c r="A922" t="s">
        <v>2217</v>
      </c>
    </row>
    <row r="923" spans="1:1" x14ac:dyDescent="0.25">
      <c r="A923" t="s">
        <v>2218</v>
      </c>
    </row>
    <row r="924" spans="1:1" x14ac:dyDescent="0.25">
      <c r="A924" t="s">
        <v>2219</v>
      </c>
    </row>
    <row r="925" spans="1:1" x14ac:dyDescent="0.25">
      <c r="A925" t="s">
        <v>2220</v>
      </c>
    </row>
    <row r="926" spans="1:1" x14ac:dyDescent="0.25">
      <c r="A926" t="s">
        <v>2221</v>
      </c>
    </row>
    <row r="927" spans="1:1" x14ac:dyDescent="0.25">
      <c r="A927" t="s">
        <v>2222</v>
      </c>
    </row>
    <row r="928" spans="1:1" x14ac:dyDescent="0.25">
      <c r="A928" t="s">
        <v>2223</v>
      </c>
    </row>
    <row r="929" spans="1:1" x14ac:dyDescent="0.25">
      <c r="A929" t="s">
        <v>2224</v>
      </c>
    </row>
    <row r="930" spans="1:1" x14ac:dyDescent="0.25">
      <c r="A930" t="s">
        <v>2225</v>
      </c>
    </row>
    <row r="931" spans="1:1" x14ac:dyDescent="0.25">
      <c r="A931" t="s">
        <v>2226</v>
      </c>
    </row>
    <row r="932" spans="1:1" x14ac:dyDescent="0.25">
      <c r="A932" t="s">
        <v>2227</v>
      </c>
    </row>
    <row r="933" spans="1:1" x14ac:dyDescent="0.25">
      <c r="A933" t="s">
        <v>2228</v>
      </c>
    </row>
    <row r="934" spans="1:1" x14ac:dyDescent="0.25">
      <c r="A934" t="s">
        <v>2229</v>
      </c>
    </row>
    <row r="935" spans="1:1" x14ac:dyDescent="0.25">
      <c r="A935" t="s">
        <v>2230</v>
      </c>
    </row>
    <row r="936" spans="1:1" x14ac:dyDescent="0.25">
      <c r="A936" t="s">
        <v>2231</v>
      </c>
    </row>
    <row r="937" spans="1:1" x14ac:dyDescent="0.25">
      <c r="A937" t="s">
        <v>2232</v>
      </c>
    </row>
    <row r="938" spans="1:1" x14ac:dyDescent="0.25">
      <c r="A938" t="s">
        <v>2233</v>
      </c>
    </row>
    <row r="939" spans="1:1" x14ac:dyDescent="0.25">
      <c r="A939" t="s">
        <v>2234</v>
      </c>
    </row>
    <row r="940" spans="1:1" x14ac:dyDescent="0.25">
      <c r="A940" t="s">
        <v>2235</v>
      </c>
    </row>
    <row r="941" spans="1:1" x14ac:dyDescent="0.25">
      <c r="A941" t="s">
        <v>2236</v>
      </c>
    </row>
    <row r="942" spans="1:1" x14ac:dyDescent="0.25">
      <c r="A942" t="s">
        <v>2237</v>
      </c>
    </row>
    <row r="943" spans="1:1" x14ac:dyDescent="0.25">
      <c r="A943" t="s">
        <v>2238</v>
      </c>
    </row>
    <row r="944" spans="1:1" x14ac:dyDescent="0.25">
      <c r="A944" t="s">
        <v>2239</v>
      </c>
    </row>
    <row r="945" spans="1:1" x14ac:dyDescent="0.25">
      <c r="A945" t="s">
        <v>2240</v>
      </c>
    </row>
    <row r="946" spans="1:1" x14ac:dyDescent="0.25">
      <c r="A946" t="s">
        <v>2241</v>
      </c>
    </row>
    <row r="947" spans="1:1" x14ac:dyDescent="0.25">
      <c r="A947" t="s">
        <v>2242</v>
      </c>
    </row>
    <row r="948" spans="1:1" x14ac:dyDescent="0.25">
      <c r="A948" t="s">
        <v>2243</v>
      </c>
    </row>
    <row r="949" spans="1:1" x14ac:dyDescent="0.25">
      <c r="A949" t="s">
        <v>2244</v>
      </c>
    </row>
    <row r="950" spans="1:1" x14ac:dyDescent="0.25">
      <c r="A950" t="s">
        <v>2245</v>
      </c>
    </row>
    <row r="951" spans="1:1" x14ac:dyDescent="0.25">
      <c r="A951" t="s">
        <v>2246</v>
      </c>
    </row>
    <row r="952" spans="1:1" x14ac:dyDescent="0.25">
      <c r="A952" t="s">
        <v>2247</v>
      </c>
    </row>
    <row r="953" spans="1:1" x14ac:dyDescent="0.25">
      <c r="A953" t="s">
        <v>2248</v>
      </c>
    </row>
    <row r="954" spans="1:1" x14ac:dyDescent="0.25">
      <c r="A954" t="s">
        <v>2249</v>
      </c>
    </row>
    <row r="955" spans="1:1" x14ac:dyDescent="0.25">
      <c r="A955" t="s">
        <v>2250</v>
      </c>
    </row>
    <row r="956" spans="1:1" x14ac:dyDescent="0.25">
      <c r="A956" t="s">
        <v>2251</v>
      </c>
    </row>
    <row r="957" spans="1:1" x14ac:dyDescent="0.25">
      <c r="A957" t="s">
        <v>2252</v>
      </c>
    </row>
    <row r="958" spans="1:1" x14ac:dyDescent="0.25">
      <c r="A958" t="s">
        <v>2253</v>
      </c>
    </row>
    <row r="959" spans="1:1" x14ac:dyDescent="0.25">
      <c r="A959" t="s">
        <v>2254</v>
      </c>
    </row>
    <row r="960" spans="1:1" x14ac:dyDescent="0.25">
      <c r="A960" t="s">
        <v>2255</v>
      </c>
    </row>
    <row r="961" spans="1:1" x14ac:dyDescent="0.25">
      <c r="A961" t="s">
        <v>2256</v>
      </c>
    </row>
    <row r="962" spans="1:1" x14ac:dyDescent="0.25">
      <c r="A962" t="s">
        <v>2257</v>
      </c>
    </row>
    <row r="963" spans="1:1" x14ac:dyDescent="0.25">
      <c r="A963" t="s">
        <v>2258</v>
      </c>
    </row>
    <row r="964" spans="1:1" x14ac:dyDescent="0.25">
      <c r="A964" t="s">
        <v>2259</v>
      </c>
    </row>
    <row r="965" spans="1:1" x14ac:dyDescent="0.25">
      <c r="A965" t="s">
        <v>2260</v>
      </c>
    </row>
    <row r="966" spans="1:1" x14ac:dyDescent="0.25">
      <c r="A966" t="s">
        <v>2261</v>
      </c>
    </row>
    <row r="967" spans="1:1" x14ac:dyDescent="0.25">
      <c r="A967" t="s">
        <v>2262</v>
      </c>
    </row>
    <row r="968" spans="1:1" x14ac:dyDescent="0.25">
      <c r="A968" t="s">
        <v>2263</v>
      </c>
    </row>
    <row r="969" spans="1:1" x14ac:dyDescent="0.25">
      <c r="A969" t="s">
        <v>2264</v>
      </c>
    </row>
    <row r="970" spans="1:1" x14ac:dyDescent="0.25">
      <c r="A970" t="s">
        <v>2265</v>
      </c>
    </row>
    <row r="971" spans="1:1" x14ac:dyDescent="0.25">
      <c r="A971" t="s">
        <v>2266</v>
      </c>
    </row>
    <row r="972" spans="1:1" x14ac:dyDescent="0.25">
      <c r="A972" t="s">
        <v>2267</v>
      </c>
    </row>
    <row r="973" spans="1:1" x14ac:dyDescent="0.25">
      <c r="A973" t="s">
        <v>2268</v>
      </c>
    </row>
    <row r="974" spans="1:1" x14ac:dyDescent="0.25">
      <c r="A974" t="s">
        <v>2269</v>
      </c>
    </row>
    <row r="975" spans="1:1" x14ac:dyDescent="0.25">
      <c r="A975" t="s">
        <v>2270</v>
      </c>
    </row>
    <row r="976" spans="1:1" x14ac:dyDescent="0.25">
      <c r="A976" t="s">
        <v>2271</v>
      </c>
    </row>
    <row r="977" spans="1:1" x14ac:dyDescent="0.25">
      <c r="A977" t="s">
        <v>2272</v>
      </c>
    </row>
    <row r="978" spans="1:1" x14ac:dyDescent="0.25">
      <c r="A978" t="s">
        <v>2273</v>
      </c>
    </row>
    <row r="979" spans="1:1" x14ac:dyDescent="0.25">
      <c r="A979" t="s">
        <v>2274</v>
      </c>
    </row>
    <row r="980" spans="1:1" x14ac:dyDescent="0.25">
      <c r="A980" t="s">
        <v>2275</v>
      </c>
    </row>
    <row r="981" spans="1:1" x14ac:dyDescent="0.25">
      <c r="A981" t="s">
        <v>2276</v>
      </c>
    </row>
    <row r="982" spans="1:1" x14ac:dyDescent="0.25">
      <c r="A982" t="s">
        <v>2277</v>
      </c>
    </row>
    <row r="983" spans="1:1" x14ac:dyDescent="0.25">
      <c r="A983" t="s">
        <v>2278</v>
      </c>
    </row>
    <row r="984" spans="1:1" x14ac:dyDescent="0.25">
      <c r="A984" t="s">
        <v>2279</v>
      </c>
    </row>
    <row r="985" spans="1:1" x14ac:dyDescent="0.25">
      <c r="A985" t="s">
        <v>2280</v>
      </c>
    </row>
    <row r="986" spans="1:1" x14ac:dyDescent="0.25">
      <c r="A986" t="s">
        <v>2281</v>
      </c>
    </row>
    <row r="987" spans="1:1" x14ac:dyDescent="0.25">
      <c r="A987" t="s">
        <v>2282</v>
      </c>
    </row>
    <row r="988" spans="1:1" x14ac:dyDescent="0.25">
      <c r="A988" t="s">
        <v>2283</v>
      </c>
    </row>
    <row r="989" spans="1:1" x14ac:dyDescent="0.25">
      <c r="A989" t="s">
        <v>2284</v>
      </c>
    </row>
    <row r="990" spans="1:1" x14ac:dyDescent="0.25">
      <c r="A990" t="s">
        <v>2285</v>
      </c>
    </row>
    <row r="991" spans="1:1" x14ac:dyDescent="0.25">
      <c r="A991" t="s">
        <v>2286</v>
      </c>
    </row>
    <row r="992" spans="1:1" x14ac:dyDescent="0.25">
      <c r="A992" t="s">
        <v>2287</v>
      </c>
    </row>
    <row r="993" spans="1:1" x14ac:dyDescent="0.25">
      <c r="A993" t="s">
        <v>2288</v>
      </c>
    </row>
    <row r="994" spans="1:1" x14ac:dyDescent="0.25">
      <c r="A994" t="s">
        <v>2289</v>
      </c>
    </row>
    <row r="995" spans="1:1" x14ac:dyDescent="0.25">
      <c r="A995" t="s">
        <v>2290</v>
      </c>
    </row>
    <row r="996" spans="1:1" x14ac:dyDescent="0.25">
      <c r="A996" t="s">
        <v>2291</v>
      </c>
    </row>
    <row r="997" spans="1:1" x14ac:dyDescent="0.25">
      <c r="A997" t="s">
        <v>2292</v>
      </c>
    </row>
    <row r="998" spans="1:1" x14ac:dyDescent="0.25">
      <c r="A998" t="s">
        <v>2293</v>
      </c>
    </row>
    <row r="999" spans="1:1" x14ac:dyDescent="0.25">
      <c r="A999" t="s">
        <v>2294</v>
      </c>
    </row>
    <row r="1000" spans="1:1" x14ac:dyDescent="0.25">
      <c r="A1000" t="s">
        <v>2295</v>
      </c>
    </row>
    <row r="1001" spans="1:1" x14ac:dyDescent="0.25">
      <c r="A1001" t="s">
        <v>2296</v>
      </c>
    </row>
    <row r="1002" spans="1:1" x14ac:dyDescent="0.25">
      <c r="A1002" t="s">
        <v>2297</v>
      </c>
    </row>
    <row r="1003" spans="1:1" x14ac:dyDescent="0.25">
      <c r="A1003" t="s">
        <v>2298</v>
      </c>
    </row>
    <row r="1004" spans="1:1" x14ac:dyDescent="0.25">
      <c r="A1004" t="s">
        <v>2299</v>
      </c>
    </row>
    <row r="1005" spans="1:1" x14ac:dyDescent="0.25">
      <c r="A1005" t="s">
        <v>2300</v>
      </c>
    </row>
    <row r="1006" spans="1:1" x14ac:dyDescent="0.25">
      <c r="A1006" t="s">
        <v>2301</v>
      </c>
    </row>
    <row r="1007" spans="1:1" x14ac:dyDescent="0.25">
      <c r="A1007" t="s">
        <v>2302</v>
      </c>
    </row>
    <row r="1008" spans="1:1" x14ac:dyDescent="0.25">
      <c r="A1008" t="s">
        <v>2303</v>
      </c>
    </row>
    <row r="1009" spans="1:1" x14ac:dyDescent="0.25">
      <c r="A1009" t="s">
        <v>2304</v>
      </c>
    </row>
    <row r="1010" spans="1:1" x14ac:dyDescent="0.25">
      <c r="A1010" t="s">
        <v>2305</v>
      </c>
    </row>
    <row r="1011" spans="1:1" x14ac:dyDescent="0.25">
      <c r="A1011" t="s">
        <v>2306</v>
      </c>
    </row>
    <row r="1012" spans="1:1" x14ac:dyDescent="0.25">
      <c r="A1012" t="s">
        <v>2307</v>
      </c>
    </row>
    <row r="1013" spans="1:1" x14ac:dyDescent="0.25">
      <c r="A1013" t="s">
        <v>2308</v>
      </c>
    </row>
    <row r="1014" spans="1:1" x14ac:dyDescent="0.25">
      <c r="A1014" t="s">
        <v>2309</v>
      </c>
    </row>
    <row r="1015" spans="1:1" x14ac:dyDescent="0.25">
      <c r="A1015" t="s">
        <v>2310</v>
      </c>
    </row>
    <row r="1016" spans="1:1" x14ac:dyDescent="0.25">
      <c r="A1016" t="s">
        <v>2311</v>
      </c>
    </row>
    <row r="1017" spans="1:1" x14ac:dyDescent="0.25">
      <c r="A1017" t="s">
        <v>2312</v>
      </c>
    </row>
    <row r="1018" spans="1:1" x14ac:dyDescent="0.25">
      <c r="A1018" t="s">
        <v>2313</v>
      </c>
    </row>
    <row r="1019" spans="1:1" x14ac:dyDescent="0.25">
      <c r="A1019" t="s">
        <v>2314</v>
      </c>
    </row>
    <row r="1020" spans="1:1" x14ac:dyDescent="0.25">
      <c r="A1020" t="s">
        <v>2315</v>
      </c>
    </row>
    <row r="1021" spans="1:1" x14ac:dyDescent="0.25">
      <c r="A1021" t="s">
        <v>2316</v>
      </c>
    </row>
    <row r="1022" spans="1:1" x14ac:dyDescent="0.25">
      <c r="A1022" t="s">
        <v>2317</v>
      </c>
    </row>
    <row r="1023" spans="1:1" x14ac:dyDescent="0.25">
      <c r="A1023" t="s">
        <v>2318</v>
      </c>
    </row>
    <row r="1024" spans="1:1" x14ac:dyDescent="0.25">
      <c r="A1024" t="s">
        <v>2319</v>
      </c>
    </row>
    <row r="1025" spans="1:1" x14ac:dyDescent="0.25">
      <c r="A1025" t="s">
        <v>2320</v>
      </c>
    </row>
    <row r="1026" spans="1:1" x14ac:dyDescent="0.25">
      <c r="A1026" t="s">
        <v>2321</v>
      </c>
    </row>
    <row r="1027" spans="1:1" x14ac:dyDescent="0.25">
      <c r="A1027" t="s">
        <v>2322</v>
      </c>
    </row>
    <row r="1028" spans="1:1" x14ac:dyDescent="0.25">
      <c r="A1028" t="s">
        <v>2323</v>
      </c>
    </row>
    <row r="1029" spans="1:1" x14ac:dyDescent="0.25">
      <c r="A1029" t="s">
        <v>2324</v>
      </c>
    </row>
    <row r="1030" spans="1:1" x14ac:dyDescent="0.25">
      <c r="A1030" t="s">
        <v>2325</v>
      </c>
    </row>
    <row r="1031" spans="1:1" x14ac:dyDescent="0.25">
      <c r="A1031" t="s">
        <v>2326</v>
      </c>
    </row>
    <row r="1032" spans="1:1" x14ac:dyDescent="0.25">
      <c r="A1032" t="s">
        <v>2327</v>
      </c>
    </row>
    <row r="1033" spans="1:1" x14ac:dyDescent="0.25">
      <c r="A1033" t="s">
        <v>2328</v>
      </c>
    </row>
    <row r="1034" spans="1:1" x14ac:dyDescent="0.25">
      <c r="A1034" t="s">
        <v>2329</v>
      </c>
    </row>
    <row r="1035" spans="1:1" x14ac:dyDescent="0.25">
      <c r="A1035" t="s">
        <v>2330</v>
      </c>
    </row>
    <row r="1036" spans="1:1" x14ac:dyDescent="0.25">
      <c r="A1036" t="s">
        <v>2331</v>
      </c>
    </row>
    <row r="1037" spans="1:1" x14ac:dyDescent="0.25">
      <c r="A1037" t="s">
        <v>2332</v>
      </c>
    </row>
    <row r="1038" spans="1:1" x14ac:dyDescent="0.25">
      <c r="A1038" t="s">
        <v>2333</v>
      </c>
    </row>
    <row r="1039" spans="1:1" x14ac:dyDescent="0.25">
      <c r="A1039" t="s">
        <v>2334</v>
      </c>
    </row>
    <row r="1040" spans="1:1" x14ac:dyDescent="0.25">
      <c r="A1040" t="s">
        <v>2335</v>
      </c>
    </row>
    <row r="1041" spans="1:1" x14ac:dyDescent="0.25">
      <c r="A1041" t="s">
        <v>2336</v>
      </c>
    </row>
    <row r="1042" spans="1:1" x14ac:dyDescent="0.25">
      <c r="A1042" t="s">
        <v>2337</v>
      </c>
    </row>
    <row r="1043" spans="1:1" x14ac:dyDescent="0.25">
      <c r="A1043" t="s">
        <v>2338</v>
      </c>
    </row>
    <row r="1044" spans="1:1" x14ac:dyDescent="0.25">
      <c r="A1044" t="s">
        <v>2339</v>
      </c>
    </row>
    <row r="1045" spans="1:1" x14ac:dyDescent="0.25">
      <c r="A1045" t="s">
        <v>2340</v>
      </c>
    </row>
    <row r="1046" spans="1:1" x14ac:dyDescent="0.25">
      <c r="A1046" t="s">
        <v>2341</v>
      </c>
    </row>
    <row r="1047" spans="1:1" x14ac:dyDescent="0.25">
      <c r="A1047" t="s">
        <v>2342</v>
      </c>
    </row>
    <row r="1048" spans="1:1" x14ac:dyDescent="0.25">
      <c r="A1048" t="s">
        <v>2343</v>
      </c>
    </row>
    <row r="1049" spans="1:1" x14ac:dyDescent="0.25">
      <c r="A1049" t="s">
        <v>2344</v>
      </c>
    </row>
    <row r="1050" spans="1:1" x14ac:dyDescent="0.25">
      <c r="A1050" t="s">
        <v>2345</v>
      </c>
    </row>
    <row r="1051" spans="1:1" x14ac:dyDescent="0.25">
      <c r="A1051" t="s">
        <v>2346</v>
      </c>
    </row>
    <row r="1052" spans="1:1" x14ac:dyDescent="0.25">
      <c r="A1052" t="s">
        <v>2347</v>
      </c>
    </row>
    <row r="1053" spans="1:1" x14ac:dyDescent="0.25">
      <c r="A1053" t="s">
        <v>2348</v>
      </c>
    </row>
    <row r="1054" spans="1:1" x14ac:dyDescent="0.25">
      <c r="A1054" t="s">
        <v>2349</v>
      </c>
    </row>
    <row r="1055" spans="1:1" x14ac:dyDescent="0.25">
      <c r="A1055" t="s">
        <v>2350</v>
      </c>
    </row>
    <row r="1056" spans="1:1" x14ac:dyDescent="0.25">
      <c r="A1056" t="s">
        <v>2351</v>
      </c>
    </row>
    <row r="1057" spans="1:1" x14ac:dyDescent="0.25">
      <c r="A1057" t="s">
        <v>2352</v>
      </c>
    </row>
    <row r="1058" spans="1:1" x14ac:dyDescent="0.25">
      <c r="A1058" t="s">
        <v>2353</v>
      </c>
    </row>
    <row r="1059" spans="1:1" x14ac:dyDescent="0.25">
      <c r="A1059" t="s">
        <v>2354</v>
      </c>
    </row>
    <row r="1060" spans="1:1" x14ac:dyDescent="0.25">
      <c r="A1060" t="s">
        <v>2355</v>
      </c>
    </row>
    <row r="1061" spans="1:1" x14ac:dyDescent="0.25">
      <c r="A1061" t="s">
        <v>2356</v>
      </c>
    </row>
    <row r="1062" spans="1:1" x14ac:dyDescent="0.25">
      <c r="A1062" t="s">
        <v>2357</v>
      </c>
    </row>
    <row r="1063" spans="1:1" x14ac:dyDescent="0.25">
      <c r="A1063" t="s">
        <v>2358</v>
      </c>
    </row>
    <row r="1064" spans="1:1" x14ac:dyDescent="0.25">
      <c r="A1064" t="s">
        <v>2359</v>
      </c>
    </row>
    <row r="1065" spans="1:1" x14ac:dyDescent="0.25">
      <c r="A1065" t="s">
        <v>2360</v>
      </c>
    </row>
    <row r="1066" spans="1:1" x14ac:dyDescent="0.25">
      <c r="A1066" t="s">
        <v>2361</v>
      </c>
    </row>
    <row r="1067" spans="1:1" x14ac:dyDescent="0.25">
      <c r="A1067" t="s">
        <v>2362</v>
      </c>
    </row>
    <row r="1068" spans="1:1" x14ac:dyDescent="0.25">
      <c r="A1068" t="s">
        <v>2363</v>
      </c>
    </row>
    <row r="1069" spans="1:1" x14ac:dyDescent="0.25">
      <c r="A1069" t="s">
        <v>2364</v>
      </c>
    </row>
    <row r="1070" spans="1:1" x14ac:dyDescent="0.25">
      <c r="A1070" t="s">
        <v>2365</v>
      </c>
    </row>
    <row r="1071" spans="1:1" x14ac:dyDescent="0.25">
      <c r="A1071" t="s">
        <v>2366</v>
      </c>
    </row>
    <row r="1072" spans="1:1" x14ac:dyDescent="0.25">
      <c r="A1072" t="s">
        <v>2367</v>
      </c>
    </row>
    <row r="1073" spans="1:1" x14ac:dyDescent="0.25">
      <c r="A1073" t="s">
        <v>2368</v>
      </c>
    </row>
    <row r="1074" spans="1:1" x14ac:dyDescent="0.25">
      <c r="A1074" t="s">
        <v>2369</v>
      </c>
    </row>
    <row r="1075" spans="1:1" x14ac:dyDescent="0.25">
      <c r="A1075" t="s">
        <v>2370</v>
      </c>
    </row>
    <row r="1076" spans="1:1" x14ac:dyDescent="0.25">
      <c r="A1076" t="s">
        <v>2371</v>
      </c>
    </row>
    <row r="1077" spans="1:1" x14ac:dyDescent="0.25">
      <c r="A1077" t="s">
        <v>2372</v>
      </c>
    </row>
    <row r="1078" spans="1:1" x14ac:dyDescent="0.25">
      <c r="A1078" t="s">
        <v>2373</v>
      </c>
    </row>
    <row r="1079" spans="1:1" x14ac:dyDescent="0.25">
      <c r="A1079" t="s">
        <v>2374</v>
      </c>
    </row>
    <row r="1080" spans="1:1" x14ac:dyDescent="0.25">
      <c r="A1080" t="s">
        <v>2375</v>
      </c>
    </row>
    <row r="1081" spans="1:1" x14ac:dyDescent="0.25">
      <c r="A1081" t="s">
        <v>2376</v>
      </c>
    </row>
    <row r="1082" spans="1:1" x14ac:dyDescent="0.25">
      <c r="A1082" t="s">
        <v>2377</v>
      </c>
    </row>
    <row r="1083" spans="1:1" x14ac:dyDescent="0.25">
      <c r="A1083" t="s">
        <v>2378</v>
      </c>
    </row>
    <row r="1084" spans="1:1" x14ac:dyDescent="0.25">
      <c r="A1084" t="s">
        <v>2379</v>
      </c>
    </row>
    <row r="1085" spans="1:1" x14ac:dyDescent="0.25">
      <c r="A1085" t="s">
        <v>2380</v>
      </c>
    </row>
    <row r="1086" spans="1:1" x14ac:dyDescent="0.25">
      <c r="A1086" t="s">
        <v>2381</v>
      </c>
    </row>
    <row r="1087" spans="1:1" x14ac:dyDescent="0.25">
      <c r="A1087" t="s">
        <v>2382</v>
      </c>
    </row>
    <row r="1088" spans="1:1" x14ac:dyDescent="0.25">
      <c r="A1088" t="s">
        <v>2383</v>
      </c>
    </row>
    <row r="1089" spans="1:1" x14ac:dyDescent="0.25">
      <c r="A1089" t="s">
        <v>2384</v>
      </c>
    </row>
    <row r="1090" spans="1:1" x14ac:dyDescent="0.25">
      <c r="A1090" t="s">
        <v>2385</v>
      </c>
    </row>
    <row r="1091" spans="1:1" x14ac:dyDescent="0.25">
      <c r="A1091" t="s">
        <v>2386</v>
      </c>
    </row>
    <row r="1092" spans="1:1" x14ac:dyDescent="0.25">
      <c r="A1092" t="s">
        <v>2387</v>
      </c>
    </row>
    <row r="1093" spans="1:1" x14ac:dyDescent="0.25">
      <c r="A1093" t="s">
        <v>2388</v>
      </c>
    </row>
    <row r="1094" spans="1:1" x14ac:dyDescent="0.25">
      <c r="A1094" t="s">
        <v>2389</v>
      </c>
    </row>
    <row r="1095" spans="1:1" x14ac:dyDescent="0.25">
      <c r="A1095" t="s">
        <v>2390</v>
      </c>
    </row>
    <row r="1096" spans="1:1" x14ac:dyDescent="0.25">
      <c r="A1096" t="s">
        <v>2391</v>
      </c>
    </row>
    <row r="1097" spans="1:1" x14ac:dyDescent="0.25">
      <c r="A1097" t="s">
        <v>2392</v>
      </c>
    </row>
    <row r="1098" spans="1:1" x14ac:dyDescent="0.25">
      <c r="A1098" t="s">
        <v>2393</v>
      </c>
    </row>
    <row r="1099" spans="1:1" x14ac:dyDescent="0.25">
      <c r="A1099" t="s">
        <v>2394</v>
      </c>
    </row>
    <row r="1100" spans="1:1" x14ac:dyDescent="0.25">
      <c r="A1100" t="s">
        <v>2395</v>
      </c>
    </row>
    <row r="1101" spans="1:1" x14ac:dyDescent="0.25">
      <c r="A1101" t="s">
        <v>2396</v>
      </c>
    </row>
    <row r="1102" spans="1:1" x14ac:dyDescent="0.25">
      <c r="A1102" t="s">
        <v>2397</v>
      </c>
    </row>
    <row r="1103" spans="1:1" x14ac:dyDescent="0.25">
      <c r="A1103" t="s">
        <v>2398</v>
      </c>
    </row>
    <row r="1104" spans="1:1" x14ac:dyDescent="0.25">
      <c r="A1104" t="s">
        <v>2399</v>
      </c>
    </row>
    <row r="1105" spans="1:1" x14ac:dyDescent="0.25">
      <c r="A1105" t="s">
        <v>2400</v>
      </c>
    </row>
    <row r="1106" spans="1:1" x14ac:dyDescent="0.25">
      <c r="A1106" t="s">
        <v>2401</v>
      </c>
    </row>
    <row r="1107" spans="1:1" x14ac:dyDescent="0.25">
      <c r="A1107" t="s">
        <v>2402</v>
      </c>
    </row>
    <row r="1108" spans="1:1" x14ac:dyDescent="0.25">
      <c r="A1108" t="s">
        <v>2403</v>
      </c>
    </row>
    <row r="1109" spans="1:1" x14ac:dyDescent="0.25">
      <c r="A1109" t="s">
        <v>2404</v>
      </c>
    </row>
    <row r="1110" spans="1:1" x14ac:dyDescent="0.25">
      <c r="A1110" t="s">
        <v>2405</v>
      </c>
    </row>
    <row r="1111" spans="1:1" x14ac:dyDescent="0.25">
      <c r="A1111" t="s">
        <v>2406</v>
      </c>
    </row>
    <row r="1112" spans="1:1" x14ac:dyDescent="0.25">
      <c r="A1112" t="s">
        <v>2407</v>
      </c>
    </row>
    <row r="1113" spans="1:1" x14ac:dyDescent="0.25">
      <c r="A1113" t="s">
        <v>2408</v>
      </c>
    </row>
    <row r="1114" spans="1:1" x14ac:dyDescent="0.25">
      <c r="A1114" t="s">
        <v>2409</v>
      </c>
    </row>
    <row r="1115" spans="1:1" x14ac:dyDescent="0.25">
      <c r="A1115" t="s">
        <v>2410</v>
      </c>
    </row>
    <row r="1116" spans="1:1" x14ac:dyDescent="0.25">
      <c r="A1116" t="s">
        <v>2411</v>
      </c>
    </row>
    <row r="1117" spans="1:1" x14ac:dyDescent="0.25">
      <c r="A1117" t="s">
        <v>2412</v>
      </c>
    </row>
    <row r="1118" spans="1:1" x14ac:dyDescent="0.25">
      <c r="A1118" t="s">
        <v>2413</v>
      </c>
    </row>
    <row r="1119" spans="1:1" x14ac:dyDescent="0.25">
      <c r="A1119" t="s">
        <v>2414</v>
      </c>
    </row>
    <row r="1120" spans="1:1" x14ac:dyDescent="0.25">
      <c r="A1120" t="s">
        <v>2415</v>
      </c>
    </row>
    <row r="1121" spans="1:1" x14ac:dyDescent="0.25">
      <c r="A1121" t="s">
        <v>2416</v>
      </c>
    </row>
    <row r="1122" spans="1:1" x14ac:dyDescent="0.25">
      <c r="A1122" t="s">
        <v>2417</v>
      </c>
    </row>
    <row r="1123" spans="1:1" x14ac:dyDescent="0.25">
      <c r="A1123" t="s">
        <v>2418</v>
      </c>
    </row>
    <row r="1124" spans="1:1" x14ac:dyDescent="0.25">
      <c r="A1124" t="s">
        <v>2419</v>
      </c>
    </row>
    <row r="1125" spans="1:1" x14ac:dyDescent="0.25">
      <c r="A1125" t="s">
        <v>2420</v>
      </c>
    </row>
    <row r="1126" spans="1:1" x14ac:dyDescent="0.25">
      <c r="A1126" t="s">
        <v>2421</v>
      </c>
    </row>
    <row r="1127" spans="1:1" x14ac:dyDescent="0.25">
      <c r="A1127" t="s">
        <v>2422</v>
      </c>
    </row>
    <row r="1128" spans="1:1" x14ac:dyDescent="0.25">
      <c r="A1128" t="s">
        <v>2423</v>
      </c>
    </row>
    <row r="1129" spans="1:1" x14ac:dyDescent="0.25">
      <c r="A1129" t="s">
        <v>2424</v>
      </c>
    </row>
    <row r="1130" spans="1:1" x14ac:dyDescent="0.25">
      <c r="A1130" t="s">
        <v>2425</v>
      </c>
    </row>
    <row r="1131" spans="1:1" x14ac:dyDescent="0.25">
      <c r="A1131" t="s">
        <v>2426</v>
      </c>
    </row>
    <row r="1132" spans="1:1" x14ac:dyDescent="0.25">
      <c r="A1132" t="s">
        <v>2427</v>
      </c>
    </row>
    <row r="1133" spans="1:1" x14ac:dyDescent="0.25">
      <c r="A1133" t="s">
        <v>2428</v>
      </c>
    </row>
    <row r="1134" spans="1:1" x14ac:dyDescent="0.25">
      <c r="A1134" t="s">
        <v>2429</v>
      </c>
    </row>
    <row r="1135" spans="1:1" x14ac:dyDescent="0.25">
      <c r="A1135" t="s">
        <v>2430</v>
      </c>
    </row>
    <row r="1136" spans="1:1" x14ac:dyDescent="0.25">
      <c r="A1136" t="s">
        <v>2431</v>
      </c>
    </row>
    <row r="1137" spans="1:1" x14ac:dyDescent="0.25">
      <c r="A1137" t="s">
        <v>2432</v>
      </c>
    </row>
    <row r="1138" spans="1:1" x14ac:dyDescent="0.25">
      <c r="A1138" t="s">
        <v>2433</v>
      </c>
    </row>
    <row r="1139" spans="1:1" x14ac:dyDescent="0.25">
      <c r="A1139" t="s">
        <v>2434</v>
      </c>
    </row>
    <row r="1140" spans="1:1" x14ac:dyDescent="0.25">
      <c r="A1140" t="s">
        <v>2435</v>
      </c>
    </row>
    <row r="1141" spans="1:1" x14ac:dyDescent="0.25">
      <c r="A1141" t="s">
        <v>2436</v>
      </c>
    </row>
    <row r="1142" spans="1:1" x14ac:dyDescent="0.25">
      <c r="A1142" t="s">
        <v>2437</v>
      </c>
    </row>
    <row r="1143" spans="1:1" x14ac:dyDescent="0.25">
      <c r="A1143" t="s">
        <v>2438</v>
      </c>
    </row>
    <row r="1144" spans="1:1" x14ac:dyDescent="0.25">
      <c r="A1144" t="s">
        <v>2439</v>
      </c>
    </row>
    <row r="1145" spans="1:1" x14ac:dyDescent="0.25">
      <c r="A1145" t="s">
        <v>2440</v>
      </c>
    </row>
    <row r="1146" spans="1:1" x14ac:dyDescent="0.25">
      <c r="A1146" t="s">
        <v>2441</v>
      </c>
    </row>
    <row r="1147" spans="1:1" x14ac:dyDescent="0.25">
      <c r="A1147" t="s">
        <v>2442</v>
      </c>
    </row>
    <row r="1148" spans="1:1" x14ac:dyDescent="0.25">
      <c r="A1148" t="s">
        <v>2443</v>
      </c>
    </row>
    <row r="1149" spans="1:1" x14ac:dyDescent="0.25">
      <c r="A1149" t="s">
        <v>2444</v>
      </c>
    </row>
    <row r="1150" spans="1:1" x14ac:dyDescent="0.25">
      <c r="A1150" t="s">
        <v>2445</v>
      </c>
    </row>
    <row r="1151" spans="1:1" x14ac:dyDescent="0.25">
      <c r="A1151" t="s">
        <v>2446</v>
      </c>
    </row>
    <row r="1152" spans="1:1" x14ac:dyDescent="0.25">
      <c r="A1152" t="s">
        <v>2447</v>
      </c>
    </row>
    <row r="1153" spans="1:1" x14ac:dyDescent="0.25">
      <c r="A1153" t="s">
        <v>2448</v>
      </c>
    </row>
    <row r="1154" spans="1:1" x14ac:dyDescent="0.25">
      <c r="A1154" t="s">
        <v>2449</v>
      </c>
    </row>
    <row r="1155" spans="1:1" x14ac:dyDescent="0.25">
      <c r="A1155" t="s">
        <v>2450</v>
      </c>
    </row>
    <row r="1156" spans="1:1" x14ac:dyDescent="0.25">
      <c r="A1156" t="s">
        <v>2451</v>
      </c>
    </row>
    <row r="1157" spans="1:1" x14ac:dyDescent="0.25">
      <c r="A1157" t="s">
        <v>2452</v>
      </c>
    </row>
    <row r="1158" spans="1:1" x14ac:dyDescent="0.25">
      <c r="A1158" t="s">
        <v>2453</v>
      </c>
    </row>
    <row r="1159" spans="1:1" x14ac:dyDescent="0.25">
      <c r="A1159" t="s">
        <v>2454</v>
      </c>
    </row>
    <row r="1160" spans="1:1" x14ac:dyDescent="0.25">
      <c r="A1160" t="s">
        <v>2455</v>
      </c>
    </row>
    <row r="1161" spans="1:1" x14ac:dyDescent="0.25">
      <c r="A1161" t="s">
        <v>2456</v>
      </c>
    </row>
    <row r="1162" spans="1:1" x14ac:dyDescent="0.25">
      <c r="A1162" t="s">
        <v>2457</v>
      </c>
    </row>
    <row r="1163" spans="1:1" x14ac:dyDescent="0.25">
      <c r="A1163" t="s">
        <v>2458</v>
      </c>
    </row>
    <row r="1164" spans="1:1" x14ac:dyDescent="0.25">
      <c r="A1164" t="s">
        <v>2459</v>
      </c>
    </row>
    <row r="1165" spans="1:1" x14ac:dyDescent="0.25">
      <c r="A1165" t="s">
        <v>2460</v>
      </c>
    </row>
    <row r="1166" spans="1:1" x14ac:dyDescent="0.25">
      <c r="A1166" t="s">
        <v>2461</v>
      </c>
    </row>
    <row r="1167" spans="1:1" x14ac:dyDescent="0.25">
      <c r="A1167" t="s">
        <v>2462</v>
      </c>
    </row>
    <row r="1168" spans="1:1" x14ac:dyDescent="0.25">
      <c r="A1168" t="s">
        <v>2463</v>
      </c>
    </row>
    <row r="1169" spans="1:1" x14ac:dyDescent="0.25">
      <c r="A1169" t="s">
        <v>2464</v>
      </c>
    </row>
    <row r="1170" spans="1:1" x14ac:dyDescent="0.25">
      <c r="A1170" t="s">
        <v>2465</v>
      </c>
    </row>
    <row r="1171" spans="1:1" x14ac:dyDescent="0.25">
      <c r="A1171" t="s">
        <v>2466</v>
      </c>
    </row>
    <row r="1172" spans="1:1" x14ac:dyDescent="0.25">
      <c r="A1172" t="s">
        <v>2467</v>
      </c>
    </row>
    <row r="1173" spans="1:1" x14ac:dyDescent="0.25">
      <c r="A1173" t="s">
        <v>2468</v>
      </c>
    </row>
    <row r="1174" spans="1:1" x14ac:dyDescent="0.25">
      <c r="A1174" t="s">
        <v>2469</v>
      </c>
    </row>
    <row r="1175" spans="1:1" x14ac:dyDescent="0.25">
      <c r="A1175" t="s">
        <v>2470</v>
      </c>
    </row>
    <row r="1176" spans="1:1" x14ac:dyDescent="0.25">
      <c r="A1176" t="s">
        <v>2471</v>
      </c>
    </row>
    <row r="1177" spans="1:1" x14ac:dyDescent="0.25">
      <c r="A1177" t="s">
        <v>2472</v>
      </c>
    </row>
    <row r="1178" spans="1:1" x14ac:dyDescent="0.25">
      <c r="A1178" t="s">
        <v>2473</v>
      </c>
    </row>
    <row r="1179" spans="1:1" x14ac:dyDescent="0.25">
      <c r="A1179" t="s">
        <v>2474</v>
      </c>
    </row>
    <row r="1180" spans="1:1" x14ac:dyDescent="0.25">
      <c r="A1180" t="s">
        <v>2475</v>
      </c>
    </row>
    <row r="1181" spans="1:1" x14ac:dyDescent="0.25">
      <c r="A1181" t="s">
        <v>2476</v>
      </c>
    </row>
    <row r="1182" spans="1:1" x14ac:dyDescent="0.25">
      <c r="A1182" t="s">
        <v>2477</v>
      </c>
    </row>
    <row r="1183" spans="1:1" x14ac:dyDescent="0.25">
      <c r="A1183" t="s">
        <v>2478</v>
      </c>
    </row>
    <row r="1184" spans="1:1" x14ac:dyDescent="0.25">
      <c r="A1184" t="s">
        <v>2479</v>
      </c>
    </row>
    <row r="1185" spans="1:1" x14ac:dyDescent="0.25">
      <c r="A1185" t="s">
        <v>2480</v>
      </c>
    </row>
    <row r="1186" spans="1:1" x14ac:dyDescent="0.25">
      <c r="A1186" t="s">
        <v>2481</v>
      </c>
    </row>
    <row r="1187" spans="1:1" x14ac:dyDescent="0.25">
      <c r="A1187" t="s">
        <v>2482</v>
      </c>
    </row>
    <row r="1188" spans="1:1" x14ac:dyDescent="0.25">
      <c r="A1188" t="s">
        <v>2483</v>
      </c>
    </row>
    <row r="1189" spans="1:1" x14ac:dyDescent="0.25">
      <c r="A1189" t="s">
        <v>2484</v>
      </c>
    </row>
    <row r="1190" spans="1:1" x14ac:dyDescent="0.25">
      <c r="A1190" t="s">
        <v>2485</v>
      </c>
    </row>
    <row r="1191" spans="1:1" x14ac:dyDescent="0.25">
      <c r="A1191" t="s">
        <v>2486</v>
      </c>
    </row>
    <row r="1192" spans="1:1" x14ac:dyDescent="0.25">
      <c r="A1192" t="s">
        <v>2487</v>
      </c>
    </row>
    <row r="1193" spans="1:1" x14ac:dyDescent="0.25">
      <c r="A1193" t="s">
        <v>2488</v>
      </c>
    </row>
    <row r="1194" spans="1:1" x14ac:dyDescent="0.25">
      <c r="A1194" t="s">
        <v>2489</v>
      </c>
    </row>
    <row r="1195" spans="1:1" x14ac:dyDescent="0.25">
      <c r="A1195" t="s">
        <v>2490</v>
      </c>
    </row>
    <row r="1196" spans="1:1" x14ac:dyDescent="0.25">
      <c r="A1196" t="s">
        <v>2491</v>
      </c>
    </row>
    <row r="1197" spans="1:1" x14ac:dyDescent="0.25">
      <c r="A1197" t="s">
        <v>2492</v>
      </c>
    </row>
    <row r="1198" spans="1:1" x14ac:dyDescent="0.25">
      <c r="A1198" t="s">
        <v>2493</v>
      </c>
    </row>
    <row r="1199" spans="1:1" x14ac:dyDescent="0.25">
      <c r="A1199" t="s">
        <v>2494</v>
      </c>
    </row>
    <row r="1200" spans="1:1" x14ac:dyDescent="0.25">
      <c r="A1200" t="s">
        <v>2495</v>
      </c>
    </row>
    <row r="1201" spans="1:1" x14ac:dyDescent="0.25">
      <c r="A1201" t="s">
        <v>2496</v>
      </c>
    </row>
    <row r="1202" spans="1:1" x14ac:dyDescent="0.25">
      <c r="A1202" t="s">
        <v>2497</v>
      </c>
    </row>
    <row r="1203" spans="1:1" x14ac:dyDescent="0.25">
      <c r="A1203" t="s">
        <v>2498</v>
      </c>
    </row>
    <row r="1204" spans="1:1" x14ac:dyDescent="0.25">
      <c r="A1204" t="s">
        <v>2499</v>
      </c>
    </row>
    <row r="1205" spans="1:1" x14ac:dyDescent="0.25">
      <c r="A1205" t="s">
        <v>2500</v>
      </c>
    </row>
    <row r="1206" spans="1:1" x14ac:dyDescent="0.25">
      <c r="A1206" t="s">
        <v>2501</v>
      </c>
    </row>
    <row r="1207" spans="1:1" x14ac:dyDescent="0.25">
      <c r="A1207" t="s">
        <v>2502</v>
      </c>
    </row>
    <row r="1208" spans="1:1" x14ac:dyDescent="0.25">
      <c r="A1208" t="s">
        <v>2503</v>
      </c>
    </row>
    <row r="1209" spans="1:1" x14ac:dyDescent="0.25">
      <c r="A1209" t="s">
        <v>2504</v>
      </c>
    </row>
    <row r="1210" spans="1:1" x14ac:dyDescent="0.25">
      <c r="A1210" t="s">
        <v>2505</v>
      </c>
    </row>
    <row r="1211" spans="1:1" x14ac:dyDescent="0.25">
      <c r="A1211" t="s">
        <v>2506</v>
      </c>
    </row>
    <row r="1212" spans="1:1" x14ac:dyDescent="0.25">
      <c r="A1212" t="s">
        <v>2507</v>
      </c>
    </row>
    <row r="1213" spans="1:1" x14ac:dyDescent="0.25">
      <c r="A1213" t="s">
        <v>2508</v>
      </c>
    </row>
    <row r="1214" spans="1:1" x14ac:dyDescent="0.25">
      <c r="A1214" t="s">
        <v>2509</v>
      </c>
    </row>
    <row r="1215" spans="1:1" x14ac:dyDescent="0.25">
      <c r="A1215" t="s">
        <v>2510</v>
      </c>
    </row>
    <row r="1216" spans="1:1" x14ac:dyDescent="0.25">
      <c r="A1216" t="s">
        <v>2511</v>
      </c>
    </row>
    <row r="1217" spans="1:1" x14ac:dyDescent="0.25">
      <c r="A1217" t="s">
        <v>2512</v>
      </c>
    </row>
    <row r="1218" spans="1:1" x14ac:dyDescent="0.25">
      <c r="A1218" t="s">
        <v>2513</v>
      </c>
    </row>
    <row r="1219" spans="1:1" x14ac:dyDescent="0.25">
      <c r="A1219" t="s">
        <v>2514</v>
      </c>
    </row>
    <row r="1220" spans="1:1" x14ac:dyDescent="0.25">
      <c r="A1220" t="s">
        <v>2515</v>
      </c>
    </row>
    <row r="1221" spans="1:1" x14ac:dyDescent="0.25">
      <c r="A1221" t="s">
        <v>2516</v>
      </c>
    </row>
    <row r="1222" spans="1:1" x14ac:dyDescent="0.25">
      <c r="A1222" t="s">
        <v>2517</v>
      </c>
    </row>
    <row r="1223" spans="1:1" x14ac:dyDescent="0.25">
      <c r="A1223" t="s">
        <v>2518</v>
      </c>
    </row>
    <row r="1224" spans="1:1" x14ac:dyDescent="0.25">
      <c r="A1224" t="s">
        <v>2519</v>
      </c>
    </row>
    <row r="1225" spans="1:1" x14ac:dyDescent="0.25">
      <c r="A1225" t="s">
        <v>2520</v>
      </c>
    </row>
    <row r="1226" spans="1:1" x14ac:dyDescent="0.25">
      <c r="A1226" t="s">
        <v>2521</v>
      </c>
    </row>
    <row r="1227" spans="1:1" x14ac:dyDescent="0.25">
      <c r="A1227" t="s">
        <v>2522</v>
      </c>
    </row>
    <row r="1228" spans="1:1" x14ac:dyDescent="0.25">
      <c r="A1228" t="s">
        <v>2523</v>
      </c>
    </row>
    <row r="1229" spans="1:1" x14ac:dyDescent="0.25">
      <c r="A1229" t="s">
        <v>2524</v>
      </c>
    </row>
    <row r="1230" spans="1:1" x14ac:dyDescent="0.25">
      <c r="A1230" t="s">
        <v>2525</v>
      </c>
    </row>
    <row r="1231" spans="1:1" x14ac:dyDescent="0.25">
      <c r="A1231" t="s">
        <v>2526</v>
      </c>
    </row>
    <row r="1232" spans="1:1" x14ac:dyDescent="0.25">
      <c r="A1232" t="s">
        <v>2527</v>
      </c>
    </row>
    <row r="1233" spans="1:1" x14ac:dyDescent="0.25">
      <c r="A1233" t="s">
        <v>2528</v>
      </c>
    </row>
    <row r="1234" spans="1:1" x14ac:dyDescent="0.25">
      <c r="A1234" t="s">
        <v>2529</v>
      </c>
    </row>
    <row r="1235" spans="1:1" x14ac:dyDescent="0.25">
      <c r="A1235" t="s">
        <v>2530</v>
      </c>
    </row>
    <row r="1236" spans="1:1" x14ac:dyDescent="0.25">
      <c r="A1236" t="s">
        <v>2531</v>
      </c>
    </row>
    <row r="1237" spans="1:1" x14ac:dyDescent="0.25">
      <c r="A1237" t="s">
        <v>2532</v>
      </c>
    </row>
    <row r="1238" spans="1:1" x14ac:dyDescent="0.25">
      <c r="A1238" t="s">
        <v>2533</v>
      </c>
    </row>
    <row r="1239" spans="1:1" x14ac:dyDescent="0.25">
      <c r="A1239" t="s">
        <v>2534</v>
      </c>
    </row>
    <row r="1240" spans="1:1" x14ac:dyDescent="0.25">
      <c r="A1240" t="s">
        <v>2535</v>
      </c>
    </row>
    <row r="1241" spans="1:1" x14ac:dyDescent="0.25">
      <c r="A1241" t="s">
        <v>2536</v>
      </c>
    </row>
    <row r="1242" spans="1:1" x14ac:dyDescent="0.25">
      <c r="A1242" t="s">
        <v>2537</v>
      </c>
    </row>
    <row r="1243" spans="1:1" x14ac:dyDescent="0.25">
      <c r="A1243" t="s">
        <v>2538</v>
      </c>
    </row>
    <row r="1244" spans="1:1" x14ac:dyDescent="0.25">
      <c r="A1244" t="s">
        <v>2539</v>
      </c>
    </row>
    <row r="1245" spans="1:1" x14ac:dyDescent="0.25">
      <c r="A1245" t="s">
        <v>2540</v>
      </c>
    </row>
    <row r="1246" spans="1:1" x14ac:dyDescent="0.25">
      <c r="A1246" t="s">
        <v>2541</v>
      </c>
    </row>
    <row r="1247" spans="1:1" x14ac:dyDescent="0.25">
      <c r="A1247" t="s">
        <v>2542</v>
      </c>
    </row>
    <row r="1248" spans="1:1" x14ac:dyDescent="0.25">
      <c r="A1248" t="s">
        <v>2543</v>
      </c>
    </row>
    <row r="1249" spans="1:1" x14ac:dyDescent="0.25">
      <c r="A1249" t="s">
        <v>2544</v>
      </c>
    </row>
    <row r="1250" spans="1:1" x14ac:dyDescent="0.25">
      <c r="A1250" t="s">
        <v>2545</v>
      </c>
    </row>
    <row r="1251" spans="1:1" x14ac:dyDescent="0.25">
      <c r="A1251" t="s">
        <v>2546</v>
      </c>
    </row>
    <row r="1252" spans="1:1" x14ac:dyDescent="0.25">
      <c r="A1252" t="s">
        <v>2547</v>
      </c>
    </row>
    <row r="1253" spans="1:1" x14ac:dyDescent="0.25">
      <c r="A1253" t="s">
        <v>2548</v>
      </c>
    </row>
    <row r="1254" spans="1:1" x14ac:dyDescent="0.25">
      <c r="A1254" t="s">
        <v>2549</v>
      </c>
    </row>
    <row r="1255" spans="1:1" x14ac:dyDescent="0.25">
      <c r="A1255" t="s">
        <v>2550</v>
      </c>
    </row>
    <row r="1256" spans="1:1" x14ac:dyDescent="0.25">
      <c r="A1256" t="s">
        <v>2551</v>
      </c>
    </row>
    <row r="1257" spans="1:1" x14ac:dyDescent="0.25">
      <c r="A1257" t="s">
        <v>2552</v>
      </c>
    </row>
    <row r="1258" spans="1:1" x14ac:dyDescent="0.25">
      <c r="A1258" t="s">
        <v>2553</v>
      </c>
    </row>
    <row r="1259" spans="1:1" x14ac:dyDescent="0.25">
      <c r="A1259" t="s">
        <v>2554</v>
      </c>
    </row>
    <row r="1260" spans="1:1" x14ac:dyDescent="0.25">
      <c r="A1260" t="s">
        <v>2555</v>
      </c>
    </row>
    <row r="1261" spans="1:1" x14ac:dyDescent="0.25">
      <c r="A1261" t="s">
        <v>2556</v>
      </c>
    </row>
    <row r="1262" spans="1:1" x14ac:dyDescent="0.25">
      <c r="A1262" t="s">
        <v>2557</v>
      </c>
    </row>
    <row r="1263" spans="1:1" x14ac:dyDescent="0.25">
      <c r="A1263" t="s">
        <v>2558</v>
      </c>
    </row>
    <row r="1264" spans="1:1" x14ac:dyDescent="0.25">
      <c r="A1264" t="s">
        <v>2559</v>
      </c>
    </row>
    <row r="1265" spans="1:1" x14ac:dyDescent="0.25">
      <c r="A1265" t="s">
        <v>2560</v>
      </c>
    </row>
    <row r="1266" spans="1:1" x14ac:dyDescent="0.25">
      <c r="A1266" t="s">
        <v>2561</v>
      </c>
    </row>
    <row r="1267" spans="1:1" x14ac:dyDescent="0.25">
      <c r="A1267" t="s">
        <v>2562</v>
      </c>
    </row>
    <row r="1268" spans="1:1" x14ac:dyDescent="0.25">
      <c r="A1268" t="s">
        <v>2563</v>
      </c>
    </row>
    <row r="1269" spans="1:1" x14ac:dyDescent="0.25">
      <c r="A1269" t="s">
        <v>2564</v>
      </c>
    </row>
    <row r="1270" spans="1:1" x14ac:dyDescent="0.25">
      <c r="A1270" t="s">
        <v>2565</v>
      </c>
    </row>
    <row r="1271" spans="1:1" x14ac:dyDescent="0.25">
      <c r="A1271" t="s">
        <v>2566</v>
      </c>
    </row>
    <row r="1272" spans="1:1" x14ac:dyDescent="0.25">
      <c r="A1272" t="s">
        <v>2567</v>
      </c>
    </row>
    <row r="1273" spans="1:1" x14ac:dyDescent="0.25">
      <c r="A1273" t="s">
        <v>2568</v>
      </c>
    </row>
    <row r="1274" spans="1:1" x14ac:dyDescent="0.25">
      <c r="A1274" t="s">
        <v>2569</v>
      </c>
    </row>
    <row r="1275" spans="1:1" x14ac:dyDescent="0.25">
      <c r="A1275" t="s">
        <v>2570</v>
      </c>
    </row>
    <row r="1276" spans="1:1" x14ac:dyDescent="0.25">
      <c r="A1276" t="s">
        <v>2571</v>
      </c>
    </row>
    <row r="1277" spans="1:1" x14ac:dyDescent="0.25">
      <c r="A1277" t="s">
        <v>2572</v>
      </c>
    </row>
    <row r="1278" spans="1:1" x14ac:dyDescent="0.25">
      <c r="A1278" t="s">
        <v>2573</v>
      </c>
    </row>
    <row r="1279" spans="1:1" x14ac:dyDescent="0.25">
      <c r="A1279" t="s">
        <v>2574</v>
      </c>
    </row>
    <row r="1280" spans="1:1" x14ac:dyDescent="0.25">
      <c r="A1280" t="s">
        <v>2575</v>
      </c>
    </row>
    <row r="1281" spans="1:1" x14ac:dyDescent="0.25">
      <c r="A1281" t="s">
        <v>2576</v>
      </c>
    </row>
    <row r="1282" spans="1:1" x14ac:dyDescent="0.25">
      <c r="A1282" t="s">
        <v>2577</v>
      </c>
    </row>
    <row r="1283" spans="1:1" x14ac:dyDescent="0.25">
      <c r="A1283" t="s">
        <v>2578</v>
      </c>
    </row>
    <row r="1284" spans="1:1" x14ac:dyDescent="0.25">
      <c r="A1284" t="s">
        <v>2579</v>
      </c>
    </row>
    <row r="1285" spans="1:1" x14ac:dyDescent="0.25">
      <c r="A1285" t="s">
        <v>2580</v>
      </c>
    </row>
    <row r="1286" spans="1:1" x14ac:dyDescent="0.25">
      <c r="A1286" t="s">
        <v>2581</v>
      </c>
    </row>
    <row r="1287" spans="1:1" x14ac:dyDescent="0.25">
      <c r="A1287" t="s">
        <v>2582</v>
      </c>
    </row>
    <row r="1288" spans="1:1" x14ac:dyDescent="0.25">
      <c r="A1288" t="s">
        <v>2583</v>
      </c>
    </row>
    <row r="1289" spans="1:1" x14ac:dyDescent="0.25">
      <c r="A1289" t="s">
        <v>2584</v>
      </c>
    </row>
    <row r="1290" spans="1:1" x14ac:dyDescent="0.25">
      <c r="A1290" t="s">
        <v>2585</v>
      </c>
    </row>
    <row r="1291" spans="1:1" x14ac:dyDescent="0.25">
      <c r="A1291" t="s">
        <v>2586</v>
      </c>
    </row>
    <row r="1292" spans="1:1" x14ac:dyDescent="0.25">
      <c r="A1292" t="s">
        <v>2587</v>
      </c>
    </row>
    <row r="1293" spans="1:1" x14ac:dyDescent="0.25">
      <c r="A1293" t="s">
        <v>2588</v>
      </c>
    </row>
    <row r="1294" spans="1:1" x14ac:dyDescent="0.25">
      <c r="A1294" t="s">
        <v>2589</v>
      </c>
    </row>
    <row r="1295" spans="1:1" x14ac:dyDescent="0.25">
      <c r="A1295" t="s">
        <v>2590</v>
      </c>
    </row>
    <row r="1296" spans="1:1" x14ac:dyDescent="0.25">
      <c r="A1296" t="s">
        <v>2591</v>
      </c>
    </row>
    <row r="1297" spans="1:1" x14ac:dyDescent="0.25">
      <c r="A1297" t="s">
        <v>2592</v>
      </c>
    </row>
    <row r="1298" spans="1:1" x14ac:dyDescent="0.25">
      <c r="A1298" t="s">
        <v>2593</v>
      </c>
    </row>
    <row r="1299" spans="1:1" x14ac:dyDescent="0.25">
      <c r="A1299" t="s">
        <v>2594</v>
      </c>
    </row>
    <row r="1300" spans="1:1" x14ac:dyDescent="0.25">
      <c r="A1300" t="s">
        <v>2595</v>
      </c>
    </row>
    <row r="1301" spans="1:1" x14ac:dyDescent="0.25">
      <c r="A1301" t="s">
        <v>2596</v>
      </c>
    </row>
    <row r="1302" spans="1:1" x14ac:dyDescent="0.25">
      <c r="A1302" t="s">
        <v>2597</v>
      </c>
    </row>
    <row r="1303" spans="1:1" x14ac:dyDescent="0.25">
      <c r="A1303" t="s">
        <v>2598</v>
      </c>
    </row>
    <row r="1304" spans="1:1" x14ac:dyDescent="0.25">
      <c r="A1304" t="s">
        <v>2599</v>
      </c>
    </row>
    <row r="1305" spans="1:1" x14ac:dyDescent="0.25">
      <c r="A1305" t="s">
        <v>2600</v>
      </c>
    </row>
    <row r="1306" spans="1:1" x14ac:dyDescent="0.25">
      <c r="A1306" t="s">
        <v>2601</v>
      </c>
    </row>
    <row r="1307" spans="1:1" x14ac:dyDescent="0.25">
      <c r="A1307" t="s">
        <v>2602</v>
      </c>
    </row>
    <row r="1308" spans="1:1" x14ac:dyDescent="0.25">
      <c r="A1308" t="s">
        <v>2603</v>
      </c>
    </row>
    <row r="1309" spans="1:1" x14ac:dyDescent="0.25">
      <c r="A1309" t="s">
        <v>2604</v>
      </c>
    </row>
    <row r="1310" spans="1:1" x14ac:dyDescent="0.25">
      <c r="A1310" t="s">
        <v>2605</v>
      </c>
    </row>
    <row r="1311" spans="1:1" x14ac:dyDescent="0.25">
      <c r="A1311" t="s">
        <v>2606</v>
      </c>
    </row>
    <row r="1312" spans="1:1" x14ac:dyDescent="0.25">
      <c r="A1312" t="s">
        <v>2607</v>
      </c>
    </row>
    <row r="1313" spans="1:1" x14ac:dyDescent="0.25">
      <c r="A1313" t="s">
        <v>2608</v>
      </c>
    </row>
    <row r="1314" spans="1:1" x14ac:dyDescent="0.25">
      <c r="A1314" t="s">
        <v>2609</v>
      </c>
    </row>
    <row r="1315" spans="1:1" x14ac:dyDescent="0.25">
      <c r="A1315" t="s">
        <v>2610</v>
      </c>
    </row>
    <row r="1316" spans="1:1" x14ac:dyDescent="0.25">
      <c r="A1316" t="s">
        <v>2611</v>
      </c>
    </row>
    <row r="1317" spans="1:1" x14ac:dyDescent="0.25">
      <c r="A1317" t="s">
        <v>2612</v>
      </c>
    </row>
    <row r="1318" spans="1:1" x14ac:dyDescent="0.25">
      <c r="A1318" t="s">
        <v>2613</v>
      </c>
    </row>
    <row r="1319" spans="1:1" x14ac:dyDescent="0.25">
      <c r="A1319" t="s">
        <v>2614</v>
      </c>
    </row>
    <row r="1320" spans="1:1" x14ac:dyDescent="0.25">
      <c r="A1320" t="s">
        <v>2615</v>
      </c>
    </row>
    <row r="1321" spans="1:1" x14ac:dyDescent="0.25">
      <c r="A1321" t="s">
        <v>2616</v>
      </c>
    </row>
    <row r="1322" spans="1:1" x14ac:dyDescent="0.25">
      <c r="A1322" t="s">
        <v>2617</v>
      </c>
    </row>
    <row r="1323" spans="1:1" x14ac:dyDescent="0.25">
      <c r="A1323" t="s">
        <v>2618</v>
      </c>
    </row>
    <row r="1324" spans="1:1" x14ac:dyDescent="0.25">
      <c r="A1324" t="s">
        <v>2619</v>
      </c>
    </row>
    <row r="1325" spans="1:1" x14ac:dyDescent="0.25">
      <c r="A1325" t="s">
        <v>2620</v>
      </c>
    </row>
    <row r="1326" spans="1:1" x14ac:dyDescent="0.25">
      <c r="A1326" t="s">
        <v>2621</v>
      </c>
    </row>
    <row r="1327" spans="1:1" x14ac:dyDescent="0.25">
      <c r="A1327" t="s">
        <v>2622</v>
      </c>
    </row>
    <row r="1328" spans="1:1" x14ac:dyDescent="0.25">
      <c r="A1328" t="s">
        <v>2623</v>
      </c>
    </row>
    <row r="1329" spans="1:1" x14ac:dyDescent="0.25">
      <c r="A1329" t="s">
        <v>2624</v>
      </c>
    </row>
    <row r="1330" spans="1:1" x14ac:dyDescent="0.25">
      <c r="A1330" t="s">
        <v>2625</v>
      </c>
    </row>
    <row r="1331" spans="1:1" x14ac:dyDescent="0.25">
      <c r="A1331" t="s">
        <v>2626</v>
      </c>
    </row>
    <row r="1332" spans="1:1" x14ac:dyDescent="0.25">
      <c r="A1332" t="s">
        <v>2627</v>
      </c>
    </row>
    <row r="1333" spans="1:1" x14ac:dyDescent="0.25">
      <c r="A1333" t="s">
        <v>2628</v>
      </c>
    </row>
    <row r="1334" spans="1:1" x14ac:dyDescent="0.25">
      <c r="A1334" t="s">
        <v>2629</v>
      </c>
    </row>
    <row r="1335" spans="1:1" x14ac:dyDescent="0.25">
      <c r="A1335" t="s">
        <v>2630</v>
      </c>
    </row>
    <row r="1336" spans="1:1" x14ac:dyDescent="0.25">
      <c r="A1336" t="s">
        <v>2631</v>
      </c>
    </row>
    <row r="1337" spans="1:1" x14ac:dyDescent="0.25">
      <c r="A1337" t="s">
        <v>2632</v>
      </c>
    </row>
    <row r="1338" spans="1:1" x14ac:dyDescent="0.25">
      <c r="A1338" t="s">
        <v>2633</v>
      </c>
    </row>
    <row r="1339" spans="1:1" x14ac:dyDescent="0.25">
      <c r="A1339" t="s">
        <v>2634</v>
      </c>
    </row>
    <row r="1340" spans="1:1" x14ac:dyDescent="0.25">
      <c r="A1340" t="s">
        <v>2635</v>
      </c>
    </row>
    <row r="1341" spans="1:1" x14ac:dyDescent="0.25">
      <c r="A1341" t="s">
        <v>2636</v>
      </c>
    </row>
    <row r="1342" spans="1:1" x14ac:dyDescent="0.25">
      <c r="A1342" t="s">
        <v>2637</v>
      </c>
    </row>
    <row r="1343" spans="1:1" x14ac:dyDescent="0.25">
      <c r="A1343" t="s">
        <v>2638</v>
      </c>
    </row>
    <row r="1344" spans="1:1" x14ac:dyDescent="0.25">
      <c r="A1344" t="s">
        <v>2639</v>
      </c>
    </row>
    <row r="1345" spans="1:1" x14ac:dyDescent="0.25">
      <c r="A1345" t="s">
        <v>2640</v>
      </c>
    </row>
    <row r="1346" spans="1:1" x14ac:dyDescent="0.25">
      <c r="A1346" t="s">
        <v>2641</v>
      </c>
    </row>
    <row r="1347" spans="1:1" x14ac:dyDescent="0.25">
      <c r="A1347" t="s">
        <v>2642</v>
      </c>
    </row>
    <row r="1348" spans="1:1" x14ac:dyDescent="0.25">
      <c r="A1348" t="s">
        <v>2643</v>
      </c>
    </row>
    <row r="1349" spans="1:1" x14ac:dyDescent="0.25">
      <c r="A1349" t="s">
        <v>2644</v>
      </c>
    </row>
    <row r="1350" spans="1:1" x14ac:dyDescent="0.25">
      <c r="A1350" t="s">
        <v>2645</v>
      </c>
    </row>
    <row r="1351" spans="1:1" x14ac:dyDescent="0.25">
      <c r="A1351" t="s">
        <v>2646</v>
      </c>
    </row>
    <row r="1352" spans="1:1" x14ac:dyDescent="0.25">
      <c r="A1352" t="s">
        <v>2647</v>
      </c>
    </row>
    <row r="1353" spans="1:1" x14ac:dyDescent="0.25">
      <c r="A1353" t="s">
        <v>2648</v>
      </c>
    </row>
    <row r="1354" spans="1:1" x14ac:dyDescent="0.25">
      <c r="A1354" t="s">
        <v>2649</v>
      </c>
    </row>
    <row r="1355" spans="1:1" x14ac:dyDescent="0.25">
      <c r="A1355" t="s">
        <v>2650</v>
      </c>
    </row>
    <row r="1356" spans="1:1" x14ac:dyDescent="0.25">
      <c r="A1356" t="s">
        <v>2651</v>
      </c>
    </row>
    <row r="1357" spans="1:1" x14ac:dyDescent="0.25">
      <c r="A1357" t="s">
        <v>2652</v>
      </c>
    </row>
    <row r="1358" spans="1:1" x14ac:dyDescent="0.25">
      <c r="A1358" t="s">
        <v>2653</v>
      </c>
    </row>
    <row r="1359" spans="1:1" x14ac:dyDescent="0.25">
      <c r="A1359" t="s">
        <v>2654</v>
      </c>
    </row>
    <row r="1360" spans="1:1" x14ac:dyDescent="0.25">
      <c r="A1360" t="s">
        <v>2655</v>
      </c>
    </row>
    <row r="1361" spans="1:1" x14ac:dyDescent="0.25">
      <c r="A1361" t="s">
        <v>2656</v>
      </c>
    </row>
    <row r="1362" spans="1:1" x14ac:dyDescent="0.25">
      <c r="A1362" t="s">
        <v>2657</v>
      </c>
    </row>
    <row r="1363" spans="1:1" x14ac:dyDescent="0.25">
      <c r="A1363" t="s">
        <v>2658</v>
      </c>
    </row>
    <row r="1364" spans="1:1" x14ac:dyDescent="0.25">
      <c r="A1364" t="s">
        <v>2659</v>
      </c>
    </row>
    <row r="1365" spans="1:1" x14ac:dyDescent="0.25">
      <c r="A1365" t="s">
        <v>2660</v>
      </c>
    </row>
    <row r="1366" spans="1:1" x14ac:dyDescent="0.25">
      <c r="A1366" t="s">
        <v>2661</v>
      </c>
    </row>
    <row r="1367" spans="1:1" x14ac:dyDescent="0.25">
      <c r="A1367" t="s">
        <v>2662</v>
      </c>
    </row>
    <row r="1368" spans="1:1" x14ac:dyDescent="0.25">
      <c r="A1368" t="s">
        <v>2663</v>
      </c>
    </row>
    <row r="1369" spans="1:1" x14ac:dyDescent="0.25">
      <c r="A1369" t="s">
        <v>2664</v>
      </c>
    </row>
    <row r="1370" spans="1:1" x14ac:dyDescent="0.25">
      <c r="A1370" t="s">
        <v>2665</v>
      </c>
    </row>
    <row r="1371" spans="1:1" x14ac:dyDescent="0.25">
      <c r="A1371" t="s">
        <v>2666</v>
      </c>
    </row>
    <row r="1372" spans="1:1" x14ac:dyDescent="0.25">
      <c r="A1372" t="s">
        <v>2667</v>
      </c>
    </row>
    <row r="1373" spans="1:1" x14ac:dyDescent="0.25">
      <c r="A1373" t="s">
        <v>2668</v>
      </c>
    </row>
    <row r="1374" spans="1:1" x14ac:dyDescent="0.25">
      <c r="A1374" t="s">
        <v>2669</v>
      </c>
    </row>
    <row r="1375" spans="1:1" x14ac:dyDescent="0.25">
      <c r="A1375" t="s">
        <v>2670</v>
      </c>
    </row>
    <row r="1376" spans="1:1" x14ac:dyDescent="0.25">
      <c r="A1376" t="s">
        <v>2671</v>
      </c>
    </row>
    <row r="1377" spans="1:1" x14ac:dyDescent="0.25">
      <c r="A1377" t="s">
        <v>2672</v>
      </c>
    </row>
    <row r="1378" spans="1:1" x14ac:dyDescent="0.25">
      <c r="A1378" t="s">
        <v>2673</v>
      </c>
    </row>
    <row r="1379" spans="1:1" x14ac:dyDescent="0.25">
      <c r="A1379" t="s">
        <v>2674</v>
      </c>
    </row>
    <row r="1380" spans="1:1" x14ac:dyDescent="0.25">
      <c r="A1380" t="s">
        <v>2675</v>
      </c>
    </row>
    <row r="1381" spans="1:1" x14ac:dyDescent="0.25">
      <c r="A1381" t="s">
        <v>2676</v>
      </c>
    </row>
    <row r="1382" spans="1:1" x14ac:dyDescent="0.25">
      <c r="A1382" t="s">
        <v>2677</v>
      </c>
    </row>
    <row r="1383" spans="1:1" x14ac:dyDescent="0.25">
      <c r="A1383" t="s">
        <v>2678</v>
      </c>
    </row>
    <row r="1384" spans="1:1" x14ac:dyDescent="0.25">
      <c r="A1384" t="s">
        <v>2679</v>
      </c>
    </row>
    <row r="1385" spans="1:1" x14ac:dyDescent="0.25">
      <c r="A1385" t="s">
        <v>2680</v>
      </c>
    </row>
    <row r="1386" spans="1:1" x14ac:dyDescent="0.25">
      <c r="A1386" t="s">
        <v>2681</v>
      </c>
    </row>
    <row r="1387" spans="1:1" x14ac:dyDescent="0.25">
      <c r="A1387" t="s">
        <v>2682</v>
      </c>
    </row>
    <row r="1388" spans="1:1" x14ac:dyDescent="0.25">
      <c r="A1388" t="s">
        <v>2683</v>
      </c>
    </row>
    <row r="1389" spans="1:1" x14ac:dyDescent="0.25">
      <c r="A1389" t="s">
        <v>2684</v>
      </c>
    </row>
    <row r="1390" spans="1:1" x14ac:dyDescent="0.25">
      <c r="A1390" t="s">
        <v>2685</v>
      </c>
    </row>
    <row r="1391" spans="1:1" x14ac:dyDescent="0.25">
      <c r="A1391" t="s">
        <v>2686</v>
      </c>
    </row>
    <row r="1392" spans="1:1" x14ac:dyDescent="0.25">
      <c r="A1392" t="s">
        <v>2687</v>
      </c>
    </row>
    <row r="1393" spans="1:1" x14ac:dyDescent="0.25">
      <c r="A1393" t="s">
        <v>2688</v>
      </c>
    </row>
    <row r="1394" spans="1:1" x14ac:dyDescent="0.25">
      <c r="A1394" t="s">
        <v>2689</v>
      </c>
    </row>
    <row r="1395" spans="1:1" x14ac:dyDescent="0.25">
      <c r="A1395" t="s">
        <v>2690</v>
      </c>
    </row>
    <row r="1396" spans="1:1" x14ac:dyDescent="0.25">
      <c r="A1396" t="s">
        <v>2691</v>
      </c>
    </row>
    <row r="1397" spans="1:1" x14ac:dyDescent="0.25">
      <c r="A1397" t="s">
        <v>2692</v>
      </c>
    </row>
    <row r="1398" spans="1:1" x14ac:dyDescent="0.25">
      <c r="A1398" t="s">
        <v>2693</v>
      </c>
    </row>
    <row r="1399" spans="1:1" x14ac:dyDescent="0.25">
      <c r="A1399" t="s">
        <v>2694</v>
      </c>
    </row>
    <row r="1400" spans="1:1" x14ac:dyDescent="0.25">
      <c r="A1400" t="s">
        <v>2695</v>
      </c>
    </row>
    <row r="1401" spans="1:1" x14ac:dyDescent="0.25">
      <c r="A1401" t="s">
        <v>2696</v>
      </c>
    </row>
    <row r="1402" spans="1:1" x14ac:dyDescent="0.25">
      <c r="A1402" t="s">
        <v>2697</v>
      </c>
    </row>
    <row r="1403" spans="1:1" x14ac:dyDescent="0.25">
      <c r="A1403" t="s">
        <v>2698</v>
      </c>
    </row>
    <row r="1404" spans="1:1" x14ac:dyDescent="0.25">
      <c r="A1404" t="s">
        <v>2699</v>
      </c>
    </row>
    <row r="1405" spans="1:1" x14ac:dyDescent="0.25">
      <c r="A1405" t="s">
        <v>2700</v>
      </c>
    </row>
    <row r="1406" spans="1:1" x14ac:dyDescent="0.25">
      <c r="A1406" t="s">
        <v>2701</v>
      </c>
    </row>
    <row r="1407" spans="1:1" x14ac:dyDescent="0.25">
      <c r="A1407" t="s">
        <v>2702</v>
      </c>
    </row>
    <row r="1408" spans="1:1" x14ac:dyDescent="0.25">
      <c r="A1408" t="s">
        <v>2703</v>
      </c>
    </row>
    <row r="1409" spans="1:1" x14ac:dyDescent="0.25">
      <c r="A1409" t="s">
        <v>2704</v>
      </c>
    </row>
    <row r="1410" spans="1:1" x14ac:dyDescent="0.25">
      <c r="A1410" t="s">
        <v>2705</v>
      </c>
    </row>
    <row r="1411" spans="1:1" x14ac:dyDescent="0.25">
      <c r="A1411" t="s">
        <v>2706</v>
      </c>
    </row>
    <row r="1412" spans="1:1" x14ac:dyDescent="0.25">
      <c r="A1412" t="s">
        <v>2707</v>
      </c>
    </row>
    <row r="1413" spans="1:1" x14ac:dyDescent="0.25">
      <c r="A1413" t="s">
        <v>2708</v>
      </c>
    </row>
    <row r="1414" spans="1:1" x14ac:dyDescent="0.25">
      <c r="A1414" t="s">
        <v>2709</v>
      </c>
    </row>
    <row r="1415" spans="1:1" x14ac:dyDescent="0.25">
      <c r="A1415" t="s">
        <v>2710</v>
      </c>
    </row>
    <row r="1416" spans="1:1" x14ac:dyDescent="0.25">
      <c r="A1416" t="s">
        <v>2711</v>
      </c>
    </row>
    <row r="1417" spans="1:1" x14ac:dyDescent="0.25">
      <c r="A1417" t="s">
        <v>2712</v>
      </c>
    </row>
    <row r="1418" spans="1:1" x14ac:dyDescent="0.25">
      <c r="A1418" t="s">
        <v>2713</v>
      </c>
    </row>
    <row r="1419" spans="1:1" x14ac:dyDescent="0.25">
      <c r="A1419" t="s">
        <v>2714</v>
      </c>
    </row>
    <row r="1420" spans="1:1" x14ac:dyDescent="0.25">
      <c r="A1420" t="s">
        <v>2715</v>
      </c>
    </row>
    <row r="1421" spans="1:1" x14ac:dyDescent="0.25">
      <c r="A1421" t="s">
        <v>2716</v>
      </c>
    </row>
    <row r="1422" spans="1:1" x14ac:dyDescent="0.25">
      <c r="A1422" t="s">
        <v>2717</v>
      </c>
    </row>
    <row r="1423" spans="1:1" x14ac:dyDescent="0.25">
      <c r="A1423" t="s">
        <v>2718</v>
      </c>
    </row>
    <row r="1424" spans="1:1" x14ac:dyDescent="0.25">
      <c r="A1424" t="s">
        <v>2719</v>
      </c>
    </row>
    <row r="1425" spans="1:1" x14ac:dyDescent="0.25">
      <c r="A1425" t="s">
        <v>2720</v>
      </c>
    </row>
    <row r="1426" spans="1:1" x14ac:dyDescent="0.25">
      <c r="A1426" t="s">
        <v>2721</v>
      </c>
    </row>
    <row r="1427" spans="1:1" x14ac:dyDescent="0.25">
      <c r="A1427" t="s">
        <v>2722</v>
      </c>
    </row>
    <row r="1428" spans="1:1" x14ac:dyDescent="0.25">
      <c r="A1428" t="s">
        <v>2723</v>
      </c>
    </row>
    <row r="1429" spans="1:1" x14ac:dyDescent="0.25">
      <c r="A1429" t="s">
        <v>2724</v>
      </c>
    </row>
    <row r="1430" spans="1:1" x14ac:dyDescent="0.25">
      <c r="A1430" t="s">
        <v>2725</v>
      </c>
    </row>
    <row r="1431" spans="1:1" x14ac:dyDescent="0.25">
      <c r="A1431" t="s">
        <v>2726</v>
      </c>
    </row>
    <row r="1432" spans="1:1" x14ac:dyDescent="0.25">
      <c r="A1432" t="s">
        <v>2727</v>
      </c>
    </row>
    <row r="1433" spans="1:1" x14ac:dyDescent="0.25">
      <c r="A1433" t="s">
        <v>2728</v>
      </c>
    </row>
    <row r="1434" spans="1:1" x14ac:dyDescent="0.25">
      <c r="A1434" t="s">
        <v>2729</v>
      </c>
    </row>
    <row r="1435" spans="1:1" x14ac:dyDescent="0.25">
      <c r="A1435" t="s">
        <v>2730</v>
      </c>
    </row>
    <row r="1436" spans="1:1" x14ac:dyDescent="0.25">
      <c r="A1436" t="s">
        <v>2731</v>
      </c>
    </row>
    <row r="1437" spans="1:1" x14ac:dyDescent="0.25">
      <c r="A1437" t="s">
        <v>2732</v>
      </c>
    </row>
    <row r="1438" spans="1:1" x14ac:dyDescent="0.25">
      <c r="A1438" t="s">
        <v>2733</v>
      </c>
    </row>
    <row r="1439" spans="1:1" x14ac:dyDescent="0.25">
      <c r="A1439" t="s">
        <v>2734</v>
      </c>
    </row>
    <row r="1440" spans="1:1" x14ac:dyDescent="0.25">
      <c r="A1440" t="s">
        <v>2735</v>
      </c>
    </row>
    <row r="1441" spans="1:1" x14ac:dyDescent="0.25">
      <c r="A1441" t="s">
        <v>2736</v>
      </c>
    </row>
    <row r="1442" spans="1:1" x14ac:dyDescent="0.25">
      <c r="A1442" t="s">
        <v>2737</v>
      </c>
    </row>
    <row r="1443" spans="1:1" x14ac:dyDescent="0.25">
      <c r="A1443" t="s">
        <v>2738</v>
      </c>
    </row>
    <row r="1444" spans="1:1" x14ac:dyDescent="0.25">
      <c r="A1444" t="s">
        <v>2739</v>
      </c>
    </row>
    <row r="1445" spans="1:1" x14ac:dyDescent="0.25">
      <c r="A1445" t="s">
        <v>2740</v>
      </c>
    </row>
    <row r="1446" spans="1:1" x14ac:dyDescent="0.25">
      <c r="A1446" t="s">
        <v>2741</v>
      </c>
    </row>
    <row r="1447" spans="1:1" x14ac:dyDescent="0.25">
      <c r="A1447" t="s">
        <v>2742</v>
      </c>
    </row>
    <row r="1448" spans="1:1" x14ac:dyDescent="0.25">
      <c r="A1448" t="s">
        <v>2743</v>
      </c>
    </row>
    <row r="1449" spans="1:1" x14ac:dyDescent="0.25">
      <c r="A1449" t="s">
        <v>2744</v>
      </c>
    </row>
    <row r="1450" spans="1:1" x14ac:dyDescent="0.25">
      <c r="A1450" t="s">
        <v>2745</v>
      </c>
    </row>
    <row r="1451" spans="1:1" x14ac:dyDescent="0.25">
      <c r="A1451" t="s">
        <v>2746</v>
      </c>
    </row>
    <row r="1452" spans="1:1" x14ac:dyDescent="0.25">
      <c r="A1452" t="s">
        <v>2747</v>
      </c>
    </row>
    <row r="1453" spans="1:1" x14ac:dyDescent="0.25">
      <c r="A1453" t="s">
        <v>2748</v>
      </c>
    </row>
    <row r="1454" spans="1:1" x14ac:dyDescent="0.25">
      <c r="A1454" t="s">
        <v>2749</v>
      </c>
    </row>
    <row r="1455" spans="1:1" x14ac:dyDescent="0.25">
      <c r="A1455" t="s">
        <v>2750</v>
      </c>
    </row>
    <row r="1456" spans="1:1" x14ac:dyDescent="0.25">
      <c r="A1456" t="s">
        <v>2751</v>
      </c>
    </row>
    <row r="1457" spans="1:1" x14ac:dyDescent="0.25">
      <c r="A1457" t="s">
        <v>2752</v>
      </c>
    </row>
    <row r="1458" spans="1:1" x14ac:dyDescent="0.25">
      <c r="A1458" t="s">
        <v>2753</v>
      </c>
    </row>
    <row r="1459" spans="1:1" x14ac:dyDescent="0.25">
      <c r="A1459" t="s">
        <v>2754</v>
      </c>
    </row>
    <row r="1460" spans="1:1" x14ac:dyDescent="0.25">
      <c r="A1460" t="s">
        <v>2755</v>
      </c>
    </row>
    <row r="1461" spans="1:1" x14ac:dyDescent="0.25">
      <c r="A1461" t="s">
        <v>2756</v>
      </c>
    </row>
    <row r="1462" spans="1:1" x14ac:dyDescent="0.25">
      <c r="A1462" t="s">
        <v>2757</v>
      </c>
    </row>
    <row r="1463" spans="1:1" x14ac:dyDescent="0.25">
      <c r="A1463" t="s">
        <v>2758</v>
      </c>
    </row>
    <row r="1464" spans="1:1" x14ac:dyDescent="0.25">
      <c r="A1464" t="s">
        <v>2759</v>
      </c>
    </row>
    <row r="1465" spans="1:1" x14ac:dyDescent="0.25">
      <c r="A1465" t="s">
        <v>2760</v>
      </c>
    </row>
    <row r="1466" spans="1:1" x14ac:dyDescent="0.25">
      <c r="A1466" t="s">
        <v>2761</v>
      </c>
    </row>
    <row r="1467" spans="1:1" x14ac:dyDescent="0.25">
      <c r="A1467" t="s">
        <v>2762</v>
      </c>
    </row>
    <row r="1468" spans="1:1" x14ac:dyDescent="0.25">
      <c r="A1468" t="s">
        <v>2763</v>
      </c>
    </row>
    <row r="1469" spans="1:1" x14ac:dyDescent="0.25">
      <c r="A1469" t="s">
        <v>2764</v>
      </c>
    </row>
    <row r="1470" spans="1:1" x14ac:dyDescent="0.25">
      <c r="A1470" t="s">
        <v>2765</v>
      </c>
    </row>
    <row r="1471" spans="1:1" x14ac:dyDescent="0.25">
      <c r="A1471" t="s">
        <v>2766</v>
      </c>
    </row>
    <row r="1472" spans="1:1" x14ac:dyDescent="0.25">
      <c r="A1472" t="s">
        <v>2767</v>
      </c>
    </row>
    <row r="1473" spans="1:1" x14ac:dyDescent="0.25">
      <c r="A1473" t="s">
        <v>2768</v>
      </c>
    </row>
    <row r="1474" spans="1:1" x14ac:dyDescent="0.25">
      <c r="A1474" t="s">
        <v>2769</v>
      </c>
    </row>
    <row r="1475" spans="1:1" x14ac:dyDescent="0.25">
      <c r="A1475" t="s">
        <v>2770</v>
      </c>
    </row>
    <row r="1476" spans="1:1" x14ac:dyDescent="0.25">
      <c r="A1476" t="s">
        <v>2771</v>
      </c>
    </row>
    <row r="1477" spans="1:1" x14ac:dyDescent="0.25">
      <c r="A1477" t="s">
        <v>2772</v>
      </c>
    </row>
    <row r="1478" spans="1:1" x14ac:dyDescent="0.25">
      <c r="A1478" t="s">
        <v>2773</v>
      </c>
    </row>
    <row r="1479" spans="1:1" x14ac:dyDescent="0.25">
      <c r="A1479" t="s">
        <v>2774</v>
      </c>
    </row>
    <row r="1480" spans="1:1" x14ac:dyDescent="0.25">
      <c r="A1480" t="s">
        <v>2775</v>
      </c>
    </row>
    <row r="1481" spans="1:1" x14ac:dyDescent="0.25">
      <c r="A1481" t="s">
        <v>2776</v>
      </c>
    </row>
    <row r="1482" spans="1:1" x14ac:dyDescent="0.25">
      <c r="A1482" t="s">
        <v>2777</v>
      </c>
    </row>
    <row r="1483" spans="1:1" x14ac:dyDescent="0.25">
      <c r="A1483" t="s">
        <v>2778</v>
      </c>
    </row>
    <row r="1484" spans="1:1" x14ac:dyDescent="0.25">
      <c r="A1484" t="s">
        <v>2779</v>
      </c>
    </row>
    <row r="1485" spans="1:1" x14ac:dyDescent="0.25">
      <c r="A1485" t="s">
        <v>2780</v>
      </c>
    </row>
    <row r="1486" spans="1:1" x14ac:dyDescent="0.25">
      <c r="A1486" t="s">
        <v>2781</v>
      </c>
    </row>
    <row r="1487" spans="1:1" x14ac:dyDescent="0.25">
      <c r="A1487" t="s">
        <v>2782</v>
      </c>
    </row>
    <row r="1488" spans="1:1" x14ac:dyDescent="0.25">
      <c r="A1488" t="s">
        <v>2783</v>
      </c>
    </row>
    <row r="1489" spans="1:1" x14ac:dyDescent="0.25">
      <c r="A1489" t="s">
        <v>2784</v>
      </c>
    </row>
    <row r="1490" spans="1:1" x14ac:dyDescent="0.25">
      <c r="A1490" t="s">
        <v>2785</v>
      </c>
    </row>
    <row r="1491" spans="1:1" x14ac:dyDescent="0.25">
      <c r="A1491" t="s">
        <v>2786</v>
      </c>
    </row>
    <row r="1492" spans="1:1" x14ac:dyDescent="0.25">
      <c r="A1492" t="s">
        <v>2787</v>
      </c>
    </row>
    <row r="1493" spans="1:1" x14ac:dyDescent="0.25">
      <c r="A1493" t="s">
        <v>2788</v>
      </c>
    </row>
    <row r="1494" spans="1:1" x14ac:dyDescent="0.25">
      <c r="A1494" t="s">
        <v>2789</v>
      </c>
    </row>
    <row r="1495" spans="1:1" x14ac:dyDescent="0.25">
      <c r="A1495" t="s">
        <v>2790</v>
      </c>
    </row>
    <row r="1496" spans="1:1" x14ac:dyDescent="0.25">
      <c r="A1496" t="s">
        <v>2791</v>
      </c>
    </row>
    <row r="1497" spans="1:1" x14ac:dyDescent="0.25">
      <c r="A1497" t="s">
        <v>2792</v>
      </c>
    </row>
    <row r="1498" spans="1:1" x14ac:dyDescent="0.25">
      <c r="A1498" t="s">
        <v>2793</v>
      </c>
    </row>
    <row r="1499" spans="1:1" x14ac:dyDescent="0.25">
      <c r="A1499" t="s">
        <v>2794</v>
      </c>
    </row>
    <row r="1500" spans="1:1" x14ac:dyDescent="0.25">
      <c r="A1500" t="s">
        <v>2795</v>
      </c>
    </row>
    <row r="1501" spans="1:1" x14ac:dyDescent="0.25">
      <c r="A1501" t="s">
        <v>2796</v>
      </c>
    </row>
    <row r="1502" spans="1:1" x14ac:dyDescent="0.25">
      <c r="A1502" t="s">
        <v>2797</v>
      </c>
    </row>
    <row r="1503" spans="1:1" x14ac:dyDescent="0.25">
      <c r="A1503" t="s">
        <v>2798</v>
      </c>
    </row>
    <row r="1504" spans="1:1" x14ac:dyDescent="0.25">
      <c r="A1504" t="s">
        <v>2799</v>
      </c>
    </row>
    <row r="1505" spans="1:1" x14ac:dyDescent="0.25">
      <c r="A1505" t="s">
        <v>2800</v>
      </c>
    </row>
    <row r="1506" spans="1:1" x14ac:dyDescent="0.25">
      <c r="A1506" t="s">
        <v>2801</v>
      </c>
    </row>
    <row r="1507" spans="1:1" x14ac:dyDescent="0.25">
      <c r="A1507" t="s">
        <v>2802</v>
      </c>
    </row>
    <row r="1508" spans="1:1" x14ac:dyDescent="0.25">
      <c r="A1508" t="s">
        <v>2803</v>
      </c>
    </row>
    <row r="1509" spans="1:1" x14ac:dyDescent="0.25">
      <c r="A1509" t="s">
        <v>2804</v>
      </c>
    </row>
    <row r="1510" spans="1:1" x14ac:dyDescent="0.25">
      <c r="A1510" t="s">
        <v>2805</v>
      </c>
    </row>
    <row r="1511" spans="1:1" x14ac:dyDescent="0.25">
      <c r="A1511" t="s">
        <v>2806</v>
      </c>
    </row>
    <row r="1512" spans="1:1" x14ac:dyDescent="0.25">
      <c r="A1512" t="s">
        <v>2807</v>
      </c>
    </row>
    <row r="1513" spans="1:1" x14ac:dyDescent="0.25">
      <c r="A1513" t="s">
        <v>2808</v>
      </c>
    </row>
    <row r="1514" spans="1:1" x14ac:dyDescent="0.25">
      <c r="A1514" t="s">
        <v>2809</v>
      </c>
    </row>
    <row r="1515" spans="1:1" x14ac:dyDescent="0.25">
      <c r="A1515" t="s">
        <v>2810</v>
      </c>
    </row>
    <row r="1516" spans="1:1" x14ac:dyDescent="0.25">
      <c r="A1516" t="s">
        <v>2811</v>
      </c>
    </row>
    <row r="1517" spans="1:1" x14ac:dyDescent="0.25">
      <c r="A1517" t="s">
        <v>2812</v>
      </c>
    </row>
    <row r="1518" spans="1:1" x14ac:dyDescent="0.25">
      <c r="A1518" t="s">
        <v>2813</v>
      </c>
    </row>
    <row r="1519" spans="1:1" x14ac:dyDescent="0.25">
      <c r="A1519" t="s">
        <v>2814</v>
      </c>
    </row>
    <row r="1520" spans="1:1" x14ac:dyDescent="0.25">
      <c r="A1520" t="s">
        <v>2815</v>
      </c>
    </row>
    <row r="1521" spans="1:1" x14ac:dyDescent="0.25">
      <c r="A1521" t="s">
        <v>2816</v>
      </c>
    </row>
    <row r="1522" spans="1:1" x14ac:dyDescent="0.25">
      <c r="A1522" t="s">
        <v>2817</v>
      </c>
    </row>
    <row r="1523" spans="1:1" x14ac:dyDescent="0.25">
      <c r="A1523" t="s">
        <v>2818</v>
      </c>
    </row>
    <row r="1524" spans="1:1" x14ac:dyDescent="0.25">
      <c r="A1524" t="s">
        <v>2819</v>
      </c>
    </row>
    <row r="1525" spans="1:1" x14ac:dyDescent="0.25">
      <c r="A1525" t="s">
        <v>2820</v>
      </c>
    </row>
    <row r="1526" spans="1:1" x14ac:dyDescent="0.25">
      <c r="A1526" t="s">
        <v>2821</v>
      </c>
    </row>
    <row r="1527" spans="1:1" x14ac:dyDescent="0.25">
      <c r="A1527" t="s">
        <v>2822</v>
      </c>
    </row>
    <row r="1528" spans="1:1" x14ac:dyDescent="0.25">
      <c r="A1528" t="s">
        <v>2823</v>
      </c>
    </row>
    <row r="1529" spans="1:1" x14ac:dyDescent="0.25">
      <c r="A1529" t="s">
        <v>2824</v>
      </c>
    </row>
    <row r="1530" spans="1:1" x14ac:dyDescent="0.25">
      <c r="A1530" t="s">
        <v>2825</v>
      </c>
    </row>
    <row r="1531" spans="1:1" x14ac:dyDescent="0.25">
      <c r="A1531" t="s">
        <v>2826</v>
      </c>
    </row>
    <row r="1532" spans="1:1" x14ac:dyDescent="0.25">
      <c r="A1532" t="s">
        <v>2827</v>
      </c>
    </row>
    <row r="1533" spans="1:1" x14ac:dyDescent="0.25">
      <c r="A1533" t="s">
        <v>2828</v>
      </c>
    </row>
    <row r="1534" spans="1:1" x14ac:dyDescent="0.25">
      <c r="A1534" t="s">
        <v>2829</v>
      </c>
    </row>
    <row r="1535" spans="1:1" x14ac:dyDescent="0.25">
      <c r="A1535" t="s">
        <v>2830</v>
      </c>
    </row>
    <row r="1536" spans="1:1" x14ac:dyDescent="0.25">
      <c r="A1536" t="s">
        <v>2831</v>
      </c>
    </row>
    <row r="1537" spans="1:1" x14ac:dyDescent="0.25">
      <c r="A1537" t="s">
        <v>2832</v>
      </c>
    </row>
    <row r="1538" spans="1:1" x14ac:dyDescent="0.25">
      <c r="A1538" t="s">
        <v>2833</v>
      </c>
    </row>
    <row r="1539" spans="1:1" x14ac:dyDescent="0.25">
      <c r="A1539" t="s">
        <v>2834</v>
      </c>
    </row>
    <row r="1540" spans="1:1" x14ac:dyDescent="0.25">
      <c r="A1540" t="s">
        <v>2835</v>
      </c>
    </row>
    <row r="1541" spans="1:1" x14ac:dyDescent="0.25">
      <c r="A1541" t="s">
        <v>2836</v>
      </c>
    </row>
    <row r="1542" spans="1:1" x14ac:dyDescent="0.25">
      <c r="A1542" t="s">
        <v>2837</v>
      </c>
    </row>
    <row r="1543" spans="1:1" x14ac:dyDescent="0.25">
      <c r="A1543" t="s">
        <v>2838</v>
      </c>
    </row>
    <row r="1544" spans="1:1" x14ac:dyDescent="0.25">
      <c r="A1544" t="s">
        <v>2839</v>
      </c>
    </row>
    <row r="1545" spans="1:1" x14ac:dyDescent="0.25">
      <c r="A1545" t="s">
        <v>2840</v>
      </c>
    </row>
    <row r="1546" spans="1:1" x14ac:dyDescent="0.25">
      <c r="A1546" t="s">
        <v>2841</v>
      </c>
    </row>
    <row r="1547" spans="1:1" x14ac:dyDescent="0.25">
      <c r="A1547" t="s">
        <v>2842</v>
      </c>
    </row>
    <row r="1548" spans="1:1" x14ac:dyDescent="0.25">
      <c r="A1548" t="s">
        <v>2843</v>
      </c>
    </row>
    <row r="1549" spans="1:1" x14ac:dyDescent="0.25">
      <c r="A1549" t="s">
        <v>2844</v>
      </c>
    </row>
    <row r="1550" spans="1:1" x14ac:dyDescent="0.25">
      <c r="A1550" t="s">
        <v>2845</v>
      </c>
    </row>
    <row r="1551" spans="1:1" x14ac:dyDescent="0.25">
      <c r="A1551" t="s">
        <v>2846</v>
      </c>
    </row>
    <row r="1552" spans="1:1" x14ac:dyDescent="0.25">
      <c r="A1552" t="s">
        <v>2847</v>
      </c>
    </row>
    <row r="1553" spans="1:1" x14ac:dyDescent="0.25">
      <c r="A1553" t="s">
        <v>2848</v>
      </c>
    </row>
    <row r="1554" spans="1:1" x14ac:dyDescent="0.25">
      <c r="A1554" t="s">
        <v>2849</v>
      </c>
    </row>
    <row r="1555" spans="1:1" x14ac:dyDescent="0.25">
      <c r="A1555" t="s">
        <v>2850</v>
      </c>
    </row>
    <row r="1556" spans="1:1" x14ac:dyDescent="0.25">
      <c r="A1556" t="s">
        <v>2851</v>
      </c>
    </row>
    <row r="1557" spans="1:1" x14ac:dyDescent="0.25">
      <c r="A1557" t="s">
        <v>2852</v>
      </c>
    </row>
    <row r="1558" spans="1:1" x14ac:dyDescent="0.25">
      <c r="A1558" t="s">
        <v>2853</v>
      </c>
    </row>
    <row r="1559" spans="1:1" x14ac:dyDescent="0.25">
      <c r="A1559" t="s">
        <v>2854</v>
      </c>
    </row>
    <row r="1560" spans="1:1" x14ac:dyDescent="0.25">
      <c r="A1560" t="s">
        <v>2855</v>
      </c>
    </row>
    <row r="1561" spans="1:1" x14ac:dyDescent="0.25">
      <c r="A1561" t="s">
        <v>2856</v>
      </c>
    </row>
    <row r="1562" spans="1:1" x14ac:dyDescent="0.25">
      <c r="A1562" t="s">
        <v>2857</v>
      </c>
    </row>
    <row r="1563" spans="1:1" x14ac:dyDescent="0.25">
      <c r="A1563" t="s">
        <v>2858</v>
      </c>
    </row>
    <row r="1564" spans="1:1" x14ac:dyDescent="0.25">
      <c r="A1564" t="s">
        <v>2859</v>
      </c>
    </row>
    <row r="1565" spans="1:1" x14ac:dyDescent="0.25">
      <c r="A1565" t="s">
        <v>2860</v>
      </c>
    </row>
    <row r="1566" spans="1:1" x14ac:dyDescent="0.25">
      <c r="A1566" t="s">
        <v>2861</v>
      </c>
    </row>
    <row r="1567" spans="1:1" x14ac:dyDescent="0.25">
      <c r="A1567" t="s">
        <v>2862</v>
      </c>
    </row>
    <row r="1568" spans="1:1" x14ac:dyDescent="0.25">
      <c r="A1568" t="s">
        <v>2863</v>
      </c>
    </row>
    <row r="1569" spans="1:1" x14ac:dyDescent="0.25">
      <c r="A1569" t="s">
        <v>2864</v>
      </c>
    </row>
    <row r="1570" spans="1:1" x14ac:dyDescent="0.25">
      <c r="A1570" t="s">
        <v>2865</v>
      </c>
    </row>
    <row r="1571" spans="1:1" x14ac:dyDescent="0.25">
      <c r="A1571" t="s">
        <v>2866</v>
      </c>
    </row>
    <row r="1572" spans="1:1" x14ac:dyDescent="0.25">
      <c r="A1572" t="s">
        <v>2867</v>
      </c>
    </row>
    <row r="1573" spans="1:1" x14ac:dyDescent="0.25">
      <c r="A1573" t="s">
        <v>2868</v>
      </c>
    </row>
    <row r="1574" spans="1:1" x14ac:dyDescent="0.25">
      <c r="A1574" t="s">
        <v>2869</v>
      </c>
    </row>
    <row r="1575" spans="1:1" x14ac:dyDescent="0.25">
      <c r="A1575" t="s">
        <v>2870</v>
      </c>
    </row>
    <row r="1576" spans="1:1" x14ac:dyDescent="0.25">
      <c r="A1576" t="s">
        <v>2871</v>
      </c>
    </row>
    <row r="1577" spans="1:1" x14ac:dyDescent="0.25">
      <c r="A1577" t="s">
        <v>2872</v>
      </c>
    </row>
    <row r="1578" spans="1:1" x14ac:dyDescent="0.25">
      <c r="A1578" t="s">
        <v>2873</v>
      </c>
    </row>
    <row r="1579" spans="1:1" x14ac:dyDescent="0.25">
      <c r="A1579" t="s">
        <v>2874</v>
      </c>
    </row>
    <row r="1580" spans="1:1" x14ac:dyDescent="0.25">
      <c r="A1580" t="s">
        <v>2875</v>
      </c>
    </row>
    <row r="1581" spans="1:1" x14ac:dyDescent="0.25">
      <c r="A1581" t="s">
        <v>2876</v>
      </c>
    </row>
    <row r="1582" spans="1:1" x14ac:dyDescent="0.25">
      <c r="A1582" t="s">
        <v>2877</v>
      </c>
    </row>
    <row r="1583" spans="1:1" x14ac:dyDescent="0.25">
      <c r="A1583" t="s">
        <v>2878</v>
      </c>
    </row>
    <row r="1584" spans="1:1" x14ac:dyDescent="0.25">
      <c r="A1584" t="s">
        <v>2879</v>
      </c>
    </row>
    <row r="1585" spans="1:1" x14ac:dyDescent="0.25">
      <c r="A1585" t="s">
        <v>2880</v>
      </c>
    </row>
    <row r="1586" spans="1:1" x14ac:dyDescent="0.25">
      <c r="A1586" t="s">
        <v>2881</v>
      </c>
    </row>
    <row r="1587" spans="1:1" x14ac:dyDescent="0.25">
      <c r="A1587" t="s">
        <v>2882</v>
      </c>
    </row>
    <row r="1588" spans="1:1" x14ac:dyDescent="0.25">
      <c r="A1588" t="s">
        <v>2883</v>
      </c>
    </row>
    <row r="1589" spans="1:1" x14ac:dyDescent="0.25">
      <c r="A1589" t="s">
        <v>2884</v>
      </c>
    </row>
    <row r="1590" spans="1:1" x14ac:dyDescent="0.25">
      <c r="A1590" t="s">
        <v>2885</v>
      </c>
    </row>
    <row r="1591" spans="1:1" x14ac:dyDescent="0.25">
      <c r="A1591" t="s">
        <v>2886</v>
      </c>
    </row>
    <row r="1592" spans="1:1" x14ac:dyDescent="0.25">
      <c r="A1592" t="s">
        <v>2887</v>
      </c>
    </row>
    <row r="1593" spans="1:1" x14ac:dyDescent="0.25">
      <c r="A1593" t="s">
        <v>2888</v>
      </c>
    </row>
    <row r="1594" spans="1:1" x14ac:dyDescent="0.25">
      <c r="A1594" t="s">
        <v>2889</v>
      </c>
    </row>
    <row r="1595" spans="1:1" x14ac:dyDescent="0.25">
      <c r="A1595" t="s">
        <v>2890</v>
      </c>
    </row>
    <row r="1596" spans="1:1" x14ac:dyDescent="0.25">
      <c r="A1596" t="s">
        <v>2891</v>
      </c>
    </row>
    <row r="1597" spans="1:1" x14ac:dyDescent="0.25">
      <c r="A1597" t="s">
        <v>2892</v>
      </c>
    </row>
    <row r="1598" spans="1:1" x14ac:dyDescent="0.25">
      <c r="A1598" t="s">
        <v>2893</v>
      </c>
    </row>
    <row r="1599" spans="1:1" x14ac:dyDescent="0.25">
      <c r="A1599" t="s">
        <v>2894</v>
      </c>
    </row>
    <row r="1600" spans="1:1" x14ac:dyDescent="0.25">
      <c r="A1600" t="s">
        <v>2895</v>
      </c>
    </row>
    <row r="1601" spans="1:1" x14ac:dyDescent="0.25">
      <c r="A1601" t="s">
        <v>2896</v>
      </c>
    </row>
    <row r="1602" spans="1:1" x14ac:dyDescent="0.25">
      <c r="A1602" t="s">
        <v>2897</v>
      </c>
    </row>
    <row r="1603" spans="1:1" x14ac:dyDescent="0.25">
      <c r="A1603" t="s">
        <v>2898</v>
      </c>
    </row>
    <row r="1604" spans="1:1" x14ac:dyDescent="0.25">
      <c r="A1604" t="s">
        <v>2899</v>
      </c>
    </row>
    <row r="1605" spans="1:1" x14ac:dyDescent="0.25">
      <c r="A1605" t="s">
        <v>2900</v>
      </c>
    </row>
    <row r="1606" spans="1:1" x14ac:dyDescent="0.25">
      <c r="A1606" t="s">
        <v>2901</v>
      </c>
    </row>
    <row r="1607" spans="1:1" x14ac:dyDescent="0.25">
      <c r="A1607" t="s">
        <v>2902</v>
      </c>
    </row>
    <row r="1608" spans="1:1" x14ac:dyDescent="0.25">
      <c r="A1608" t="s">
        <v>2903</v>
      </c>
    </row>
    <row r="1609" spans="1:1" x14ac:dyDescent="0.25">
      <c r="A1609" t="s">
        <v>2904</v>
      </c>
    </row>
    <row r="1610" spans="1:1" x14ac:dyDescent="0.25">
      <c r="A1610" t="s">
        <v>2905</v>
      </c>
    </row>
    <row r="1611" spans="1:1" x14ac:dyDescent="0.25">
      <c r="A1611" t="s">
        <v>2906</v>
      </c>
    </row>
    <row r="1612" spans="1:1" x14ac:dyDescent="0.25">
      <c r="A1612" t="s">
        <v>2907</v>
      </c>
    </row>
    <row r="1613" spans="1:1" x14ac:dyDescent="0.25">
      <c r="A1613" t="s">
        <v>2908</v>
      </c>
    </row>
    <row r="1614" spans="1:1" x14ac:dyDescent="0.25">
      <c r="A1614" t="s">
        <v>2909</v>
      </c>
    </row>
    <row r="1615" spans="1:1" x14ac:dyDescent="0.25">
      <c r="A1615" t="s">
        <v>2910</v>
      </c>
    </row>
    <row r="1616" spans="1:1" x14ac:dyDescent="0.25">
      <c r="A1616" t="s">
        <v>2911</v>
      </c>
    </row>
    <row r="1617" spans="1:1" x14ac:dyDescent="0.25">
      <c r="A1617" t="s">
        <v>2912</v>
      </c>
    </row>
    <row r="1618" spans="1:1" x14ac:dyDescent="0.25">
      <c r="A1618" t="s">
        <v>2913</v>
      </c>
    </row>
    <row r="1619" spans="1:1" x14ac:dyDescent="0.25">
      <c r="A1619" t="s">
        <v>2914</v>
      </c>
    </row>
    <row r="1620" spans="1:1" x14ac:dyDescent="0.25">
      <c r="A1620" t="s">
        <v>2915</v>
      </c>
    </row>
    <row r="1621" spans="1:1" x14ac:dyDescent="0.25">
      <c r="A1621" t="s">
        <v>2916</v>
      </c>
    </row>
    <row r="1622" spans="1:1" x14ac:dyDescent="0.25">
      <c r="A1622" t="s">
        <v>2917</v>
      </c>
    </row>
    <row r="1623" spans="1:1" x14ac:dyDescent="0.25">
      <c r="A1623" t="s">
        <v>2918</v>
      </c>
    </row>
    <row r="1624" spans="1:1" x14ac:dyDescent="0.25">
      <c r="A1624" t="s">
        <v>2919</v>
      </c>
    </row>
    <row r="1625" spans="1:1" x14ac:dyDescent="0.25">
      <c r="A1625" t="s">
        <v>2920</v>
      </c>
    </row>
    <row r="1626" spans="1:1" x14ac:dyDescent="0.25">
      <c r="A1626" t="s">
        <v>2921</v>
      </c>
    </row>
    <row r="1627" spans="1:1" x14ac:dyDescent="0.25">
      <c r="A1627" t="s">
        <v>2922</v>
      </c>
    </row>
    <row r="1628" spans="1:1" x14ac:dyDescent="0.25">
      <c r="A1628" t="s">
        <v>2923</v>
      </c>
    </row>
    <row r="1629" spans="1:1" x14ac:dyDescent="0.25">
      <c r="A1629" t="s">
        <v>2924</v>
      </c>
    </row>
    <row r="1630" spans="1:1" x14ac:dyDescent="0.25">
      <c r="A1630" t="s">
        <v>2925</v>
      </c>
    </row>
    <row r="1631" spans="1:1" x14ac:dyDescent="0.25">
      <c r="A1631" t="s">
        <v>2926</v>
      </c>
    </row>
    <row r="1632" spans="1:1" x14ac:dyDescent="0.25">
      <c r="A1632" t="s">
        <v>2927</v>
      </c>
    </row>
    <row r="1633" spans="1:1" x14ac:dyDescent="0.25">
      <c r="A1633" t="s">
        <v>2928</v>
      </c>
    </row>
    <row r="1634" spans="1:1" x14ac:dyDescent="0.25">
      <c r="A1634" t="s">
        <v>2929</v>
      </c>
    </row>
    <row r="1635" spans="1:1" x14ac:dyDescent="0.25">
      <c r="A1635" t="s">
        <v>2930</v>
      </c>
    </row>
    <row r="1636" spans="1:1" x14ac:dyDescent="0.25">
      <c r="A1636" t="s">
        <v>2931</v>
      </c>
    </row>
    <row r="1637" spans="1:1" x14ac:dyDescent="0.25">
      <c r="A1637" t="s">
        <v>2932</v>
      </c>
    </row>
    <row r="1638" spans="1:1" x14ac:dyDescent="0.25">
      <c r="A1638" t="s">
        <v>2933</v>
      </c>
    </row>
    <row r="1639" spans="1:1" x14ac:dyDescent="0.25">
      <c r="A1639" t="s">
        <v>2934</v>
      </c>
    </row>
    <row r="1640" spans="1:1" x14ac:dyDescent="0.25">
      <c r="A1640" t="s">
        <v>2935</v>
      </c>
    </row>
    <row r="1641" spans="1:1" x14ac:dyDescent="0.25">
      <c r="A1641" t="s">
        <v>2936</v>
      </c>
    </row>
    <row r="1642" spans="1:1" x14ac:dyDescent="0.25">
      <c r="A1642" t="s">
        <v>2937</v>
      </c>
    </row>
    <row r="1643" spans="1:1" x14ac:dyDescent="0.25">
      <c r="A1643" t="s">
        <v>2938</v>
      </c>
    </row>
    <row r="1644" spans="1:1" x14ac:dyDescent="0.25">
      <c r="A1644" t="s">
        <v>2939</v>
      </c>
    </row>
    <row r="1645" spans="1:1" x14ac:dyDescent="0.25">
      <c r="A1645" t="s">
        <v>2940</v>
      </c>
    </row>
    <row r="1646" spans="1:1" x14ac:dyDescent="0.25">
      <c r="A1646" t="s">
        <v>2941</v>
      </c>
    </row>
    <row r="1647" spans="1:1" x14ac:dyDescent="0.25">
      <c r="A1647" t="s">
        <v>2942</v>
      </c>
    </row>
    <row r="1648" spans="1:1" x14ac:dyDescent="0.25">
      <c r="A1648" t="s">
        <v>2943</v>
      </c>
    </row>
    <row r="1649" spans="1:1" x14ac:dyDescent="0.25">
      <c r="A1649" t="s">
        <v>2944</v>
      </c>
    </row>
    <row r="1650" spans="1:1" x14ac:dyDescent="0.25">
      <c r="A1650" t="s">
        <v>2945</v>
      </c>
    </row>
    <row r="1651" spans="1:1" x14ac:dyDescent="0.25">
      <c r="A1651" t="s">
        <v>2946</v>
      </c>
    </row>
    <row r="1652" spans="1:1" x14ac:dyDescent="0.25">
      <c r="A1652" t="s">
        <v>2947</v>
      </c>
    </row>
    <row r="1653" spans="1:1" x14ac:dyDescent="0.25">
      <c r="A1653" t="s">
        <v>2948</v>
      </c>
    </row>
    <row r="1654" spans="1:1" x14ac:dyDescent="0.25">
      <c r="A1654" t="s">
        <v>2949</v>
      </c>
    </row>
    <row r="1655" spans="1:1" x14ac:dyDescent="0.25">
      <c r="A1655" t="s">
        <v>2950</v>
      </c>
    </row>
    <row r="1656" spans="1:1" x14ac:dyDescent="0.25">
      <c r="A1656" t="s">
        <v>2951</v>
      </c>
    </row>
    <row r="1657" spans="1:1" x14ac:dyDescent="0.25">
      <c r="A1657" t="s">
        <v>2952</v>
      </c>
    </row>
    <row r="1658" spans="1:1" x14ac:dyDescent="0.25">
      <c r="A1658" t="s">
        <v>2953</v>
      </c>
    </row>
    <row r="1659" spans="1:1" x14ac:dyDescent="0.25">
      <c r="A1659" t="s">
        <v>2954</v>
      </c>
    </row>
    <row r="1660" spans="1:1" x14ac:dyDescent="0.25">
      <c r="A1660" t="s">
        <v>2955</v>
      </c>
    </row>
    <row r="1661" spans="1:1" x14ac:dyDescent="0.25">
      <c r="A1661" t="s">
        <v>2956</v>
      </c>
    </row>
    <row r="1662" spans="1:1" x14ac:dyDescent="0.25">
      <c r="A1662" t="s">
        <v>2957</v>
      </c>
    </row>
    <row r="1663" spans="1:1" x14ac:dyDescent="0.25">
      <c r="A1663" t="s">
        <v>2958</v>
      </c>
    </row>
    <row r="1664" spans="1:1" x14ac:dyDescent="0.25">
      <c r="A1664" t="s">
        <v>2959</v>
      </c>
    </row>
    <row r="1665" spans="1:1" x14ac:dyDescent="0.25">
      <c r="A1665" t="s">
        <v>2960</v>
      </c>
    </row>
    <row r="1666" spans="1:1" x14ac:dyDescent="0.25">
      <c r="A1666" t="s">
        <v>2961</v>
      </c>
    </row>
    <row r="1667" spans="1:1" x14ac:dyDescent="0.25">
      <c r="A1667" t="s">
        <v>2962</v>
      </c>
    </row>
    <row r="1668" spans="1:1" x14ac:dyDescent="0.25">
      <c r="A1668" t="s">
        <v>2963</v>
      </c>
    </row>
    <row r="1669" spans="1:1" x14ac:dyDescent="0.25">
      <c r="A1669" t="s">
        <v>2964</v>
      </c>
    </row>
    <row r="1670" spans="1:1" x14ac:dyDescent="0.25">
      <c r="A1670" t="s">
        <v>2965</v>
      </c>
    </row>
    <row r="1671" spans="1:1" x14ac:dyDescent="0.25">
      <c r="A1671" t="s">
        <v>2966</v>
      </c>
    </row>
    <row r="1672" spans="1:1" x14ac:dyDescent="0.25">
      <c r="A1672" t="s">
        <v>2967</v>
      </c>
    </row>
    <row r="1673" spans="1:1" x14ac:dyDescent="0.25">
      <c r="A1673" t="s">
        <v>2968</v>
      </c>
    </row>
    <row r="1674" spans="1:1" x14ac:dyDescent="0.25">
      <c r="A1674" t="s">
        <v>2969</v>
      </c>
    </row>
    <row r="1675" spans="1:1" x14ac:dyDescent="0.25">
      <c r="A1675" t="s">
        <v>2970</v>
      </c>
    </row>
    <row r="1676" spans="1:1" x14ac:dyDescent="0.25">
      <c r="A1676" t="s">
        <v>2971</v>
      </c>
    </row>
    <row r="1677" spans="1:1" x14ac:dyDescent="0.25">
      <c r="A1677" t="s">
        <v>2972</v>
      </c>
    </row>
    <row r="1678" spans="1:1" x14ac:dyDescent="0.25">
      <c r="A1678" t="s">
        <v>2973</v>
      </c>
    </row>
    <row r="1679" spans="1:1" x14ac:dyDescent="0.25">
      <c r="A1679" t="s">
        <v>2974</v>
      </c>
    </row>
    <row r="1680" spans="1:1" x14ac:dyDescent="0.25">
      <c r="A1680" t="s">
        <v>2975</v>
      </c>
    </row>
    <row r="1681" spans="1:1" x14ac:dyDescent="0.25">
      <c r="A1681" t="s">
        <v>2976</v>
      </c>
    </row>
    <row r="1682" spans="1:1" x14ac:dyDescent="0.25">
      <c r="A1682" t="s">
        <v>2977</v>
      </c>
    </row>
    <row r="1683" spans="1:1" x14ac:dyDescent="0.25">
      <c r="A1683" t="s">
        <v>2978</v>
      </c>
    </row>
    <row r="1684" spans="1:1" x14ac:dyDescent="0.25">
      <c r="A1684" t="s">
        <v>2979</v>
      </c>
    </row>
    <row r="1685" spans="1:1" x14ac:dyDescent="0.25">
      <c r="A1685" t="s">
        <v>2980</v>
      </c>
    </row>
    <row r="1686" spans="1:1" x14ac:dyDescent="0.25">
      <c r="A1686" t="s">
        <v>2981</v>
      </c>
    </row>
    <row r="1687" spans="1:1" x14ac:dyDescent="0.25">
      <c r="A1687" t="s">
        <v>2982</v>
      </c>
    </row>
    <row r="1688" spans="1:1" x14ac:dyDescent="0.25">
      <c r="A1688" t="s">
        <v>2983</v>
      </c>
    </row>
    <row r="1689" spans="1:1" x14ac:dyDescent="0.25">
      <c r="A1689" t="s">
        <v>2984</v>
      </c>
    </row>
    <row r="1690" spans="1:1" x14ac:dyDescent="0.25">
      <c r="A1690" t="s">
        <v>2985</v>
      </c>
    </row>
    <row r="1691" spans="1:1" x14ac:dyDescent="0.25">
      <c r="A1691" t="s">
        <v>2986</v>
      </c>
    </row>
    <row r="1692" spans="1:1" x14ac:dyDescent="0.25">
      <c r="A1692" t="s">
        <v>2987</v>
      </c>
    </row>
    <row r="1693" spans="1:1" x14ac:dyDescent="0.25">
      <c r="A1693" t="s">
        <v>2988</v>
      </c>
    </row>
    <row r="1694" spans="1:1" x14ac:dyDescent="0.25">
      <c r="A1694" t="s">
        <v>2989</v>
      </c>
    </row>
    <row r="1695" spans="1:1" x14ac:dyDescent="0.25">
      <c r="A1695" t="s">
        <v>2990</v>
      </c>
    </row>
    <row r="1696" spans="1:1" x14ac:dyDescent="0.25">
      <c r="A1696" t="s">
        <v>2991</v>
      </c>
    </row>
    <row r="1697" spans="1:1" x14ac:dyDescent="0.25">
      <c r="A1697" t="s">
        <v>2992</v>
      </c>
    </row>
    <row r="1698" spans="1:1" x14ac:dyDescent="0.25">
      <c r="A1698" t="s">
        <v>2993</v>
      </c>
    </row>
    <row r="1699" spans="1:1" x14ac:dyDescent="0.25">
      <c r="A1699" t="s">
        <v>2994</v>
      </c>
    </row>
    <row r="1700" spans="1:1" x14ac:dyDescent="0.25">
      <c r="A1700" t="s">
        <v>2995</v>
      </c>
    </row>
    <row r="1701" spans="1:1" x14ac:dyDescent="0.25">
      <c r="A1701" t="s">
        <v>2996</v>
      </c>
    </row>
    <row r="1702" spans="1:1" x14ac:dyDescent="0.25">
      <c r="A1702" t="s">
        <v>2997</v>
      </c>
    </row>
    <row r="1703" spans="1:1" x14ac:dyDescent="0.25">
      <c r="A1703" t="s">
        <v>2998</v>
      </c>
    </row>
    <row r="1704" spans="1:1" x14ac:dyDescent="0.25">
      <c r="A1704" t="s">
        <v>2999</v>
      </c>
    </row>
    <row r="1705" spans="1:1" x14ac:dyDescent="0.25">
      <c r="A1705" t="s">
        <v>3000</v>
      </c>
    </row>
    <row r="1706" spans="1:1" x14ac:dyDescent="0.25">
      <c r="A1706" t="s">
        <v>3001</v>
      </c>
    </row>
    <row r="1707" spans="1:1" x14ac:dyDescent="0.25">
      <c r="A1707" t="s">
        <v>3002</v>
      </c>
    </row>
    <row r="1708" spans="1:1" x14ac:dyDescent="0.25">
      <c r="A1708" t="s">
        <v>3003</v>
      </c>
    </row>
    <row r="1709" spans="1:1" x14ac:dyDescent="0.25">
      <c r="A1709" t="s">
        <v>3004</v>
      </c>
    </row>
    <row r="1710" spans="1:1" x14ac:dyDescent="0.25">
      <c r="A1710" t="s">
        <v>3005</v>
      </c>
    </row>
    <row r="1711" spans="1:1" x14ac:dyDescent="0.25">
      <c r="A1711" t="s">
        <v>3006</v>
      </c>
    </row>
    <row r="1712" spans="1:1" x14ac:dyDescent="0.25">
      <c r="A1712" t="s">
        <v>3007</v>
      </c>
    </row>
    <row r="1713" spans="1:1" x14ac:dyDescent="0.25">
      <c r="A1713" t="s">
        <v>3008</v>
      </c>
    </row>
    <row r="1714" spans="1:1" x14ac:dyDescent="0.25">
      <c r="A1714" t="s">
        <v>3009</v>
      </c>
    </row>
    <row r="1715" spans="1:1" x14ac:dyDescent="0.25">
      <c r="A1715" t="s">
        <v>3010</v>
      </c>
    </row>
    <row r="1716" spans="1:1" x14ac:dyDescent="0.25">
      <c r="A1716" t="s">
        <v>3011</v>
      </c>
    </row>
    <row r="1717" spans="1:1" x14ac:dyDescent="0.25">
      <c r="A1717" t="s">
        <v>3012</v>
      </c>
    </row>
    <row r="1718" spans="1:1" x14ac:dyDescent="0.25">
      <c r="A1718" t="s">
        <v>3013</v>
      </c>
    </row>
    <row r="1719" spans="1:1" x14ac:dyDescent="0.25">
      <c r="A1719" t="s">
        <v>3014</v>
      </c>
    </row>
    <row r="1720" spans="1:1" x14ac:dyDescent="0.25">
      <c r="A1720" t="s">
        <v>3015</v>
      </c>
    </row>
    <row r="1721" spans="1:1" x14ac:dyDescent="0.25">
      <c r="A1721" t="s">
        <v>3016</v>
      </c>
    </row>
    <row r="1722" spans="1:1" x14ac:dyDescent="0.25">
      <c r="A1722" t="s">
        <v>3017</v>
      </c>
    </row>
    <row r="1723" spans="1:1" x14ac:dyDescent="0.25">
      <c r="A1723" t="s">
        <v>3018</v>
      </c>
    </row>
    <row r="1724" spans="1:1" x14ac:dyDescent="0.25">
      <c r="A1724" t="s">
        <v>3019</v>
      </c>
    </row>
    <row r="1725" spans="1:1" x14ac:dyDescent="0.25">
      <c r="A1725" t="s">
        <v>3020</v>
      </c>
    </row>
    <row r="1726" spans="1:1" x14ac:dyDescent="0.25">
      <c r="A1726" t="s">
        <v>3021</v>
      </c>
    </row>
    <row r="1727" spans="1:1" x14ac:dyDescent="0.25">
      <c r="A1727" t="s">
        <v>3022</v>
      </c>
    </row>
    <row r="1728" spans="1:1" x14ac:dyDescent="0.25">
      <c r="A1728" t="s">
        <v>3023</v>
      </c>
    </row>
    <row r="1729" spans="1:1" x14ac:dyDescent="0.25">
      <c r="A1729" t="s">
        <v>3024</v>
      </c>
    </row>
    <row r="1730" spans="1:1" x14ac:dyDescent="0.25">
      <c r="A1730" t="s">
        <v>3025</v>
      </c>
    </row>
    <row r="1731" spans="1:1" x14ac:dyDescent="0.25">
      <c r="A1731" t="s">
        <v>3026</v>
      </c>
    </row>
    <row r="1732" spans="1:1" x14ac:dyDescent="0.25">
      <c r="A1732" t="s">
        <v>3027</v>
      </c>
    </row>
    <row r="1733" spans="1:1" x14ac:dyDescent="0.25">
      <c r="A1733" t="s">
        <v>3028</v>
      </c>
    </row>
    <row r="1734" spans="1:1" x14ac:dyDescent="0.25">
      <c r="A1734" t="s">
        <v>3029</v>
      </c>
    </row>
    <row r="1735" spans="1:1" x14ac:dyDescent="0.25">
      <c r="A1735" t="s">
        <v>3030</v>
      </c>
    </row>
    <row r="1736" spans="1:1" x14ac:dyDescent="0.25">
      <c r="A1736" t="s">
        <v>3031</v>
      </c>
    </row>
    <row r="1737" spans="1:1" x14ac:dyDescent="0.25">
      <c r="A1737" t="s">
        <v>3032</v>
      </c>
    </row>
    <row r="1738" spans="1:1" x14ac:dyDescent="0.25">
      <c r="A1738" t="s">
        <v>3033</v>
      </c>
    </row>
    <row r="1739" spans="1:1" x14ac:dyDescent="0.25">
      <c r="A1739" t="s">
        <v>3034</v>
      </c>
    </row>
    <row r="1740" spans="1:1" x14ac:dyDescent="0.25">
      <c r="A1740" t="s">
        <v>3035</v>
      </c>
    </row>
    <row r="1741" spans="1:1" x14ac:dyDescent="0.25">
      <c r="A1741" t="s">
        <v>3036</v>
      </c>
    </row>
    <row r="1742" spans="1:1" x14ac:dyDescent="0.25">
      <c r="A1742" t="s">
        <v>3037</v>
      </c>
    </row>
    <row r="1743" spans="1:1" x14ac:dyDescent="0.25">
      <c r="A1743" t="s">
        <v>3038</v>
      </c>
    </row>
    <row r="1744" spans="1:1" x14ac:dyDescent="0.25">
      <c r="A1744" t="s">
        <v>3039</v>
      </c>
    </row>
    <row r="1745" spans="1:1" x14ac:dyDescent="0.25">
      <c r="A1745" t="s">
        <v>3040</v>
      </c>
    </row>
    <row r="1746" spans="1:1" x14ac:dyDescent="0.25">
      <c r="A1746" t="s">
        <v>3041</v>
      </c>
    </row>
    <row r="1747" spans="1:1" x14ac:dyDescent="0.25">
      <c r="A1747" t="s">
        <v>3042</v>
      </c>
    </row>
    <row r="1748" spans="1:1" x14ac:dyDescent="0.25">
      <c r="A1748" t="s">
        <v>3043</v>
      </c>
    </row>
    <row r="1749" spans="1:1" x14ac:dyDescent="0.25">
      <c r="A1749" t="s">
        <v>3044</v>
      </c>
    </row>
    <row r="1750" spans="1:1" x14ac:dyDescent="0.25">
      <c r="A1750" t="s">
        <v>3045</v>
      </c>
    </row>
    <row r="1751" spans="1:1" x14ac:dyDescent="0.25">
      <c r="A1751" t="s">
        <v>3046</v>
      </c>
    </row>
    <row r="1752" spans="1:1" x14ac:dyDescent="0.25">
      <c r="A1752" t="s">
        <v>3047</v>
      </c>
    </row>
    <row r="1753" spans="1:1" x14ac:dyDescent="0.25">
      <c r="A1753" t="s">
        <v>3048</v>
      </c>
    </row>
    <row r="1754" spans="1:1" x14ac:dyDescent="0.25">
      <c r="A1754" t="s">
        <v>3049</v>
      </c>
    </row>
    <row r="1755" spans="1:1" x14ac:dyDescent="0.25">
      <c r="A1755" t="s">
        <v>3050</v>
      </c>
    </row>
    <row r="1756" spans="1:1" x14ac:dyDescent="0.25">
      <c r="A1756" t="s">
        <v>3051</v>
      </c>
    </row>
    <row r="1757" spans="1:1" x14ac:dyDescent="0.25">
      <c r="A1757" t="s">
        <v>3052</v>
      </c>
    </row>
    <row r="1758" spans="1:1" x14ac:dyDescent="0.25">
      <c r="A1758" t="s">
        <v>3053</v>
      </c>
    </row>
    <row r="1759" spans="1:1" x14ac:dyDescent="0.25">
      <c r="A1759" t="s">
        <v>3054</v>
      </c>
    </row>
    <row r="1760" spans="1:1" x14ac:dyDescent="0.25">
      <c r="A1760" t="s">
        <v>3055</v>
      </c>
    </row>
    <row r="1761" spans="1:1" x14ac:dyDescent="0.25">
      <c r="A1761" t="s">
        <v>3056</v>
      </c>
    </row>
    <row r="1762" spans="1:1" x14ac:dyDescent="0.25">
      <c r="A1762" t="s">
        <v>3057</v>
      </c>
    </row>
    <row r="1763" spans="1:1" x14ac:dyDescent="0.25">
      <c r="A1763" t="s">
        <v>3058</v>
      </c>
    </row>
    <row r="1764" spans="1:1" x14ac:dyDescent="0.25">
      <c r="A1764" t="s">
        <v>3059</v>
      </c>
    </row>
    <row r="1765" spans="1:1" x14ac:dyDescent="0.25">
      <c r="A1765" t="s">
        <v>3060</v>
      </c>
    </row>
    <row r="1766" spans="1:1" x14ac:dyDescent="0.25">
      <c r="A1766" t="s">
        <v>3061</v>
      </c>
    </row>
    <row r="1767" spans="1:1" x14ac:dyDescent="0.25">
      <c r="A1767" t="s">
        <v>3062</v>
      </c>
    </row>
    <row r="1768" spans="1:1" x14ac:dyDescent="0.25">
      <c r="A1768" t="s">
        <v>3063</v>
      </c>
    </row>
    <row r="1769" spans="1:1" x14ac:dyDescent="0.25">
      <c r="A1769" t="s">
        <v>3064</v>
      </c>
    </row>
    <row r="1770" spans="1:1" x14ac:dyDescent="0.25">
      <c r="A1770" t="s">
        <v>3065</v>
      </c>
    </row>
    <row r="1771" spans="1:1" x14ac:dyDescent="0.25">
      <c r="A1771" t="s">
        <v>3066</v>
      </c>
    </row>
    <row r="1772" spans="1:1" x14ac:dyDescent="0.25">
      <c r="A1772" t="s">
        <v>3067</v>
      </c>
    </row>
    <row r="1773" spans="1:1" x14ac:dyDescent="0.25">
      <c r="A1773" t="s">
        <v>3068</v>
      </c>
    </row>
    <row r="1774" spans="1:1" x14ac:dyDescent="0.25">
      <c r="A1774" t="s">
        <v>3069</v>
      </c>
    </row>
    <row r="1775" spans="1:1" x14ac:dyDescent="0.25">
      <c r="A1775" t="s">
        <v>3070</v>
      </c>
    </row>
    <row r="1776" spans="1:1" x14ac:dyDescent="0.25">
      <c r="A1776" t="s">
        <v>3071</v>
      </c>
    </row>
    <row r="1777" spans="1:1" x14ac:dyDescent="0.25">
      <c r="A1777" t="s">
        <v>3072</v>
      </c>
    </row>
    <row r="1778" spans="1:1" x14ac:dyDescent="0.25">
      <c r="A1778" t="s">
        <v>3073</v>
      </c>
    </row>
    <row r="1779" spans="1:1" x14ac:dyDescent="0.25">
      <c r="A1779" t="s">
        <v>3074</v>
      </c>
    </row>
    <row r="1780" spans="1:1" x14ac:dyDescent="0.25">
      <c r="A1780" t="s">
        <v>3075</v>
      </c>
    </row>
    <row r="1781" spans="1:1" x14ac:dyDescent="0.25">
      <c r="A1781" t="s">
        <v>3076</v>
      </c>
    </row>
    <row r="1782" spans="1:1" x14ac:dyDescent="0.25">
      <c r="A1782" t="s">
        <v>3077</v>
      </c>
    </row>
    <row r="1783" spans="1:1" x14ac:dyDescent="0.25">
      <c r="A1783" t="s">
        <v>3078</v>
      </c>
    </row>
    <row r="1784" spans="1:1" x14ac:dyDescent="0.25">
      <c r="A1784" t="s">
        <v>3079</v>
      </c>
    </row>
    <row r="1785" spans="1:1" x14ac:dyDescent="0.25">
      <c r="A1785" t="s">
        <v>3080</v>
      </c>
    </row>
    <row r="1786" spans="1:1" x14ac:dyDescent="0.25">
      <c r="A1786" t="s">
        <v>3081</v>
      </c>
    </row>
    <row r="1787" spans="1:1" x14ac:dyDescent="0.25">
      <c r="A1787" t="s">
        <v>3082</v>
      </c>
    </row>
    <row r="1788" spans="1:1" x14ac:dyDescent="0.25">
      <c r="A1788" t="s">
        <v>3083</v>
      </c>
    </row>
    <row r="1789" spans="1:1" x14ac:dyDescent="0.25">
      <c r="A1789" t="s">
        <v>3084</v>
      </c>
    </row>
    <row r="1790" spans="1:1" x14ac:dyDescent="0.25">
      <c r="A1790" t="s">
        <v>3085</v>
      </c>
    </row>
    <row r="1791" spans="1:1" x14ac:dyDescent="0.25">
      <c r="A1791" t="s">
        <v>3086</v>
      </c>
    </row>
    <row r="1792" spans="1:1" x14ac:dyDescent="0.25">
      <c r="A1792" t="s">
        <v>3087</v>
      </c>
    </row>
    <row r="1793" spans="1:1" x14ac:dyDescent="0.25">
      <c r="A1793" t="s">
        <v>3088</v>
      </c>
    </row>
    <row r="1794" spans="1:1" x14ac:dyDescent="0.25">
      <c r="A1794" t="s">
        <v>3089</v>
      </c>
    </row>
    <row r="1795" spans="1:1" x14ac:dyDescent="0.25">
      <c r="A1795" t="s">
        <v>3090</v>
      </c>
    </row>
    <row r="1796" spans="1:1" x14ac:dyDescent="0.25">
      <c r="A1796" t="s">
        <v>3091</v>
      </c>
    </row>
    <row r="1797" spans="1:1" x14ac:dyDescent="0.25">
      <c r="A1797" t="s">
        <v>3092</v>
      </c>
    </row>
    <row r="1798" spans="1:1" x14ac:dyDescent="0.25">
      <c r="A1798" t="s">
        <v>3093</v>
      </c>
    </row>
    <row r="1799" spans="1:1" x14ac:dyDescent="0.25">
      <c r="A1799" t="s">
        <v>3094</v>
      </c>
    </row>
    <row r="1800" spans="1:1" x14ac:dyDescent="0.25">
      <c r="A1800" t="s">
        <v>3095</v>
      </c>
    </row>
    <row r="1801" spans="1:1" x14ac:dyDescent="0.25">
      <c r="A1801" t="s">
        <v>3096</v>
      </c>
    </row>
    <row r="1802" spans="1:1" x14ac:dyDescent="0.25">
      <c r="A1802" t="s">
        <v>3097</v>
      </c>
    </row>
    <row r="1803" spans="1:1" x14ac:dyDescent="0.25">
      <c r="A1803" t="s">
        <v>3098</v>
      </c>
    </row>
    <row r="1804" spans="1:1" x14ac:dyDescent="0.25">
      <c r="A1804" t="s">
        <v>3099</v>
      </c>
    </row>
    <row r="1805" spans="1:1" x14ac:dyDescent="0.25">
      <c r="A1805" t="s">
        <v>3100</v>
      </c>
    </row>
    <row r="1806" spans="1:1" x14ac:dyDescent="0.25">
      <c r="A1806" t="s">
        <v>3101</v>
      </c>
    </row>
    <row r="1807" spans="1:1" x14ac:dyDescent="0.25">
      <c r="A1807" t="s">
        <v>3102</v>
      </c>
    </row>
    <row r="1808" spans="1:1" x14ac:dyDescent="0.25">
      <c r="A1808" t="s">
        <v>3103</v>
      </c>
    </row>
    <row r="1809" spans="1:1" x14ac:dyDescent="0.25">
      <c r="A1809" t="s">
        <v>3104</v>
      </c>
    </row>
    <row r="1810" spans="1:1" x14ac:dyDescent="0.25">
      <c r="A1810" t="s">
        <v>3105</v>
      </c>
    </row>
    <row r="1811" spans="1:1" x14ac:dyDescent="0.25">
      <c r="A1811" t="s">
        <v>3106</v>
      </c>
    </row>
    <row r="1812" spans="1:1" x14ac:dyDescent="0.25">
      <c r="A1812" t="s">
        <v>3107</v>
      </c>
    </row>
    <row r="1813" spans="1:1" x14ac:dyDescent="0.25">
      <c r="A1813" t="s">
        <v>3108</v>
      </c>
    </row>
    <row r="1814" spans="1:1" x14ac:dyDescent="0.25">
      <c r="A1814" t="s">
        <v>3109</v>
      </c>
    </row>
    <row r="1815" spans="1:1" x14ac:dyDescent="0.25">
      <c r="A1815" t="s">
        <v>3110</v>
      </c>
    </row>
    <row r="1816" spans="1:1" x14ac:dyDescent="0.25">
      <c r="A1816" t="s">
        <v>3111</v>
      </c>
    </row>
    <row r="1817" spans="1:1" x14ac:dyDescent="0.25">
      <c r="A1817" t="s">
        <v>3112</v>
      </c>
    </row>
    <row r="1818" spans="1:1" x14ac:dyDescent="0.25">
      <c r="A1818" t="s">
        <v>3113</v>
      </c>
    </row>
    <row r="1819" spans="1:1" x14ac:dyDescent="0.25">
      <c r="A1819" t="s">
        <v>3114</v>
      </c>
    </row>
    <row r="1820" spans="1:1" x14ac:dyDescent="0.25">
      <c r="A1820" t="s">
        <v>3115</v>
      </c>
    </row>
    <row r="1821" spans="1:1" x14ac:dyDescent="0.25">
      <c r="A1821" t="s">
        <v>3116</v>
      </c>
    </row>
    <row r="1822" spans="1:1" x14ac:dyDescent="0.25">
      <c r="A1822" t="s">
        <v>3117</v>
      </c>
    </row>
    <row r="1823" spans="1:1" x14ac:dyDescent="0.25">
      <c r="A1823" t="s">
        <v>3118</v>
      </c>
    </row>
    <row r="1824" spans="1:1" x14ac:dyDescent="0.25">
      <c r="A1824" t="s">
        <v>3119</v>
      </c>
    </row>
    <row r="1825" spans="1:1" x14ac:dyDescent="0.25">
      <c r="A1825" t="s">
        <v>3120</v>
      </c>
    </row>
    <row r="1826" spans="1:1" x14ac:dyDescent="0.25">
      <c r="A1826" t="s">
        <v>3121</v>
      </c>
    </row>
    <row r="1827" spans="1:1" x14ac:dyDescent="0.25">
      <c r="A1827" t="s">
        <v>3122</v>
      </c>
    </row>
    <row r="1828" spans="1:1" x14ac:dyDescent="0.25">
      <c r="A1828" t="s">
        <v>3123</v>
      </c>
    </row>
    <row r="1829" spans="1:1" x14ac:dyDescent="0.25">
      <c r="A1829" t="s">
        <v>3124</v>
      </c>
    </row>
    <row r="1830" spans="1:1" x14ac:dyDescent="0.25">
      <c r="A1830" t="s">
        <v>3125</v>
      </c>
    </row>
    <row r="1831" spans="1:1" x14ac:dyDescent="0.25">
      <c r="A1831" t="s">
        <v>3126</v>
      </c>
    </row>
    <row r="1832" spans="1:1" x14ac:dyDescent="0.25">
      <c r="A1832" t="s">
        <v>3127</v>
      </c>
    </row>
    <row r="1833" spans="1:1" x14ac:dyDescent="0.25">
      <c r="A1833" t="s">
        <v>3128</v>
      </c>
    </row>
    <row r="1834" spans="1:1" x14ac:dyDescent="0.25">
      <c r="A1834" t="s">
        <v>3129</v>
      </c>
    </row>
    <row r="1835" spans="1:1" x14ac:dyDescent="0.25">
      <c r="A1835" t="s">
        <v>3130</v>
      </c>
    </row>
    <row r="1836" spans="1:1" x14ac:dyDescent="0.25">
      <c r="A1836" t="s">
        <v>3131</v>
      </c>
    </row>
    <row r="1837" spans="1:1" x14ac:dyDescent="0.25">
      <c r="A1837" t="s">
        <v>3132</v>
      </c>
    </row>
    <row r="1838" spans="1:1" x14ac:dyDescent="0.25">
      <c r="A1838" t="s">
        <v>3133</v>
      </c>
    </row>
    <row r="1839" spans="1:1" x14ac:dyDescent="0.25">
      <c r="A1839" t="s">
        <v>3134</v>
      </c>
    </row>
    <row r="1840" spans="1:1" x14ac:dyDescent="0.25">
      <c r="A1840" t="s">
        <v>3135</v>
      </c>
    </row>
    <row r="1841" spans="1:1" x14ac:dyDescent="0.25">
      <c r="A1841" t="s">
        <v>3136</v>
      </c>
    </row>
    <row r="1842" spans="1:1" x14ac:dyDescent="0.25">
      <c r="A1842" t="s">
        <v>3137</v>
      </c>
    </row>
    <row r="1843" spans="1:1" x14ac:dyDescent="0.25">
      <c r="A1843" t="s">
        <v>3138</v>
      </c>
    </row>
    <row r="1844" spans="1:1" x14ac:dyDescent="0.25">
      <c r="A1844" t="s">
        <v>3139</v>
      </c>
    </row>
    <row r="1845" spans="1:1" x14ac:dyDescent="0.25">
      <c r="A1845" t="s">
        <v>3140</v>
      </c>
    </row>
    <row r="1846" spans="1:1" x14ac:dyDescent="0.25">
      <c r="A1846" t="s">
        <v>3141</v>
      </c>
    </row>
    <row r="1847" spans="1:1" x14ac:dyDescent="0.25">
      <c r="A1847" t="s">
        <v>3142</v>
      </c>
    </row>
    <row r="1848" spans="1:1" x14ac:dyDescent="0.25">
      <c r="A1848" t="s">
        <v>3143</v>
      </c>
    </row>
    <row r="1849" spans="1:1" x14ac:dyDescent="0.25">
      <c r="A1849" t="s">
        <v>3144</v>
      </c>
    </row>
    <row r="1850" spans="1:1" x14ac:dyDescent="0.25">
      <c r="A1850" t="s">
        <v>3145</v>
      </c>
    </row>
    <row r="1851" spans="1:1" x14ac:dyDescent="0.25">
      <c r="A1851" t="s">
        <v>3146</v>
      </c>
    </row>
    <row r="1852" spans="1:1" x14ac:dyDescent="0.25">
      <c r="A1852" t="s">
        <v>3147</v>
      </c>
    </row>
    <row r="1853" spans="1:1" x14ac:dyDescent="0.25">
      <c r="A1853" t="s">
        <v>3148</v>
      </c>
    </row>
    <row r="1854" spans="1:1" x14ac:dyDescent="0.25">
      <c r="A1854" t="s">
        <v>3149</v>
      </c>
    </row>
    <row r="1855" spans="1:1" x14ac:dyDescent="0.25">
      <c r="A1855" t="s">
        <v>3150</v>
      </c>
    </row>
    <row r="1856" spans="1:1" x14ac:dyDescent="0.25">
      <c r="A1856" t="s">
        <v>3151</v>
      </c>
    </row>
    <row r="1857" spans="1:1" x14ac:dyDescent="0.25">
      <c r="A1857" t="s">
        <v>3152</v>
      </c>
    </row>
    <row r="1858" spans="1:1" x14ac:dyDescent="0.25">
      <c r="A1858" t="s">
        <v>3153</v>
      </c>
    </row>
    <row r="1859" spans="1:1" x14ac:dyDescent="0.25">
      <c r="A1859" t="s">
        <v>3154</v>
      </c>
    </row>
    <row r="1860" spans="1:1" x14ac:dyDescent="0.25">
      <c r="A1860" t="s">
        <v>3155</v>
      </c>
    </row>
    <row r="1861" spans="1:1" x14ac:dyDescent="0.25">
      <c r="A1861" t="s">
        <v>3156</v>
      </c>
    </row>
    <row r="1862" spans="1:1" x14ac:dyDescent="0.25">
      <c r="A1862" t="s">
        <v>3157</v>
      </c>
    </row>
    <row r="1863" spans="1:1" x14ac:dyDescent="0.25">
      <c r="A1863" t="s">
        <v>3158</v>
      </c>
    </row>
    <row r="1864" spans="1:1" x14ac:dyDescent="0.25">
      <c r="A1864" t="s">
        <v>3159</v>
      </c>
    </row>
    <row r="1865" spans="1:1" x14ac:dyDescent="0.25">
      <c r="A1865" t="s">
        <v>3160</v>
      </c>
    </row>
    <row r="1866" spans="1:1" x14ac:dyDescent="0.25">
      <c r="A1866" t="s">
        <v>3161</v>
      </c>
    </row>
    <row r="1867" spans="1:1" x14ac:dyDescent="0.25">
      <c r="A1867" t="s">
        <v>3162</v>
      </c>
    </row>
    <row r="1868" spans="1:1" x14ac:dyDescent="0.25">
      <c r="A1868" t="s">
        <v>3163</v>
      </c>
    </row>
    <row r="1869" spans="1:1" x14ac:dyDescent="0.25">
      <c r="A1869" t="s">
        <v>3164</v>
      </c>
    </row>
    <row r="1870" spans="1:1" x14ac:dyDescent="0.25">
      <c r="A1870" t="s">
        <v>3165</v>
      </c>
    </row>
    <row r="1871" spans="1:1" x14ac:dyDescent="0.25">
      <c r="A1871" t="s">
        <v>3166</v>
      </c>
    </row>
    <row r="1872" spans="1:1" x14ac:dyDescent="0.25">
      <c r="A1872" t="s">
        <v>3167</v>
      </c>
    </row>
    <row r="1873" spans="1:1" x14ac:dyDescent="0.25">
      <c r="A1873" t="s">
        <v>3168</v>
      </c>
    </row>
    <row r="1874" spans="1:1" x14ac:dyDescent="0.25">
      <c r="A1874" t="s">
        <v>3169</v>
      </c>
    </row>
    <row r="1875" spans="1:1" x14ac:dyDescent="0.25">
      <c r="A1875" t="s">
        <v>3170</v>
      </c>
    </row>
    <row r="1876" spans="1:1" x14ac:dyDescent="0.25">
      <c r="A1876" t="s">
        <v>3171</v>
      </c>
    </row>
    <row r="1877" spans="1:1" x14ac:dyDescent="0.25">
      <c r="A1877" t="s">
        <v>3172</v>
      </c>
    </row>
    <row r="1878" spans="1:1" x14ac:dyDescent="0.25">
      <c r="A1878" t="s">
        <v>3173</v>
      </c>
    </row>
    <row r="1879" spans="1:1" x14ac:dyDescent="0.25">
      <c r="A1879" t="s">
        <v>3174</v>
      </c>
    </row>
    <row r="1880" spans="1:1" x14ac:dyDescent="0.25">
      <c r="A1880" t="s">
        <v>3175</v>
      </c>
    </row>
    <row r="1881" spans="1:1" x14ac:dyDescent="0.25">
      <c r="A1881" t="s">
        <v>3176</v>
      </c>
    </row>
    <row r="1882" spans="1:1" x14ac:dyDescent="0.25">
      <c r="A1882" t="s">
        <v>3177</v>
      </c>
    </row>
    <row r="1883" spans="1:1" x14ac:dyDescent="0.25">
      <c r="A1883" t="s">
        <v>3178</v>
      </c>
    </row>
    <row r="1884" spans="1:1" x14ac:dyDescent="0.25">
      <c r="A1884" t="s">
        <v>3179</v>
      </c>
    </row>
    <row r="1885" spans="1:1" x14ac:dyDescent="0.25">
      <c r="A1885" t="s">
        <v>3180</v>
      </c>
    </row>
    <row r="1886" spans="1:1" x14ac:dyDescent="0.25">
      <c r="A1886" t="s">
        <v>3181</v>
      </c>
    </row>
    <row r="1887" spans="1:1" x14ac:dyDescent="0.25">
      <c r="A1887" t="s">
        <v>3182</v>
      </c>
    </row>
    <row r="1888" spans="1:1" x14ac:dyDescent="0.25">
      <c r="A1888" t="s">
        <v>3183</v>
      </c>
    </row>
    <row r="1889" spans="1:1" x14ac:dyDescent="0.25">
      <c r="A1889" t="s">
        <v>3184</v>
      </c>
    </row>
    <row r="1890" spans="1:1" x14ac:dyDescent="0.25">
      <c r="A1890" t="s">
        <v>3185</v>
      </c>
    </row>
    <row r="1891" spans="1:1" x14ac:dyDescent="0.25">
      <c r="A1891" t="s">
        <v>3186</v>
      </c>
    </row>
    <row r="1892" spans="1:1" x14ac:dyDescent="0.25">
      <c r="A1892" t="s">
        <v>3187</v>
      </c>
    </row>
    <row r="1893" spans="1:1" x14ac:dyDescent="0.25">
      <c r="A1893" t="s">
        <v>3188</v>
      </c>
    </row>
    <row r="1894" spans="1:1" x14ac:dyDescent="0.25">
      <c r="A1894" t="s">
        <v>3189</v>
      </c>
    </row>
    <row r="1895" spans="1:1" x14ac:dyDescent="0.25">
      <c r="A1895" t="s">
        <v>3190</v>
      </c>
    </row>
    <row r="1896" spans="1:1" x14ac:dyDescent="0.25">
      <c r="A1896" t="s">
        <v>3191</v>
      </c>
    </row>
    <row r="1897" spans="1:1" x14ac:dyDescent="0.25">
      <c r="A1897" t="s">
        <v>3192</v>
      </c>
    </row>
    <row r="1898" spans="1:1" x14ac:dyDescent="0.25">
      <c r="A1898" t="s">
        <v>3193</v>
      </c>
    </row>
    <row r="1899" spans="1:1" x14ac:dyDescent="0.25">
      <c r="A1899" t="s">
        <v>3194</v>
      </c>
    </row>
    <row r="1900" spans="1:1" x14ac:dyDescent="0.25">
      <c r="A1900" t="s">
        <v>3195</v>
      </c>
    </row>
    <row r="1901" spans="1:1" x14ac:dyDescent="0.25">
      <c r="A1901" t="s">
        <v>3196</v>
      </c>
    </row>
    <row r="1902" spans="1:1" x14ac:dyDescent="0.25">
      <c r="A1902" t="s">
        <v>3197</v>
      </c>
    </row>
    <row r="1903" spans="1:1" x14ac:dyDescent="0.25">
      <c r="A1903" t="s">
        <v>3198</v>
      </c>
    </row>
    <row r="1904" spans="1:1" x14ac:dyDescent="0.25">
      <c r="A1904" t="s">
        <v>3199</v>
      </c>
    </row>
    <row r="1905" spans="1:1" x14ac:dyDescent="0.25">
      <c r="A1905" t="s">
        <v>3200</v>
      </c>
    </row>
    <row r="1906" spans="1:1" x14ac:dyDescent="0.25">
      <c r="A1906" t="s">
        <v>3201</v>
      </c>
    </row>
    <row r="1907" spans="1:1" x14ac:dyDescent="0.25">
      <c r="A1907" t="s">
        <v>3202</v>
      </c>
    </row>
    <row r="1908" spans="1:1" x14ac:dyDescent="0.25">
      <c r="A1908" t="s">
        <v>3203</v>
      </c>
    </row>
    <row r="1909" spans="1:1" x14ac:dyDescent="0.25">
      <c r="A1909" t="s">
        <v>3204</v>
      </c>
    </row>
    <row r="1910" spans="1:1" x14ac:dyDescent="0.25">
      <c r="A1910" t="s">
        <v>3205</v>
      </c>
    </row>
    <row r="1911" spans="1:1" x14ac:dyDescent="0.25">
      <c r="A1911" t="s">
        <v>3206</v>
      </c>
    </row>
    <row r="1912" spans="1:1" x14ac:dyDescent="0.25">
      <c r="A1912" t="s">
        <v>3207</v>
      </c>
    </row>
    <row r="1913" spans="1:1" x14ac:dyDescent="0.25">
      <c r="A1913" t="s">
        <v>3208</v>
      </c>
    </row>
    <row r="1914" spans="1:1" x14ac:dyDescent="0.25">
      <c r="A1914" t="s">
        <v>3209</v>
      </c>
    </row>
    <row r="1915" spans="1:1" x14ac:dyDescent="0.25">
      <c r="A1915" t="s">
        <v>3210</v>
      </c>
    </row>
    <row r="1916" spans="1:1" x14ac:dyDescent="0.25">
      <c r="A1916" t="s">
        <v>3211</v>
      </c>
    </row>
    <row r="1917" spans="1:1" x14ac:dyDescent="0.25">
      <c r="A1917" t="s">
        <v>3212</v>
      </c>
    </row>
    <row r="1918" spans="1:1" x14ac:dyDescent="0.25">
      <c r="A1918" t="s">
        <v>3213</v>
      </c>
    </row>
    <row r="1919" spans="1:1" x14ac:dyDescent="0.25">
      <c r="A1919" t="s">
        <v>3214</v>
      </c>
    </row>
    <row r="1920" spans="1:1" x14ac:dyDescent="0.25">
      <c r="A1920" t="s">
        <v>3215</v>
      </c>
    </row>
    <row r="1921" spans="1:1" x14ac:dyDescent="0.25">
      <c r="A1921" t="s">
        <v>3216</v>
      </c>
    </row>
    <row r="1922" spans="1:1" x14ac:dyDescent="0.25">
      <c r="A1922" t="s">
        <v>3217</v>
      </c>
    </row>
    <row r="1923" spans="1:1" x14ac:dyDescent="0.25">
      <c r="A1923" t="s">
        <v>3218</v>
      </c>
    </row>
    <row r="1924" spans="1:1" x14ac:dyDescent="0.25">
      <c r="A1924" t="s">
        <v>3219</v>
      </c>
    </row>
    <row r="1925" spans="1:1" x14ac:dyDescent="0.25">
      <c r="A1925" t="s">
        <v>3220</v>
      </c>
    </row>
    <row r="1926" spans="1:1" x14ac:dyDescent="0.25">
      <c r="A1926" t="s">
        <v>3221</v>
      </c>
    </row>
    <row r="1927" spans="1:1" x14ac:dyDescent="0.25">
      <c r="A1927" t="s">
        <v>3222</v>
      </c>
    </row>
    <row r="1928" spans="1:1" x14ac:dyDescent="0.25">
      <c r="A1928" t="s">
        <v>3223</v>
      </c>
    </row>
    <row r="1929" spans="1:1" x14ac:dyDescent="0.25">
      <c r="A1929" t="s">
        <v>3224</v>
      </c>
    </row>
    <row r="1930" spans="1:1" x14ac:dyDescent="0.25">
      <c r="A1930" t="s">
        <v>3225</v>
      </c>
    </row>
    <row r="1931" spans="1:1" x14ac:dyDescent="0.25">
      <c r="A1931" t="s">
        <v>3226</v>
      </c>
    </row>
    <row r="1932" spans="1:1" x14ac:dyDescent="0.25">
      <c r="A1932" t="s">
        <v>3227</v>
      </c>
    </row>
    <row r="1933" spans="1:1" x14ac:dyDescent="0.25">
      <c r="A1933" t="s">
        <v>3228</v>
      </c>
    </row>
    <row r="1934" spans="1:1" x14ac:dyDescent="0.25">
      <c r="A1934" t="s">
        <v>3229</v>
      </c>
    </row>
    <row r="1935" spans="1:1" x14ac:dyDescent="0.25">
      <c r="A1935" t="s">
        <v>3230</v>
      </c>
    </row>
    <row r="1936" spans="1:1" x14ac:dyDescent="0.25">
      <c r="A1936" t="s">
        <v>3231</v>
      </c>
    </row>
    <row r="1937" spans="1:1" x14ac:dyDescent="0.25">
      <c r="A1937" t="s">
        <v>3232</v>
      </c>
    </row>
    <row r="1938" spans="1:1" x14ac:dyDescent="0.25">
      <c r="A1938" t="s">
        <v>3233</v>
      </c>
    </row>
    <row r="1939" spans="1:1" x14ac:dyDescent="0.25">
      <c r="A1939" t="s">
        <v>3234</v>
      </c>
    </row>
    <row r="1940" spans="1:1" x14ac:dyDescent="0.25">
      <c r="A1940" t="s">
        <v>3235</v>
      </c>
    </row>
    <row r="1941" spans="1:1" x14ac:dyDescent="0.25">
      <c r="A1941" t="s">
        <v>3236</v>
      </c>
    </row>
    <row r="1942" spans="1:1" x14ac:dyDescent="0.25">
      <c r="A1942" t="s">
        <v>3237</v>
      </c>
    </row>
    <row r="1943" spans="1:1" x14ac:dyDescent="0.25">
      <c r="A1943" t="s">
        <v>3238</v>
      </c>
    </row>
    <row r="1944" spans="1:1" x14ac:dyDescent="0.25">
      <c r="A1944" t="s">
        <v>3239</v>
      </c>
    </row>
    <row r="1945" spans="1:1" x14ac:dyDescent="0.25">
      <c r="A1945" t="s">
        <v>3240</v>
      </c>
    </row>
    <row r="1946" spans="1:1" x14ac:dyDescent="0.25">
      <c r="A1946" t="s">
        <v>3241</v>
      </c>
    </row>
    <row r="1947" spans="1:1" x14ac:dyDescent="0.25">
      <c r="A1947" t="s">
        <v>3242</v>
      </c>
    </row>
    <row r="1948" spans="1:1" x14ac:dyDescent="0.25">
      <c r="A1948" t="s">
        <v>3243</v>
      </c>
    </row>
    <row r="1949" spans="1:1" x14ac:dyDescent="0.25">
      <c r="A1949" t="s">
        <v>3244</v>
      </c>
    </row>
    <row r="1950" spans="1:1" x14ac:dyDescent="0.25">
      <c r="A1950" t="s">
        <v>3245</v>
      </c>
    </row>
    <row r="1951" spans="1:1" x14ac:dyDescent="0.25">
      <c r="A1951" t="s">
        <v>3246</v>
      </c>
    </row>
    <row r="1952" spans="1:1" x14ac:dyDescent="0.25">
      <c r="A1952" t="s">
        <v>3247</v>
      </c>
    </row>
    <row r="1953" spans="1:1" x14ac:dyDescent="0.25">
      <c r="A1953" t="s">
        <v>3248</v>
      </c>
    </row>
    <row r="1954" spans="1:1" x14ac:dyDescent="0.25">
      <c r="A1954" t="s">
        <v>3249</v>
      </c>
    </row>
    <row r="1955" spans="1:1" x14ac:dyDescent="0.25">
      <c r="A1955" t="s">
        <v>3250</v>
      </c>
    </row>
    <row r="1956" spans="1:1" x14ac:dyDescent="0.25">
      <c r="A1956" t="s">
        <v>3251</v>
      </c>
    </row>
    <row r="1957" spans="1:1" x14ac:dyDescent="0.25">
      <c r="A1957" t="s">
        <v>3252</v>
      </c>
    </row>
    <row r="1958" spans="1:1" x14ac:dyDescent="0.25">
      <c r="A1958" t="s">
        <v>3253</v>
      </c>
    </row>
    <row r="1959" spans="1:1" x14ac:dyDescent="0.25">
      <c r="A1959" t="s">
        <v>3254</v>
      </c>
    </row>
    <row r="1960" spans="1:1" x14ac:dyDescent="0.25">
      <c r="A1960" t="s">
        <v>3255</v>
      </c>
    </row>
    <row r="1961" spans="1:1" x14ac:dyDescent="0.25">
      <c r="A1961" t="s">
        <v>3256</v>
      </c>
    </row>
    <row r="1962" spans="1:1" x14ac:dyDescent="0.25">
      <c r="A1962" t="s">
        <v>3257</v>
      </c>
    </row>
    <row r="1963" spans="1:1" x14ac:dyDescent="0.25">
      <c r="A1963" t="s">
        <v>3258</v>
      </c>
    </row>
    <row r="1964" spans="1:1" x14ac:dyDescent="0.25">
      <c r="A1964" t="s">
        <v>3259</v>
      </c>
    </row>
    <row r="1965" spans="1:1" x14ac:dyDescent="0.25">
      <c r="A1965" t="s">
        <v>3260</v>
      </c>
    </row>
    <row r="1966" spans="1:1" x14ac:dyDescent="0.25">
      <c r="A1966" t="s">
        <v>3261</v>
      </c>
    </row>
    <row r="1967" spans="1:1" x14ac:dyDescent="0.25">
      <c r="A1967" t="s">
        <v>3262</v>
      </c>
    </row>
    <row r="1968" spans="1:1" x14ac:dyDescent="0.25">
      <c r="A1968" t="s">
        <v>3263</v>
      </c>
    </row>
    <row r="1969" spans="1:1" x14ac:dyDescent="0.25">
      <c r="A1969" t="s">
        <v>3264</v>
      </c>
    </row>
    <row r="1970" spans="1:1" x14ac:dyDescent="0.25">
      <c r="A1970" t="s">
        <v>3265</v>
      </c>
    </row>
    <row r="1971" spans="1:1" x14ac:dyDescent="0.25">
      <c r="A1971" t="s">
        <v>3266</v>
      </c>
    </row>
    <row r="1972" spans="1:1" x14ac:dyDescent="0.25">
      <c r="A1972" t="s">
        <v>3267</v>
      </c>
    </row>
    <row r="1973" spans="1:1" x14ac:dyDescent="0.25">
      <c r="A1973" t="s">
        <v>3268</v>
      </c>
    </row>
    <row r="1974" spans="1:1" x14ac:dyDescent="0.25">
      <c r="A1974" t="s">
        <v>3269</v>
      </c>
    </row>
    <row r="1975" spans="1:1" x14ac:dyDescent="0.25">
      <c r="A1975" t="s">
        <v>3270</v>
      </c>
    </row>
    <row r="1976" spans="1:1" x14ac:dyDescent="0.25">
      <c r="A1976" t="s">
        <v>3271</v>
      </c>
    </row>
    <row r="1977" spans="1:1" x14ac:dyDescent="0.25">
      <c r="A1977" t="s">
        <v>3272</v>
      </c>
    </row>
    <row r="1978" spans="1:1" x14ac:dyDescent="0.25">
      <c r="A1978" t="s">
        <v>3273</v>
      </c>
    </row>
    <row r="1979" spans="1:1" x14ac:dyDescent="0.25">
      <c r="A1979" t="s">
        <v>3274</v>
      </c>
    </row>
    <row r="1980" spans="1:1" x14ac:dyDescent="0.25">
      <c r="A1980" t="s">
        <v>3275</v>
      </c>
    </row>
    <row r="1981" spans="1:1" x14ac:dyDescent="0.25">
      <c r="A1981" t="s">
        <v>3276</v>
      </c>
    </row>
    <row r="1982" spans="1:1" x14ac:dyDescent="0.25">
      <c r="A1982" t="s">
        <v>3277</v>
      </c>
    </row>
    <row r="1983" spans="1:1" x14ac:dyDescent="0.25">
      <c r="A1983" t="s">
        <v>3278</v>
      </c>
    </row>
    <row r="1984" spans="1:1" x14ac:dyDescent="0.25">
      <c r="A1984" t="s">
        <v>3279</v>
      </c>
    </row>
    <row r="1985" spans="1:1" x14ac:dyDescent="0.25">
      <c r="A1985" t="s">
        <v>3280</v>
      </c>
    </row>
    <row r="1986" spans="1:1" x14ac:dyDescent="0.25">
      <c r="A1986" t="s">
        <v>3281</v>
      </c>
    </row>
    <row r="1987" spans="1:1" x14ac:dyDescent="0.25">
      <c r="A1987" t="s">
        <v>3282</v>
      </c>
    </row>
    <row r="1988" spans="1:1" x14ac:dyDescent="0.25">
      <c r="A1988" t="s">
        <v>3283</v>
      </c>
    </row>
    <row r="1989" spans="1:1" x14ac:dyDescent="0.25">
      <c r="A1989" t="s">
        <v>3284</v>
      </c>
    </row>
    <row r="1990" spans="1:1" x14ac:dyDescent="0.25">
      <c r="A1990" t="s">
        <v>3285</v>
      </c>
    </row>
    <row r="1991" spans="1:1" x14ac:dyDescent="0.25">
      <c r="A1991" t="s">
        <v>3286</v>
      </c>
    </row>
    <row r="1992" spans="1:1" x14ac:dyDescent="0.25">
      <c r="A1992" t="s">
        <v>3287</v>
      </c>
    </row>
    <row r="1993" spans="1:1" x14ac:dyDescent="0.25">
      <c r="A1993" t="s">
        <v>3288</v>
      </c>
    </row>
    <row r="1994" spans="1:1" x14ac:dyDescent="0.25">
      <c r="A1994" t="s">
        <v>3289</v>
      </c>
    </row>
    <row r="1995" spans="1:1" x14ac:dyDescent="0.25">
      <c r="A1995" t="s">
        <v>3290</v>
      </c>
    </row>
    <row r="1996" spans="1:1" x14ac:dyDescent="0.25">
      <c r="A1996" t="s">
        <v>3291</v>
      </c>
    </row>
    <row r="1997" spans="1:1" x14ac:dyDescent="0.25">
      <c r="A1997" t="s">
        <v>3292</v>
      </c>
    </row>
    <row r="1998" spans="1:1" x14ac:dyDescent="0.25">
      <c r="A1998" t="s">
        <v>3293</v>
      </c>
    </row>
    <row r="1999" spans="1:1" x14ac:dyDescent="0.25">
      <c r="A1999" t="s">
        <v>3294</v>
      </c>
    </row>
    <row r="2000" spans="1:1" x14ac:dyDescent="0.25">
      <c r="A2000" t="s">
        <v>3295</v>
      </c>
    </row>
    <row r="2001" spans="1:1" x14ac:dyDescent="0.25">
      <c r="A2001" t="s">
        <v>3296</v>
      </c>
    </row>
    <row r="2002" spans="1:1" x14ac:dyDescent="0.25">
      <c r="A2002" t="s">
        <v>3297</v>
      </c>
    </row>
    <row r="2003" spans="1:1" x14ac:dyDescent="0.25">
      <c r="A2003" t="s">
        <v>3298</v>
      </c>
    </row>
    <row r="2004" spans="1:1" x14ac:dyDescent="0.25">
      <c r="A2004" t="s">
        <v>3299</v>
      </c>
    </row>
    <row r="2005" spans="1:1" x14ac:dyDescent="0.25">
      <c r="A2005" t="s">
        <v>3300</v>
      </c>
    </row>
    <row r="2006" spans="1:1" x14ac:dyDescent="0.25">
      <c r="A2006" t="s">
        <v>3301</v>
      </c>
    </row>
    <row r="2007" spans="1:1" x14ac:dyDescent="0.25">
      <c r="A2007" t="s">
        <v>3302</v>
      </c>
    </row>
    <row r="2008" spans="1:1" x14ac:dyDescent="0.25">
      <c r="A2008" t="s">
        <v>3303</v>
      </c>
    </row>
    <row r="2009" spans="1:1" x14ac:dyDescent="0.25">
      <c r="A2009" t="s">
        <v>3304</v>
      </c>
    </row>
    <row r="2010" spans="1:1" x14ac:dyDescent="0.25">
      <c r="A2010" t="s">
        <v>3305</v>
      </c>
    </row>
    <row r="2011" spans="1:1" x14ac:dyDescent="0.25">
      <c r="A2011" t="s">
        <v>3306</v>
      </c>
    </row>
    <row r="2012" spans="1:1" x14ac:dyDescent="0.25">
      <c r="A2012" t="s">
        <v>3307</v>
      </c>
    </row>
    <row r="2013" spans="1:1" x14ac:dyDescent="0.25">
      <c r="A2013" t="s">
        <v>3308</v>
      </c>
    </row>
    <row r="2014" spans="1:1" x14ac:dyDescent="0.25">
      <c r="A2014" t="s">
        <v>3309</v>
      </c>
    </row>
    <row r="2015" spans="1:1" x14ac:dyDescent="0.25">
      <c r="A2015" t="s">
        <v>3310</v>
      </c>
    </row>
    <row r="2016" spans="1:1" x14ac:dyDescent="0.25">
      <c r="A2016" t="s">
        <v>3311</v>
      </c>
    </row>
    <row r="2017" spans="1:1" x14ac:dyDescent="0.25">
      <c r="A2017" t="s">
        <v>3312</v>
      </c>
    </row>
    <row r="2018" spans="1:1" x14ac:dyDescent="0.25">
      <c r="A2018" t="s">
        <v>3313</v>
      </c>
    </row>
    <row r="2019" spans="1:1" x14ac:dyDescent="0.25">
      <c r="A2019" t="s">
        <v>3314</v>
      </c>
    </row>
    <row r="2020" spans="1:1" x14ac:dyDescent="0.25">
      <c r="A2020" t="s">
        <v>3315</v>
      </c>
    </row>
    <row r="2021" spans="1:1" x14ac:dyDescent="0.25">
      <c r="A2021" t="s">
        <v>3316</v>
      </c>
    </row>
    <row r="2022" spans="1:1" x14ac:dyDescent="0.25">
      <c r="A2022" t="s">
        <v>3317</v>
      </c>
    </row>
    <row r="2023" spans="1:1" x14ac:dyDescent="0.25">
      <c r="A2023" t="s">
        <v>3318</v>
      </c>
    </row>
    <row r="2024" spans="1:1" x14ac:dyDescent="0.25">
      <c r="A2024" t="s">
        <v>3319</v>
      </c>
    </row>
    <row r="2025" spans="1:1" x14ac:dyDescent="0.25">
      <c r="A2025" t="s">
        <v>3320</v>
      </c>
    </row>
    <row r="2026" spans="1:1" x14ac:dyDescent="0.25">
      <c r="A2026" t="s">
        <v>3321</v>
      </c>
    </row>
    <row r="2027" spans="1:1" x14ac:dyDescent="0.25">
      <c r="A2027" t="s">
        <v>3322</v>
      </c>
    </row>
    <row r="2028" spans="1:1" x14ac:dyDescent="0.25">
      <c r="A2028" t="s">
        <v>3323</v>
      </c>
    </row>
    <row r="2029" spans="1:1" x14ac:dyDescent="0.25">
      <c r="A2029" t="s">
        <v>3324</v>
      </c>
    </row>
    <row r="2030" spans="1:1" x14ac:dyDescent="0.25">
      <c r="A2030" t="s">
        <v>3325</v>
      </c>
    </row>
    <row r="2031" spans="1:1" x14ac:dyDescent="0.25">
      <c r="A2031" t="s">
        <v>3326</v>
      </c>
    </row>
    <row r="2032" spans="1:1" x14ac:dyDescent="0.25">
      <c r="A2032" t="s">
        <v>3327</v>
      </c>
    </row>
    <row r="2033" spans="1:1" x14ac:dyDescent="0.25">
      <c r="A2033" t="s">
        <v>3328</v>
      </c>
    </row>
    <row r="2034" spans="1:1" x14ac:dyDescent="0.25">
      <c r="A2034" t="s">
        <v>3329</v>
      </c>
    </row>
    <row r="2035" spans="1:1" x14ac:dyDescent="0.25">
      <c r="A2035" t="s">
        <v>3330</v>
      </c>
    </row>
    <row r="2036" spans="1:1" x14ac:dyDescent="0.25">
      <c r="A2036" t="s">
        <v>3331</v>
      </c>
    </row>
    <row r="2037" spans="1:1" x14ac:dyDescent="0.25">
      <c r="A2037" t="s">
        <v>3332</v>
      </c>
    </row>
    <row r="2038" spans="1:1" x14ac:dyDescent="0.25">
      <c r="A2038" t="s">
        <v>3333</v>
      </c>
    </row>
    <row r="2039" spans="1:1" x14ac:dyDescent="0.25">
      <c r="A2039" t="s">
        <v>3334</v>
      </c>
    </row>
    <row r="2040" spans="1:1" x14ac:dyDescent="0.25">
      <c r="A2040" t="s">
        <v>3335</v>
      </c>
    </row>
    <row r="2041" spans="1:1" x14ac:dyDescent="0.25">
      <c r="A2041" t="s">
        <v>3336</v>
      </c>
    </row>
    <row r="2042" spans="1:1" x14ac:dyDescent="0.25">
      <c r="A2042" t="s">
        <v>3337</v>
      </c>
    </row>
    <row r="2043" spans="1:1" x14ac:dyDescent="0.25">
      <c r="A2043" t="s">
        <v>3338</v>
      </c>
    </row>
    <row r="2044" spans="1:1" x14ac:dyDescent="0.25">
      <c r="A2044" t="s">
        <v>3339</v>
      </c>
    </row>
    <row r="2045" spans="1:1" x14ac:dyDescent="0.25">
      <c r="A2045" t="s">
        <v>3340</v>
      </c>
    </row>
    <row r="2046" spans="1:1" x14ac:dyDescent="0.25">
      <c r="A2046" t="s">
        <v>3341</v>
      </c>
    </row>
    <row r="2047" spans="1:1" x14ac:dyDescent="0.25">
      <c r="A2047" t="s">
        <v>3342</v>
      </c>
    </row>
    <row r="2048" spans="1:1" x14ac:dyDescent="0.25">
      <c r="A2048" t="s">
        <v>3343</v>
      </c>
    </row>
    <row r="2049" spans="1:1" x14ac:dyDescent="0.25">
      <c r="A2049" t="s">
        <v>3344</v>
      </c>
    </row>
    <row r="2050" spans="1:1" x14ac:dyDescent="0.25">
      <c r="A2050" t="s">
        <v>3345</v>
      </c>
    </row>
    <row r="2051" spans="1:1" x14ac:dyDescent="0.25">
      <c r="A2051" t="s">
        <v>3346</v>
      </c>
    </row>
    <row r="2052" spans="1:1" x14ac:dyDescent="0.25">
      <c r="A2052" t="s">
        <v>3347</v>
      </c>
    </row>
    <row r="2053" spans="1:1" x14ac:dyDescent="0.25">
      <c r="A2053" t="s">
        <v>3348</v>
      </c>
    </row>
    <row r="2054" spans="1:1" x14ac:dyDescent="0.25">
      <c r="A2054" t="s">
        <v>3349</v>
      </c>
    </row>
    <row r="2055" spans="1:1" x14ac:dyDescent="0.25">
      <c r="A2055" t="s">
        <v>3350</v>
      </c>
    </row>
    <row r="2056" spans="1:1" x14ac:dyDescent="0.25">
      <c r="A2056" t="s">
        <v>3351</v>
      </c>
    </row>
    <row r="2057" spans="1:1" x14ac:dyDescent="0.25">
      <c r="A2057" t="s">
        <v>3352</v>
      </c>
    </row>
    <row r="2058" spans="1:1" x14ac:dyDescent="0.25">
      <c r="A2058" t="s">
        <v>3353</v>
      </c>
    </row>
    <row r="2059" spans="1:1" x14ac:dyDescent="0.25">
      <c r="A2059" t="s">
        <v>3354</v>
      </c>
    </row>
    <row r="2060" spans="1:1" x14ac:dyDescent="0.25">
      <c r="A2060" t="s">
        <v>3355</v>
      </c>
    </row>
    <row r="2061" spans="1:1" x14ac:dyDescent="0.25">
      <c r="A2061" t="s">
        <v>3356</v>
      </c>
    </row>
    <row r="2062" spans="1:1" x14ac:dyDescent="0.25">
      <c r="A2062" t="s">
        <v>3357</v>
      </c>
    </row>
    <row r="2063" spans="1:1" x14ac:dyDescent="0.25">
      <c r="A2063" t="s">
        <v>3358</v>
      </c>
    </row>
    <row r="2064" spans="1:1" x14ac:dyDescent="0.25">
      <c r="A2064" t="s">
        <v>3359</v>
      </c>
    </row>
    <row r="2065" spans="1:1" x14ac:dyDescent="0.25">
      <c r="A2065" t="s">
        <v>3360</v>
      </c>
    </row>
    <row r="2066" spans="1:1" x14ac:dyDescent="0.25">
      <c r="A2066" t="s">
        <v>3361</v>
      </c>
    </row>
    <row r="2067" spans="1:1" x14ac:dyDescent="0.25">
      <c r="A2067" t="s">
        <v>3362</v>
      </c>
    </row>
    <row r="2068" spans="1:1" x14ac:dyDescent="0.25">
      <c r="A2068" t="s">
        <v>3363</v>
      </c>
    </row>
    <row r="2069" spans="1:1" x14ac:dyDescent="0.25">
      <c r="A2069" t="s">
        <v>3364</v>
      </c>
    </row>
    <row r="2070" spans="1:1" x14ac:dyDescent="0.25">
      <c r="A2070" t="s">
        <v>3365</v>
      </c>
    </row>
    <row r="2071" spans="1:1" x14ac:dyDescent="0.25">
      <c r="A2071" t="s">
        <v>3366</v>
      </c>
    </row>
    <row r="2072" spans="1:1" x14ac:dyDescent="0.25">
      <c r="A2072" t="s">
        <v>3367</v>
      </c>
    </row>
    <row r="2073" spans="1:1" x14ac:dyDescent="0.25">
      <c r="A2073" t="s">
        <v>3368</v>
      </c>
    </row>
    <row r="2074" spans="1:1" x14ac:dyDescent="0.25">
      <c r="A2074" t="s">
        <v>3369</v>
      </c>
    </row>
    <row r="2075" spans="1:1" x14ac:dyDescent="0.25">
      <c r="A2075" t="s">
        <v>3370</v>
      </c>
    </row>
    <row r="2076" spans="1:1" x14ac:dyDescent="0.25">
      <c r="A2076" t="s">
        <v>3371</v>
      </c>
    </row>
    <row r="2077" spans="1:1" x14ac:dyDescent="0.25">
      <c r="A2077" t="s">
        <v>3372</v>
      </c>
    </row>
    <row r="2078" spans="1:1" x14ac:dyDescent="0.25">
      <c r="A2078" t="s">
        <v>3373</v>
      </c>
    </row>
    <row r="2079" spans="1:1" x14ac:dyDescent="0.25">
      <c r="A2079" t="s">
        <v>3374</v>
      </c>
    </row>
    <row r="2080" spans="1:1" x14ac:dyDescent="0.25">
      <c r="A2080" t="s">
        <v>3375</v>
      </c>
    </row>
    <row r="2081" spans="1:1" x14ac:dyDescent="0.25">
      <c r="A2081" t="s">
        <v>3376</v>
      </c>
    </row>
    <row r="2082" spans="1:1" x14ac:dyDescent="0.25">
      <c r="A2082" t="s">
        <v>3377</v>
      </c>
    </row>
    <row r="2083" spans="1:1" x14ac:dyDescent="0.25">
      <c r="A2083" t="s">
        <v>3378</v>
      </c>
    </row>
    <row r="2084" spans="1:1" x14ac:dyDescent="0.25">
      <c r="A2084" t="s">
        <v>3379</v>
      </c>
    </row>
    <row r="2085" spans="1:1" x14ac:dyDescent="0.25">
      <c r="A2085" t="s">
        <v>3380</v>
      </c>
    </row>
    <row r="2086" spans="1:1" x14ac:dyDescent="0.25">
      <c r="A2086" t="s">
        <v>3381</v>
      </c>
    </row>
    <row r="2087" spans="1:1" x14ac:dyDescent="0.25">
      <c r="A2087" t="s">
        <v>3382</v>
      </c>
    </row>
    <row r="2088" spans="1:1" x14ac:dyDescent="0.25">
      <c r="A2088" t="s">
        <v>3383</v>
      </c>
    </row>
    <row r="2089" spans="1:1" x14ac:dyDescent="0.25">
      <c r="A2089" t="s">
        <v>3384</v>
      </c>
    </row>
    <row r="2090" spans="1:1" x14ac:dyDescent="0.25">
      <c r="A2090" t="s">
        <v>3385</v>
      </c>
    </row>
    <row r="2091" spans="1:1" x14ac:dyDescent="0.25">
      <c r="A2091" t="s">
        <v>3386</v>
      </c>
    </row>
    <row r="2092" spans="1:1" x14ac:dyDescent="0.25">
      <c r="A2092" t="s">
        <v>3387</v>
      </c>
    </row>
    <row r="2093" spans="1:1" x14ac:dyDescent="0.25">
      <c r="A2093" t="s">
        <v>3388</v>
      </c>
    </row>
    <row r="2094" spans="1:1" x14ac:dyDescent="0.25">
      <c r="A2094" t="s">
        <v>3389</v>
      </c>
    </row>
    <row r="2095" spans="1:1" x14ac:dyDescent="0.25">
      <c r="A2095" t="s">
        <v>3390</v>
      </c>
    </row>
    <row r="2096" spans="1:1" x14ac:dyDescent="0.25">
      <c r="A2096" t="s">
        <v>3391</v>
      </c>
    </row>
    <row r="2097" spans="1:1" x14ac:dyDescent="0.25">
      <c r="A2097" t="s">
        <v>3392</v>
      </c>
    </row>
    <row r="2098" spans="1:1" x14ac:dyDescent="0.25">
      <c r="A2098" t="s">
        <v>3393</v>
      </c>
    </row>
    <row r="2099" spans="1:1" x14ac:dyDescent="0.25">
      <c r="A2099" t="s">
        <v>3394</v>
      </c>
    </row>
    <row r="2100" spans="1:1" x14ac:dyDescent="0.25">
      <c r="A2100" t="s">
        <v>3395</v>
      </c>
    </row>
    <row r="2101" spans="1:1" x14ac:dyDescent="0.25">
      <c r="A2101" t="s">
        <v>3396</v>
      </c>
    </row>
    <row r="2102" spans="1:1" x14ac:dyDescent="0.25">
      <c r="A2102" t="s">
        <v>3397</v>
      </c>
    </row>
    <row r="2103" spans="1:1" x14ac:dyDescent="0.25">
      <c r="A2103" t="s">
        <v>3398</v>
      </c>
    </row>
    <row r="2104" spans="1:1" x14ac:dyDescent="0.25">
      <c r="A2104" t="s">
        <v>3399</v>
      </c>
    </row>
    <row r="2105" spans="1:1" x14ac:dyDescent="0.25">
      <c r="A2105" t="s">
        <v>3400</v>
      </c>
    </row>
    <row r="2106" spans="1:1" x14ac:dyDescent="0.25">
      <c r="A2106" t="s">
        <v>3401</v>
      </c>
    </row>
    <row r="2107" spans="1:1" x14ac:dyDescent="0.25">
      <c r="A2107" t="s">
        <v>3402</v>
      </c>
    </row>
    <row r="2108" spans="1:1" x14ac:dyDescent="0.25">
      <c r="A2108" t="s">
        <v>3403</v>
      </c>
    </row>
    <row r="2109" spans="1:1" x14ac:dyDescent="0.25">
      <c r="A2109" t="s">
        <v>3404</v>
      </c>
    </row>
    <row r="2110" spans="1:1" x14ac:dyDescent="0.25">
      <c r="A2110" t="s">
        <v>3405</v>
      </c>
    </row>
    <row r="2111" spans="1:1" x14ac:dyDescent="0.25">
      <c r="A2111" t="s">
        <v>3406</v>
      </c>
    </row>
    <row r="2112" spans="1:1" x14ac:dyDescent="0.25">
      <c r="A2112" t="s">
        <v>3407</v>
      </c>
    </row>
    <row r="2113" spans="1:1" x14ac:dyDescent="0.25">
      <c r="A2113" t="s">
        <v>3408</v>
      </c>
    </row>
    <row r="2114" spans="1:1" x14ac:dyDescent="0.25">
      <c r="A2114" t="s">
        <v>3409</v>
      </c>
    </row>
    <row r="2115" spans="1:1" x14ac:dyDescent="0.25">
      <c r="A2115" t="s">
        <v>3410</v>
      </c>
    </row>
    <row r="2116" spans="1:1" x14ac:dyDescent="0.25">
      <c r="A2116" t="s">
        <v>3411</v>
      </c>
    </row>
    <row r="2117" spans="1:1" x14ac:dyDescent="0.25">
      <c r="A2117" t="s">
        <v>3412</v>
      </c>
    </row>
    <row r="2118" spans="1:1" x14ac:dyDescent="0.25">
      <c r="A2118" t="s">
        <v>3413</v>
      </c>
    </row>
    <row r="2119" spans="1:1" x14ac:dyDescent="0.25">
      <c r="A2119" t="s">
        <v>3414</v>
      </c>
    </row>
    <row r="2120" spans="1:1" x14ac:dyDescent="0.25">
      <c r="A2120" t="s">
        <v>3415</v>
      </c>
    </row>
    <row r="2121" spans="1:1" x14ac:dyDescent="0.25">
      <c r="A2121" t="s">
        <v>3416</v>
      </c>
    </row>
    <row r="2122" spans="1:1" x14ac:dyDescent="0.25">
      <c r="A2122" t="s">
        <v>3417</v>
      </c>
    </row>
    <row r="2123" spans="1:1" x14ac:dyDescent="0.25">
      <c r="A2123" t="s">
        <v>3418</v>
      </c>
    </row>
    <row r="2124" spans="1:1" x14ac:dyDescent="0.25">
      <c r="A2124" t="s">
        <v>3419</v>
      </c>
    </row>
    <row r="2125" spans="1:1" x14ac:dyDescent="0.25">
      <c r="A2125" t="s">
        <v>3420</v>
      </c>
    </row>
    <row r="2126" spans="1:1" x14ac:dyDescent="0.25">
      <c r="A2126" t="s">
        <v>3421</v>
      </c>
    </row>
    <row r="2127" spans="1:1" x14ac:dyDescent="0.25">
      <c r="A2127" t="s">
        <v>3422</v>
      </c>
    </row>
    <row r="2128" spans="1:1" x14ac:dyDescent="0.25">
      <c r="A2128" t="s">
        <v>3423</v>
      </c>
    </row>
    <row r="2129" spans="1:1" x14ac:dyDescent="0.25">
      <c r="A2129" t="s">
        <v>3424</v>
      </c>
    </row>
    <row r="2130" spans="1:1" x14ac:dyDescent="0.25">
      <c r="A2130" t="s">
        <v>3425</v>
      </c>
    </row>
    <row r="2131" spans="1:1" x14ac:dyDescent="0.25">
      <c r="A2131" t="s">
        <v>3426</v>
      </c>
    </row>
    <row r="2132" spans="1:1" x14ac:dyDescent="0.25">
      <c r="A2132" t="s">
        <v>3427</v>
      </c>
    </row>
    <row r="2133" spans="1:1" x14ac:dyDescent="0.25">
      <c r="A2133" t="s">
        <v>3428</v>
      </c>
    </row>
    <row r="2134" spans="1:1" x14ac:dyDescent="0.25">
      <c r="A2134" t="s">
        <v>3429</v>
      </c>
    </row>
    <row r="2135" spans="1:1" x14ac:dyDescent="0.25">
      <c r="A2135" t="s">
        <v>3430</v>
      </c>
    </row>
    <row r="2136" spans="1:1" x14ac:dyDescent="0.25">
      <c r="A2136" t="s">
        <v>3431</v>
      </c>
    </row>
    <row r="2137" spans="1:1" x14ac:dyDescent="0.25">
      <c r="A2137" t="s">
        <v>3432</v>
      </c>
    </row>
    <row r="2138" spans="1:1" x14ac:dyDescent="0.25">
      <c r="A2138" t="s">
        <v>3433</v>
      </c>
    </row>
    <row r="2139" spans="1:1" x14ac:dyDescent="0.25">
      <c r="A2139" t="s">
        <v>3434</v>
      </c>
    </row>
    <row r="2140" spans="1:1" x14ac:dyDescent="0.25">
      <c r="A2140" t="s">
        <v>3435</v>
      </c>
    </row>
    <row r="2141" spans="1:1" x14ac:dyDescent="0.25">
      <c r="A2141" t="s">
        <v>3436</v>
      </c>
    </row>
    <row r="2142" spans="1:1" x14ac:dyDescent="0.25">
      <c r="A2142" t="s">
        <v>3437</v>
      </c>
    </row>
    <row r="2143" spans="1:1" x14ac:dyDescent="0.25">
      <c r="A2143" t="s">
        <v>3438</v>
      </c>
    </row>
    <row r="2144" spans="1:1" x14ac:dyDescent="0.25">
      <c r="A2144" t="s">
        <v>3439</v>
      </c>
    </row>
    <row r="2145" spans="1:1" x14ac:dyDescent="0.25">
      <c r="A2145" t="s">
        <v>3440</v>
      </c>
    </row>
    <row r="2146" spans="1:1" x14ac:dyDescent="0.25">
      <c r="A2146" t="s">
        <v>3441</v>
      </c>
    </row>
    <row r="2147" spans="1:1" x14ac:dyDescent="0.25">
      <c r="A2147" t="s">
        <v>3442</v>
      </c>
    </row>
    <row r="2148" spans="1:1" x14ac:dyDescent="0.25">
      <c r="A2148" t="s">
        <v>3443</v>
      </c>
    </row>
    <row r="2149" spans="1:1" x14ac:dyDescent="0.25">
      <c r="A2149" t="s">
        <v>3444</v>
      </c>
    </row>
    <row r="2150" spans="1:1" x14ac:dyDescent="0.25">
      <c r="A2150" t="s">
        <v>3445</v>
      </c>
    </row>
    <row r="2151" spans="1:1" x14ac:dyDescent="0.25">
      <c r="A2151" t="s">
        <v>3446</v>
      </c>
    </row>
    <row r="2152" spans="1:1" x14ac:dyDescent="0.25">
      <c r="A2152" t="s">
        <v>3447</v>
      </c>
    </row>
    <row r="2153" spans="1:1" x14ac:dyDescent="0.25">
      <c r="A2153" t="s">
        <v>3448</v>
      </c>
    </row>
    <row r="2154" spans="1:1" x14ac:dyDescent="0.25">
      <c r="A2154" t="s">
        <v>3449</v>
      </c>
    </row>
    <row r="2155" spans="1:1" x14ac:dyDescent="0.25">
      <c r="A2155" t="s">
        <v>3450</v>
      </c>
    </row>
    <row r="2156" spans="1:1" x14ac:dyDescent="0.25">
      <c r="A2156" t="s">
        <v>3451</v>
      </c>
    </row>
    <row r="2157" spans="1:1" x14ac:dyDescent="0.25">
      <c r="A2157" t="s">
        <v>3452</v>
      </c>
    </row>
    <row r="2158" spans="1:1" x14ac:dyDescent="0.25">
      <c r="A2158" t="s">
        <v>3453</v>
      </c>
    </row>
    <row r="2159" spans="1:1" x14ac:dyDescent="0.25">
      <c r="A2159" t="s">
        <v>3454</v>
      </c>
    </row>
    <row r="2160" spans="1:1" x14ac:dyDescent="0.25">
      <c r="A2160" t="s">
        <v>3455</v>
      </c>
    </row>
    <row r="2161" spans="1:1" x14ac:dyDescent="0.25">
      <c r="A2161" t="s">
        <v>3456</v>
      </c>
    </row>
    <row r="2162" spans="1:1" x14ac:dyDescent="0.25">
      <c r="A2162" t="s">
        <v>3457</v>
      </c>
    </row>
    <row r="2163" spans="1:1" x14ac:dyDescent="0.25">
      <c r="A2163" t="s">
        <v>3458</v>
      </c>
    </row>
    <row r="2164" spans="1:1" x14ac:dyDescent="0.25">
      <c r="A2164" t="s">
        <v>3459</v>
      </c>
    </row>
    <row r="2165" spans="1:1" x14ac:dyDescent="0.25">
      <c r="A2165" t="s">
        <v>3460</v>
      </c>
    </row>
    <row r="2166" spans="1:1" x14ac:dyDescent="0.25">
      <c r="A2166" t="s">
        <v>3461</v>
      </c>
    </row>
    <row r="2167" spans="1:1" x14ac:dyDescent="0.25">
      <c r="A2167" t="s">
        <v>3462</v>
      </c>
    </row>
    <row r="2168" spans="1:1" x14ac:dyDescent="0.25">
      <c r="A2168" t="s">
        <v>3463</v>
      </c>
    </row>
    <row r="2169" spans="1:1" x14ac:dyDescent="0.25">
      <c r="A2169" t="s">
        <v>3464</v>
      </c>
    </row>
    <row r="2170" spans="1:1" x14ac:dyDescent="0.25">
      <c r="A2170" t="s">
        <v>3465</v>
      </c>
    </row>
    <row r="2171" spans="1:1" x14ac:dyDescent="0.25">
      <c r="A2171" t="s">
        <v>3466</v>
      </c>
    </row>
    <row r="2172" spans="1:1" x14ac:dyDescent="0.25">
      <c r="A2172" t="s">
        <v>3467</v>
      </c>
    </row>
    <row r="2173" spans="1:1" x14ac:dyDescent="0.25">
      <c r="A2173" t="s">
        <v>3468</v>
      </c>
    </row>
    <row r="2174" spans="1:1" x14ac:dyDescent="0.25">
      <c r="A2174" t="s">
        <v>3469</v>
      </c>
    </row>
    <row r="2175" spans="1:1" x14ac:dyDescent="0.25">
      <c r="A2175" t="s">
        <v>3470</v>
      </c>
    </row>
    <row r="2176" spans="1:1" x14ac:dyDescent="0.25">
      <c r="A2176" t="s">
        <v>3471</v>
      </c>
    </row>
    <row r="2177" spans="1:1" x14ac:dyDescent="0.25">
      <c r="A2177" t="s">
        <v>3472</v>
      </c>
    </row>
    <row r="2178" spans="1:1" x14ac:dyDescent="0.25">
      <c r="A2178" t="s">
        <v>3473</v>
      </c>
    </row>
    <row r="2179" spans="1:1" x14ac:dyDescent="0.25">
      <c r="A2179" t="s">
        <v>3474</v>
      </c>
    </row>
    <row r="2180" spans="1:1" x14ac:dyDescent="0.25">
      <c r="A2180" t="s">
        <v>3475</v>
      </c>
    </row>
    <row r="2181" spans="1:1" x14ac:dyDescent="0.25">
      <c r="A2181" t="s">
        <v>3476</v>
      </c>
    </row>
    <row r="2182" spans="1:1" x14ac:dyDescent="0.25">
      <c r="A2182" t="s">
        <v>3477</v>
      </c>
    </row>
    <row r="2183" spans="1:1" x14ac:dyDescent="0.25">
      <c r="A2183" t="s">
        <v>3478</v>
      </c>
    </row>
    <row r="2184" spans="1:1" x14ac:dyDescent="0.25">
      <c r="A2184" t="s">
        <v>3479</v>
      </c>
    </row>
    <row r="2185" spans="1:1" x14ac:dyDescent="0.25">
      <c r="A2185" t="s">
        <v>3480</v>
      </c>
    </row>
    <row r="2186" spans="1:1" x14ac:dyDescent="0.25">
      <c r="A2186" t="s">
        <v>3481</v>
      </c>
    </row>
    <row r="2187" spans="1:1" x14ac:dyDescent="0.25">
      <c r="A2187" t="s">
        <v>3482</v>
      </c>
    </row>
    <row r="2188" spans="1:1" x14ac:dyDescent="0.25">
      <c r="A2188" t="s">
        <v>3483</v>
      </c>
    </row>
    <row r="2189" spans="1:1" x14ac:dyDescent="0.25">
      <c r="A2189" t="s">
        <v>3484</v>
      </c>
    </row>
    <row r="2190" spans="1:1" x14ac:dyDescent="0.25">
      <c r="A2190" t="s">
        <v>3485</v>
      </c>
    </row>
    <row r="2191" spans="1:1" x14ac:dyDescent="0.25">
      <c r="A2191" t="s">
        <v>3486</v>
      </c>
    </row>
    <row r="2192" spans="1:1" x14ac:dyDescent="0.25">
      <c r="A2192" t="s">
        <v>3487</v>
      </c>
    </row>
    <row r="2193" spans="1:1" x14ac:dyDescent="0.25">
      <c r="A2193" t="s">
        <v>3488</v>
      </c>
    </row>
    <row r="2194" spans="1:1" x14ac:dyDescent="0.25">
      <c r="A2194" t="s">
        <v>3489</v>
      </c>
    </row>
    <row r="2195" spans="1:1" x14ac:dyDescent="0.25">
      <c r="A2195" t="s">
        <v>3490</v>
      </c>
    </row>
    <row r="2196" spans="1:1" x14ac:dyDescent="0.25">
      <c r="A2196" t="s">
        <v>3491</v>
      </c>
    </row>
    <row r="2197" spans="1:1" x14ac:dyDescent="0.25">
      <c r="A2197" t="s">
        <v>3492</v>
      </c>
    </row>
    <row r="2198" spans="1:1" x14ac:dyDescent="0.25">
      <c r="A2198" t="s">
        <v>3493</v>
      </c>
    </row>
    <row r="2199" spans="1:1" x14ac:dyDescent="0.25">
      <c r="A2199" t="s">
        <v>3494</v>
      </c>
    </row>
    <row r="2200" spans="1:1" x14ac:dyDescent="0.25">
      <c r="A2200" t="s">
        <v>3495</v>
      </c>
    </row>
    <row r="2201" spans="1:1" x14ac:dyDescent="0.25">
      <c r="A2201" t="s">
        <v>3496</v>
      </c>
    </row>
    <row r="2202" spans="1:1" x14ac:dyDescent="0.25">
      <c r="A2202" t="s">
        <v>3497</v>
      </c>
    </row>
    <row r="2203" spans="1:1" x14ac:dyDescent="0.25">
      <c r="A2203" t="s">
        <v>3498</v>
      </c>
    </row>
    <row r="2204" spans="1:1" x14ac:dyDescent="0.25">
      <c r="A2204" t="s">
        <v>3499</v>
      </c>
    </row>
    <row r="2205" spans="1:1" x14ac:dyDescent="0.25">
      <c r="A2205" t="s">
        <v>3500</v>
      </c>
    </row>
    <row r="2206" spans="1:1" x14ac:dyDescent="0.25">
      <c r="A2206" t="s">
        <v>3501</v>
      </c>
    </row>
    <row r="2207" spans="1:1" x14ac:dyDescent="0.25">
      <c r="A2207" t="s">
        <v>3502</v>
      </c>
    </row>
    <row r="2208" spans="1:1" x14ac:dyDescent="0.25">
      <c r="A2208" t="s">
        <v>3503</v>
      </c>
    </row>
    <row r="2209" spans="1:1" x14ac:dyDescent="0.25">
      <c r="A2209" t="s">
        <v>3504</v>
      </c>
    </row>
    <row r="2210" spans="1:1" x14ac:dyDescent="0.25">
      <c r="A2210" t="s">
        <v>3505</v>
      </c>
    </row>
    <row r="2211" spans="1:1" x14ac:dyDescent="0.25">
      <c r="A2211" t="s">
        <v>3506</v>
      </c>
    </row>
    <row r="2212" spans="1:1" x14ac:dyDescent="0.25">
      <c r="A2212" t="s">
        <v>3507</v>
      </c>
    </row>
    <row r="2213" spans="1:1" x14ac:dyDescent="0.25">
      <c r="A2213" t="s">
        <v>3508</v>
      </c>
    </row>
    <row r="2214" spans="1:1" x14ac:dyDescent="0.25">
      <c r="A2214" t="s">
        <v>3509</v>
      </c>
    </row>
    <row r="2215" spans="1:1" x14ac:dyDescent="0.25">
      <c r="A2215" t="s">
        <v>3510</v>
      </c>
    </row>
    <row r="2216" spans="1:1" x14ac:dyDescent="0.25">
      <c r="A2216" t="s">
        <v>3511</v>
      </c>
    </row>
    <row r="2217" spans="1:1" x14ac:dyDescent="0.25">
      <c r="A2217" t="s">
        <v>3512</v>
      </c>
    </row>
    <row r="2218" spans="1:1" x14ac:dyDescent="0.25">
      <c r="A2218" t="s">
        <v>3513</v>
      </c>
    </row>
    <row r="2219" spans="1:1" x14ac:dyDescent="0.25">
      <c r="A2219" t="s">
        <v>3514</v>
      </c>
    </row>
    <row r="2220" spans="1:1" x14ac:dyDescent="0.25">
      <c r="A2220" t="s">
        <v>3515</v>
      </c>
    </row>
    <row r="2221" spans="1:1" x14ac:dyDescent="0.25">
      <c r="A2221" t="s">
        <v>3516</v>
      </c>
    </row>
    <row r="2222" spans="1:1" x14ac:dyDescent="0.25">
      <c r="A2222" t="s">
        <v>3517</v>
      </c>
    </row>
    <row r="2223" spans="1:1" x14ac:dyDescent="0.25">
      <c r="A2223" t="s">
        <v>3518</v>
      </c>
    </row>
    <row r="2224" spans="1:1" x14ac:dyDescent="0.25">
      <c r="A2224" t="s">
        <v>3519</v>
      </c>
    </row>
    <row r="2225" spans="1:1" x14ac:dyDescent="0.25">
      <c r="A2225" t="s">
        <v>3520</v>
      </c>
    </row>
    <row r="2226" spans="1:1" x14ac:dyDescent="0.25">
      <c r="A2226" t="s">
        <v>3521</v>
      </c>
    </row>
    <row r="2227" spans="1:1" x14ac:dyDescent="0.25">
      <c r="A2227" t="s">
        <v>3522</v>
      </c>
    </row>
    <row r="2228" spans="1:1" x14ac:dyDescent="0.25">
      <c r="A2228" t="s">
        <v>3523</v>
      </c>
    </row>
    <row r="2229" spans="1:1" x14ac:dyDescent="0.25">
      <c r="A2229" t="s">
        <v>3524</v>
      </c>
    </row>
    <row r="2230" spans="1:1" x14ac:dyDescent="0.25">
      <c r="A2230" t="s">
        <v>3525</v>
      </c>
    </row>
    <row r="2231" spans="1:1" x14ac:dyDescent="0.25">
      <c r="A2231" t="s">
        <v>3526</v>
      </c>
    </row>
    <row r="2232" spans="1:1" x14ac:dyDescent="0.25">
      <c r="A2232" t="s">
        <v>3527</v>
      </c>
    </row>
    <row r="2233" spans="1:1" x14ac:dyDescent="0.25">
      <c r="A2233" t="s">
        <v>3528</v>
      </c>
    </row>
    <row r="2234" spans="1:1" x14ac:dyDescent="0.25">
      <c r="A2234" t="s">
        <v>3529</v>
      </c>
    </row>
    <row r="2235" spans="1:1" x14ac:dyDescent="0.25">
      <c r="A2235" t="s">
        <v>3530</v>
      </c>
    </row>
    <row r="2236" spans="1:1" x14ac:dyDescent="0.25">
      <c r="A2236" t="s">
        <v>3531</v>
      </c>
    </row>
    <row r="2237" spans="1:1" x14ac:dyDescent="0.25">
      <c r="A2237" t="s">
        <v>3532</v>
      </c>
    </row>
    <row r="2238" spans="1:1" x14ac:dyDescent="0.25">
      <c r="A2238" t="s">
        <v>3533</v>
      </c>
    </row>
    <row r="2239" spans="1:1" x14ac:dyDescent="0.25">
      <c r="A2239" t="s">
        <v>3534</v>
      </c>
    </row>
    <row r="2240" spans="1:1" x14ac:dyDescent="0.25">
      <c r="A2240" t="s">
        <v>3535</v>
      </c>
    </row>
    <row r="2241" spans="1:1" x14ac:dyDescent="0.25">
      <c r="A2241" t="s">
        <v>3536</v>
      </c>
    </row>
    <row r="2242" spans="1:1" x14ac:dyDescent="0.25">
      <c r="A2242" t="s">
        <v>3537</v>
      </c>
    </row>
    <row r="2243" spans="1:1" x14ac:dyDescent="0.25">
      <c r="A2243" t="s">
        <v>3538</v>
      </c>
    </row>
    <row r="2244" spans="1:1" x14ac:dyDescent="0.25">
      <c r="A2244" t="s">
        <v>3539</v>
      </c>
    </row>
    <row r="2245" spans="1:1" x14ac:dyDescent="0.25">
      <c r="A2245" t="s">
        <v>3540</v>
      </c>
    </row>
    <row r="2246" spans="1:1" x14ac:dyDescent="0.25">
      <c r="A2246" t="s">
        <v>3541</v>
      </c>
    </row>
    <row r="2247" spans="1:1" x14ac:dyDescent="0.25">
      <c r="A2247" t="s">
        <v>3542</v>
      </c>
    </row>
    <row r="2248" spans="1:1" x14ac:dyDescent="0.25">
      <c r="A2248" t="s">
        <v>3543</v>
      </c>
    </row>
    <row r="2249" spans="1:1" x14ac:dyDescent="0.25">
      <c r="A2249" t="s">
        <v>3544</v>
      </c>
    </row>
    <row r="2250" spans="1:1" x14ac:dyDescent="0.25">
      <c r="A2250" t="s">
        <v>3545</v>
      </c>
    </row>
    <row r="2251" spans="1:1" x14ac:dyDescent="0.25">
      <c r="A2251" t="s">
        <v>3546</v>
      </c>
    </row>
    <row r="2252" spans="1:1" x14ac:dyDescent="0.25">
      <c r="A2252" t="s">
        <v>3547</v>
      </c>
    </row>
    <row r="2253" spans="1:1" x14ac:dyDescent="0.25">
      <c r="A2253" t="s">
        <v>3548</v>
      </c>
    </row>
    <row r="2254" spans="1:1" x14ac:dyDescent="0.25">
      <c r="A2254" t="s">
        <v>3549</v>
      </c>
    </row>
    <row r="2255" spans="1:1" x14ac:dyDescent="0.25">
      <c r="A2255" t="s">
        <v>3550</v>
      </c>
    </row>
    <row r="2256" spans="1:1" x14ac:dyDescent="0.25">
      <c r="A2256" t="s">
        <v>3551</v>
      </c>
    </row>
    <row r="2257" spans="1:1" x14ac:dyDescent="0.25">
      <c r="A2257" t="s">
        <v>3552</v>
      </c>
    </row>
    <row r="2258" spans="1:1" x14ac:dyDescent="0.25">
      <c r="A2258" t="s">
        <v>3553</v>
      </c>
    </row>
    <row r="2259" spans="1:1" x14ac:dyDescent="0.25">
      <c r="A2259" t="s">
        <v>3554</v>
      </c>
    </row>
    <row r="2260" spans="1:1" x14ac:dyDescent="0.25">
      <c r="A2260" t="s">
        <v>3555</v>
      </c>
    </row>
    <row r="2261" spans="1:1" x14ac:dyDescent="0.25">
      <c r="A2261" t="s">
        <v>3556</v>
      </c>
    </row>
    <row r="2262" spans="1:1" x14ac:dyDescent="0.25">
      <c r="A2262" t="s">
        <v>3557</v>
      </c>
    </row>
    <row r="2263" spans="1:1" x14ac:dyDescent="0.25">
      <c r="A2263" t="s">
        <v>3558</v>
      </c>
    </row>
    <row r="2264" spans="1:1" x14ac:dyDescent="0.25">
      <c r="A2264" t="s">
        <v>3559</v>
      </c>
    </row>
    <row r="2265" spans="1:1" x14ac:dyDescent="0.25">
      <c r="A2265" t="s">
        <v>3560</v>
      </c>
    </row>
    <row r="2266" spans="1:1" x14ac:dyDescent="0.25">
      <c r="A2266" t="s">
        <v>3561</v>
      </c>
    </row>
    <row r="2267" spans="1:1" x14ac:dyDescent="0.25">
      <c r="A2267" t="s">
        <v>3562</v>
      </c>
    </row>
    <row r="2268" spans="1:1" x14ac:dyDescent="0.25">
      <c r="A2268" t="s">
        <v>3563</v>
      </c>
    </row>
    <row r="2269" spans="1:1" x14ac:dyDescent="0.25">
      <c r="A2269" t="s">
        <v>3564</v>
      </c>
    </row>
    <row r="2270" spans="1:1" x14ac:dyDescent="0.25">
      <c r="A2270" t="s">
        <v>3565</v>
      </c>
    </row>
    <row r="2271" spans="1:1" x14ac:dyDescent="0.25">
      <c r="A2271" t="s">
        <v>3566</v>
      </c>
    </row>
    <row r="2272" spans="1:1" x14ac:dyDescent="0.25">
      <c r="A2272" t="s">
        <v>3567</v>
      </c>
    </row>
    <row r="2273" spans="1:1" x14ac:dyDescent="0.25">
      <c r="A2273" t="s">
        <v>3568</v>
      </c>
    </row>
    <row r="2274" spans="1:1" x14ac:dyDescent="0.25">
      <c r="A2274" t="s">
        <v>3569</v>
      </c>
    </row>
    <row r="2275" spans="1:1" x14ac:dyDescent="0.25">
      <c r="A2275" t="s">
        <v>3570</v>
      </c>
    </row>
    <row r="2276" spans="1:1" x14ac:dyDescent="0.25">
      <c r="A2276" t="s">
        <v>3571</v>
      </c>
    </row>
    <row r="2277" spans="1:1" x14ac:dyDescent="0.25">
      <c r="A2277" t="s">
        <v>3572</v>
      </c>
    </row>
    <row r="2278" spans="1:1" x14ac:dyDescent="0.25">
      <c r="A2278" t="s">
        <v>3573</v>
      </c>
    </row>
    <row r="2279" spans="1:1" x14ac:dyDescent="0.25">
      <c r="A2279" t="s">
        <v>3574</v>
      </c>
    </row>
    <row r="2280" spans="1:1" x14ac:dyDescent="0.25">
      <c r="A2280" t="s">
        <v>3575</v>
      </c>
    </row>
    <row r="2281" spans="1:1" x14ac:dyDescent="0.25">
      <c r="A2281" t="s">
        <v>3576</v>
      </c>
    </row>
    <row r="2282" spans="1:1" x14ac:dyDescent="0.25">
      <c r="A2282" t="s">
        <v>3577</v>
      </c>
    </row>
    <row r="2283" spans="1:1" x14ac:dyDescent="0.25">
      <c r="A2283" t="s">
        <v>3578</v>
      </c>
    </row>
    <row r="2284" spans="1:1" x14ac:dyDescent="0.25">
      <c r="A2284" t="s">
        <v>3579</v>
      </c>
    </row>
    <row r="2285" spans="1:1" x14ac:dyDescent="0.25">
      <c r="A2285" t="s">
        <v>3580</v>
      </c>
    </row>
    <row r="2286" spans="1:1" x14ac:dyDescent="0.25">
      <c r="A2286" t="s">
        <v>3581</v>
      </c>
    </row>
    <row r="2287" spans="1:1" x14ac:dyDescent="0.25">
      <c r="A2287" t="s">
        <v>3582</v>
      </c>
    </row>
    <row r="2288" spans="1:1" x14ac:dyDescent="0.25">
      <c r="A2288" t="s">
        <v>3583</v>
      </c>
    </row>
    <row r="2289" spans="1:1" x14ac:dyDescent="0.25">
      <c r="A2289" t="s">
        <v>3584</v>
      </c>
    </row>
    <row r="2290" spans="1:1" x14ac:dyDescent="0.25">
      <c r="A2290" t="s">
        <v>3585</v>
      </c>
    </row>
    <row r="2291" spans="1:1" x14ac:dyDescent="0.25">
      <c r="A2291" t="s">
        <v>3586</v>
      </c>
    </row>
    <row r="2292" spans="1:1" x14ac:dyDescent="0.25">
      <c r="A2292" t="s">
        <v>3587</v>
      </c>
    </row>
    <row r="2293" spans="1:1" x14ac:dyDescent="0.25">
      <c r="A2293" t="s">
        <v>3588</v>
      </c>
    </row>
    <row r="2294" spans="1:1" x14ac:dyDescent="0.25">
      <c r="A2294" t="s">
        <v>3589</v>
      </c>
    </row>
    <row r="2295" spans="1:1" x14ac:dyDescent="0.25">
      <c r="A2295" t="s">
        <v>3590</v>
      </c>
    </row>
    <row r="2296" spans="1:1" x14ac:dyDescent="0.25">
      <c r="A2296" t="s">
        <v>3591</v>
      </c>
    </row>
    <row r="2297" spans="1:1" x14ac:dyDescent="0.25">
      <c r="A2297" t="s">
        <v>3592</v>
      </c>
    </row>
    <row r="2298" spans="1:1" x14ac:dyDescent="0.25">
      <c r="A2298" t="s">
        <v>3593</v>
      </c>
    </row>
    <row r="2299" spans="1:1" x14ac:dyDescent="0.25">
      <c r="A2299" t="s">
        <v>3594</v>
      </c>
    </row>
    <row r="2300" spans="1:1" x14ac:dyDescent="0.25">
      <c r="A2300" t="s">
        <v>3595</v>
      </c>
    </row>
    <row r="2301" spans="1:1" x14ac:dyDescent="0.25">
      <c r="A2301" t="s">
        <v>3596</v>
      </c>
    </row>
    <row r="2302" spans="1:1" x14ac:dyDescent="0.25">
      <c r="A2302" t="s">
        <v>3597</v>
      </c>
    </row>
    <row r="2303" spans="1:1" x14ac:dyDescent="0.25">
      <c r="A2303" t="s">
        <v>3598</v>
      </c>
    </row>
    <row r="2304" spans="1:1" x14ac:dyDescent="0.25">
      <c r="A2304" t="s">
        <v>3599</v>
      </c>
    </row>
    <row r="2305" spans="1:1" x14ac:dyDescent="0.25">
      <c r="A2305" t="s">
        <v>3600</v>
      </c>
    </row>
    <row r="2306" spans="1:1" x14ac:dyDescent="0.25">
      <c r="A2306" t="s">
        <v>3601</v>
      </c>
    </row>
    <row r="2307" spans="1:1" x14ac:dyDescent="0.25">
      <c r="A2307" t="s">
        <v>3602</v>
      </c>
    </row>
    <row r="2308" spans="1:1" x14ac:dyDescent="0.25">
      <c r="A2308" t="s">
        <v>3603</v>
      </c>
    </row>
    <row r="2309" spans="1:1" x14ac:dyDescent="0.25">
      <c r="A2309" t="s">
        <v>3604</v>
      </c>
    </row>
    <row r="2310" spans="1:1" x14ac:dyDescent="0.25">
      <c r="A2310" t="s">
        <v>3605</v>
      </c>
    </row>
    <row r="2311" spans="1:1" x14ac:dyDescent="0.25">
      <c r="A2311" t="s">
        <v>3606</v>
      </c>
    </row>
    <row r="2312" spans="1:1" x14ac:dyDescent="0.25">
      <c r="A2312" t="s">
        <v>3607</v>
      </c>
    </row>
    <row r="2313" spans="1:1" x14ac:dyDescent="0.25">
      <c r="A2313" t="s">
        <v>3608</v>
      </c>
    </row>
    <row r="2314" spans="1:1" x14ac:dyDescent="0.25">
      <c r="A2314" t="s">
        <v>3609</v>
      </c>
    </row>
    <row r="2315" spans="1:1" x14ac:dyDescent="0.25">
      <c r="A2315" t="s">
        <v>3610</v>
      </c>
    </row>
    <row r="2316" spans="1:1" x14ac:dyDescent="0.25">
      <c r="A2316" t="s">
        <v>3611</v>
      </c>
    </row>
    <row r="2317" spans="1:1" x14ac:dyDescent="0.25">
      <c r="A2317" t="s">
        <v>3612</v>
      </c>
    </row>
    <row r="2318" spans="1:1" x14ac:dyDescent="0.25">
      <c r="A2318" t="s">
        <v>3613</v>
      </c>
    </row>
    <row r="2319" spans="1:1" x14ac:dyDescent="0.25">
      <c r="A2319" t="s">
        <v>3614</v>
      </c>
    </row>
    <row r="2320" spans="1:1" x14ac:dyDescent="0.25">
      <c r="A2320" t="s">
        <v>3615</v>
      </c>
    </row>
    <row r="2321" spans="1:1" x14ac:dyDescent="0.25">
      <c r="A2321" t="s">
        <v>3616</v>
      </c>
    </row>
    <row r="2322" spans="1:1" x14ac:dyDescent="0.25">
      <c r="A2322" t="s">
        <v>3617</v>
      </c>
    </row>
    <row r="2323" spans="1:1" x14ac:dyDescent="0.25">
      <c r="A2323" t="s">
        <v>3618</v>
      </c>
    </row>
    <row r="2324" spans="1:1" x14ac:dyDescent="0.25">
      <c r="A2324" t="s">
        <v>3619</v>
      </c>
    </row>
    <row r="2325" spans="1:1" x14ac:dyDescent="0.25">
      <c r="A2325" t="s">
        <v>3620</v>
      </c>
    </row>
    <row r="2326" spans="1:1" x14ac:dyDescent="0.25">
      <c r="A2326" t="s">
        <v>3621</v>
      </c>
    </row>
    <row r="2327" spans="1:1" x14ac:dyDescent="0.25">
      <c r="A2327" t="s">
        <v>3622</v>
      </c>
    </row>
    <row r="2328" spans="1:1" x14ac:dyDescent="0.25">
      <c r="A2328" t="s">
        <v>3623</v>
      </c>
    </row>
    <row r="2329" spans="1:1" x14ac:dyDescent="0.25">
      <c r="A2329" t="s">
        <v>3624</v>
      </c>
    </row>
    <row r="2330" spans="1:1" x14ac:dyDescent="0.25">
      <c r="A2330" t="s">
        <v>3625</v>
      </c>
    </row>
    <row r="2331" spans="1:1" x14ac:dyDescent="0.25">
      <c r="A2331" t="s">
        <v>3626</v>
      </c>
    </row>
    <row r="2332" spans="1:1" x14ac:dyDescent="0.25">
      <c r="A2332" t="s">
        <v>3627</v>
      </c>
    </row>
    <row r="2333" spans="1:1" x14ac:dyDescent="0.25">
      <c r="A2333" t="s">
        <v>3628</v>
      </c>
    </row>
    <row r="2334" spans="1:1" x14ac:dyDescent="0.25">
      <c r="A2334" t="s">
        <v>3629</v>
      </c>
    </row>
    <row r="2335" spans="1:1" x14ac:dyDescent="0.25">
      <c r="A2335" t="s">
        <v>3630</v>
      </c>
    </row>
    <row r="2336" spans="1:1" x14ac:dyDescent="0.25">
      <c r="A2336" t="s">
        <v>3631</v>
      </c>
    </row>
    <row r="2337" spans="1:1" x14ac:dyDescent="0.25">
      <c r="A2337" t="s">
        <v>3632</v>
      </c>
    </row>
    <row r="2338" spans="1:1" x14ac:dyDescent="0.25">
      <c r="A2338" t="s">
        <v>3633</v>
      </c>
    </row>
    <row r="2339" spans="1:1" x14ac:dyDescent="0.25">
      <c r="A2339" t="s">
        <v>3634</v>
      </c>
    </row>
    <row r="2340" spans="1:1" x14ac:dyDescent="0.25">
      <c r="A2340" t="s">
        <v>3635</v>
      </c>
    </row>
    <row r="2341" spans="1:1" x14ac:dyDescent="0.25">
      <c r="A2341" t="s">
        <v>3636</v>
      </c>
    </row>
    <row r="2342" spans="1:1" x14ac:dyDescent="0.25">
      <c r="A2342" t="s">
        <v>3637</v>
      </c>
    </row>
    <row r="2343" spans="1:1" x14ac:dyDescent="0.25">
      <c r="A2343" t="s">
        <v>3638</v>
      </c>
    </row>
    <row r="2344" spans="1:1" x14ac:dyDescent="0.25">
      <c r="A2344" t="s">
        <v>3639</v>
      </c>
    </row>
    <row r="2345" spans="1:1" x14ac:dyDescent="0.25">
      <c r="A2345" t="s">
        <v>3640</v>
      </c>
    </row>
    <row r="2346" spans="1:1" x14ac:dyDescent="0.25">
      <c r="A2346" t="s">
        <v>3641</v>
      </c>
    </row>
    <row r="2347" spans="1:1" x14ac:dyDescent="0.25">
      <c r="A2347" t="s">
        <v>3642</v>
      </c>
    </row>
    <row r="2348" spans="1:1" x14ac:dyDescent="0.25">
      <c r="A2348" t="s">
        <v>3643</v>
      </c>
    </row>
    <row r="2349" spans="1:1" x14ac:dyDescent="0.25">
      <c r="A2349" t="s">
        <v>3644</v>
      </c>
    </row>
    <row r="2350" spans="1:1" x14ac:dyDescent="0.25">
      <c r="A2350" t="s">
        <v>3645</v>
      </c>
    </row>
    <row r="2351" spans="1:1" x14ac:dyDescent="0.25">
      <c r="A2351" t="s">
        <v>3646</v>
      </c>
    </row>
    <row r="2352" spans="1:1" x14ac:dyDescent="0.25">
      <c r="A2352" t="s">
        <v>3647</v>
      </c>
    </row>
    <row r="2353" spans="1:1" x14ac:dyDescent="0.25">
      <c r="A2353" t="s">
        <v>3648</v>
      </c>
    </row>
    <row r="2354" spans="1:1" x14ac:dyDescent="0.25">
      <c r="A2354" t="s">
        <v>3649</v>
      </c>
    </row>
    <row r="2355" spans="1:1" x14ac:dyDescent="0.25">
      <c r="A2355" t="s">
        <v>3650</v>
      </c>
    </row>
    <row r="2356" spans="1:1" x14ac:dyDescent="0.25">
      <c r="A2356" t="s">
        <v>3651</v>
      </c>
    </row>
    <row r="2357" spans="1:1" x14ac:dyDescent="0.25">
      <c r="A2357" t="s">
        <v>3652</v>
      </c>
    </row>
    <row r="2358" spans="1:1" x14ac:dyDescent="0.25">
      <c r="A2358" t="s">
        <v>3653</v>
      </c>
    </row>
    <row r="2359" spans="1:1" x14ac:dyDescent="0.25">
      <c r="A2359" t="s">
        <v>3654</v>
      </c>
    </row>
    <row r="2360" spans="1:1" x14ac:dyDescent="0.25">
      <c r="A2360" t="s">
        <v>3655</v>
      </c>
    </row>
    <row r="2361" spans="1:1" x14ac:dyDescent="0.25">
      <c r="A2361" t="s">
        <v>3656</v>
      </c>
    </row>
    <row r="2362" spans="1:1" x14ac:dyDescent="0.25">
      <c r="A2362" t="s">
        <v>3657</v>
      </c>
    </row>
    <row r="2363" spans="1:1" x14ac:dyDescent="0.25">
      <c r="A2363" t="s">
        <v>3658</v>
      </c>
    </row>
    <row r="2364" spans="1:1" x14ac:dyDescent="0.25">
      <c r="A2364" t="s">
        <v>3659</v>
      </c>
    </row>
    <row r="2365" spans="1:1" x14ac:dyDescent="0.25">
      <c r="A2365" t="s">
        <v>3660</v>
      </c>
    </row>
    <row r="2366" spans="1:1" x14ac:dyDescent="0.25">
      <c r="A2366" t="s">
        <v>3661</v>
      </c>
    </row>
    <row r="2367" spans="1:1" x14ac:dyDescent="0.25">
      <c r="A2367" t="s">
        <v>3662</v>
      </c>
    </row>
    <row r="2368" spans="1:1" x14ac:dyDescent="0.25">
      <c r="A2368" t="s">
        <v>3663</v>
      </c>
    </row>
    <row r="2369" spans="1:1" x14ac:dyDescent="0.25">
      <c r="A2369" t="s">
        <v>3664</v>
      </c>
    </row>
    <row r="2370" spans="1:1" x14ac:dyDescent="0.25">
      <c r="A2370" t="s">
        <v>3665</v>
      </c>
    </row>
    <row r="2371" spans="1:1" x14ac:dyDescent="0.25">
      <c r="A2371" t="s">
        <v>3666</v>
      </c>
    </row>
    <row r="2372" spans="1:1" x14ac:dyDescent="0.25">
      <c r="A2372" t="s">
        <v>3667</v>
      </c>
    </row>
    <row r="2373" spans="1:1" x14ac:dyDescent="0.25">
      <c r="A2373" t="s">
        <v>3668</v>
      </c>
    </row>
    <row r="2374" spans="1:1" x14ac:dyDescent="0.25">
      <c r="A2374" t="s">
        <v>3669</v>
      </c>
    </row>
    <row r="2375" spans="1:1" x14ac:dyDescent="0.25">
      <c r="A2375" t="s">
        <v>3670</v>
      </c>
    </row>
    <row r="2376" spans="1:1" x14ac:dyDescent="0.25">
      <c r="A2376" t="s">
        <v>3671</v>
      </c>
    </row>
    <row r="2377" spans="1:1" x14ac:dyDescent="0.25">
      <c r="A2377" t="s">
        <v>3672</v>
      </c>
    </row>
    <row r="2378" spans="1:1" x14ac:dyDescent="0.25">
      <c r="A2378" t="s">
        <v>3673</v>
      </c>
    </row>
    <row r="2379" spans="1:1" x14ac:dyDescent="0.25">
      <c r="A2379" t="s">
        <v>3674</v>
      </c>
    </row>
    <row r="2380" spans="1:1" x14ac:dyDescent="0.25">
      <c r="A2380" t="s">
        <v>3675</v>
      </c>
    </row>
    <row r="2381" spans="1:1" x14ac:dyDescent="0.25">
      <c r="A2381" t="s">
        <v>3676</v>
      </c>
    </row>
    <row r="2382" spans="1:1" x14ac:dyDescent="0.25">
      <c r="A2382" t="s">
        <v>3677</v>
      </c>
    </row>
    <row r="2383" spans="1:1" x14ac:dyDescent="0.25">
      <c r="A2383" t="s">
        <v>3678</v>
      </c>
    </row>
    <row r="2384" spans="1:1" x14ac:dyDescent="0.25">
      <c r="A2384" t="s">
        <v>3679</v>
      </c>
    </row>
    <row r="2385" spans="1:1" x14ac:dyDescent="0.25">
      <c r="A2385" t="s">
        <v>3680</v>
      </c>
    </row>
    <row r="2386" spans="1:1" x14ac:dyDescent="0.25">
      <c r="A2386" t="s">
        <v>3681</v>
      </c>
    </row>
    <row r="2387" spans="1:1" x14ac:dyDescent="0.25">
      <c r="A2387" t="s">
        <v>3682</v>
      </c>
    </row>
    <row r="2388" spans="1:1" x14ac:dyDescent="0.25">
      <c r="A2388" t="s">
        <v>3683</v>
      </c>
    </row>
    <row r="2389" spans="1:1" x14ac:dyDescent="0.25">
      <c r="A2389" t="s">
        <v>3684</v>
      </c>
    </row>
    <row r="2390" spans="1:1" x14ac:dyDescent="0.25">
      <c r="A2390" t="s">
        <v>3685</v>
      </c>
    </row>
    <row r="2391" spans="1:1" x14ac:dyDescent="0.25">
      <c r="A2391" t="s">
        <v>3686</v>
      </c>
    </row>
    <row r="2392" spans="1:1" x14ac:dyDescent="0.25">
      <c r="A2392" t="s">
        <v>3687</v>
      </c>
    </row>
    <row r="2393" spans="1:1" x14ac:dyDescent="0.25">
      <c r="A2393" t="s">
        <v>3688</v>
      </c>
    </row>
    <row r="2394" spans="1:1" x14ac:dyDescent="0.25">
      <c r="A2394" t="s">
        <v>3689</v>
      </c>
    </row>
    <row r="2395" spans="1:1" x14ac:dyDescent="0.25">
      <c r="A2395" t="s">
        <v>3690</v>
      </c>
    </row>
    <row r="2396" spans="1:1" x14ac:dyDescent="0.25">
      <c r="A2396" t="s">
        <v>3691</v>
      </c>
    </row>
    <row r="2397" spans="1:1" x14ac:dyDescent="0.25">
      <c r="A2397" t="s">
        <v>3692</v>
      </c>
    </row>
    <row r="2398" spans="1:1" x14ac:dyDescent="0.25">
      <c r="A2398" t="s">
        <v>3693</v>
      </c>
    </row>
    <row r="2399" spans="1:1" x14ac:dyDescent="0.25">
      <c r="A2399" t="s">
        <v>3694</v>
      </c>
    </row>
    <row r="2400" spans="1:1" x14ac:dyDescent="0.25">
      <c r="A2400" t="s">
        <v>3695</v>
      </c>
    </row>
    <row r="2401" spans="1:1" x14ac:dyDescent="0.25">
      <c r="A2401" t="s">
        <v>3696</v>
      </c>
    </row>
    <row r="2402" spans="1:1" x14ac:dyDescent="0.25">
      <c r="A2402" t="s">
        <v>3697</v>
      </c>
    </row>
    <row r="2403" spans="1:1" x14ac:dyDescent="0.25">
      <c r="A2403" t="s">
        <v>3698</v>
      </c>
    </row>
    <row r="2404" spans="1:1" x14ac:dyDescent="0.25">
      <c r="A2404" t="s">
        <v>3699</v>
      </c>
    </row>
    <row r="2405" spans="1:1" x14ac:dyDescent="0.25">
      <c r="A2405" t="s">
        <v>3700</v>
      </c>
    </row>
    <row r="2406" spans="1:1" x14ac:dyDescent="0.25">
      <c r="A2406" t="s">
        <v>3701</v>
      </c>
    </row>
    <row r="2407" spans="1:1" x14ac:dyDescent="0.25">
      <c r="A2407" t="s">
        <v>3702</v>
      </c>
    </row>
    <row r="2408" spans="1:1" x14ac:dyDescent="0.25">
      <c r="A2408" t="s">
        <v>3703</v>
      </c>
    </row>
    <row r="2409" spans="1:1" x14ac:dyDescent="0.25">
      <c r="A2409" t="s">
        <v>3704</v>
      </c>
    </row>
    <row r="2410" spans="1:1" x14ac:dyDescent="0.25">
      <c r="A2410" t="s">
        <v>3705</v>
      </c>
    </row>
    <row r="2411" spans="1:1" x14ac:dyDescent="0.25">
      <c r="A2411" t="s">
        <v>3706</v>
      </c>
    </row>
    <row r="2412" spans="1:1" x14ac:dyDescent="0.25">
      <c r="A2412" t="s">
        <v>3707</v>
      </c>
    </row>
    <row r="2413" spans="1:1" x14ac:dyDescent="0.25">
      <c r="A2413" t="s">
        <v>3708</v>
      </c>
    </row>
    <row r="2414" spans="1:1" x14ac:dyDescent="0.25">
      <c r="A2414" t="s">
        <v>3709</v>
      </c>
    </row>
    <row r="2415" spans="1:1" x14ac:dyDescent="0.25">
      <c r="A2415" t="s">
        <v>3710</v>
      </c>
    </row>
    <row r="2416" spans="1:1" x14ac:dyDescent="0.25">
      <c r="A2416" t="s">
        <v>3711</v>
      </c>
    </row>
    <row r="2417" spans="1:1" x14ac:dyDescent="0.25">
      <c r="A2417" t="s">
        <v>3712</v>
      </c>
    </row>
    <row r="2418" spans="1:1" x14ac:dyDescent="0.25">
      <c r="A2418" t="s">
        <v>3713</v>
      </c>
    </row>
    <row r="2419" spans="1:1" x14ac:dyDescent="0.25">
      <c r="A2419" t="s">
        <v>3714</v>
      </c>
    </row>
    <row r="2420" spans="1:1" x14ac:dyDescent="0.25">
      <c r="A2420" t="s">
        <v>3715</v>
      </c>
    </row>
    <row r="2421" spans="1:1" x14ac:dyDescent="0.25">
      <c r="A2421" t="s">
        <v>3716</v>
      </c>
    </row>
    <row r="2422" spans="1:1" x14ac:dyDescent="0.25">
      <c r="A2422" t="s">
        <v>3717</v>
      </c>
    </row>
    <row r="2423" spans="1:1" x14ac:dyDescent="0.25">
      <c r="A2423" t="s">
        <v>3718</v>
      </c>
    </row>
    <row r="2424" spans="1:1" x14ac:dyDescent="0.25">
      <c r="A2424" t="s">
        <v>3719</v>
      </c>
    </row>
    <row r="2425" spans="1:1" x14ac:dyDescent="0.25">
      <c r="A2425" t="s">
        <v>3720</v>
      </c>
    </row>
    <row r="2426" spans="1:1" x14ac:dyDescent="0.25">
      <c r="A2426" t="s">
        <v>3721</v>
      </c>
    </row>
    <row r="2427" spans="1:1" x14ac:dyDescent="0.25">
      <c r="A2427" t="s">
        <v>3722</v>
      </c>
    </row>
    <row r="2428" spans="1:1" x14ac:dyDescent="0.25">
      <c r="A2428" t="s">
        <v>3723</v>
      </c>
    </row>
    <row r="2429" spans="1:1" x14ac:dyDescent="0.25">
      <c r="A2429" t="s">
        <v>3724</v>
      </c>
    </row>
    <row r="2430" spans="1:1" x14ac:dyDescent="0.25">
      <c r="A2430" t="s">
        <v>3725</v>
      </c>
    </row>
    <row r="2431" spans="1:1" x14ac:dyDescent="0.25">
      <c r="A2431" t="s">
        <v>3726</v>
      </c>
    </row>
    <row r="2432" spans="1:1" x14ac:dyDescent="0.25">
      <c r="A2432" t="s">
        <v>3727</v>
      </c>
    </row>
    <row r="2433" spans="1:1" x14ac:dyDescent="0.25">
      <c r="A2433" t="s">
        <v>3728</v>
      </c>
    </row>
    <row r="2434" spans="1:1" x14ac:dyDescent="0.25">
      <c r="A2434" t="s">
        <v>3729</v>
      </c>
    </row>
    <row r="2435" spans="1:1" x14ac:dyDescent="0.25">
      <c r="A2435" t="s">
        <v>3730</v>
      </c>
    </row>
    <row r="2436" spans="1:1" x14ac:dyDescent="0.25">
      <c r="A2436" t="s">
        <v>3731</v>
      </c>
    </row>
    <row r="2437" spans="1:1" x14ac:dyDescent="0.25">
      <c r="A2437" t="s">
        <v>3732</v>
      </c>
    </row>
    <row r="2438" spans="1:1" x14ac:dyDescent="0.25">
      <c r="A2438" t="s">
        <v>3733</v>
      </c>
    </row>
    <row r="2439" spans="1:1" x14ac:dyDescent="0.25">
      <c r="A2439" t="s">
        <v>3734</v>
      </c>
    </row>
    <row r="2440" spans="1:1" x14ac:dyDescent="0.25">
      <c r="A2440" t="s">
        <v>3735</v>
      </c>
    </row>
    <row r="2441" spans="1:1" x14ac:dyDescent="0.25">
      <c r="A2441" t="s">
        <v>3736</v>
      </c>
    </row>
    <row r="2442" spans="1:1" x14ac:dyDescent="0.25">
      <c r="A2442" t="s">
        <v>3737</v>
      </c>
    </row>
    <row r="2443" spans="1:1" x14ac:dyDescent="0.25">
      <c r="A2443" t="s">
        <v>3738</v>
      </c>
    </row>
    <row r="2444" spans="1:1" x14ac:dyDescent="0.25">
      <c r="A2444" t="s">
        <v>3739</v>
      </c>
    </row>
    <row r="2445" spans="1:1" x14ac:dyDescent="0.25">
      <c r="A2445" t="s">
        <v>3740</v>
      </c>
    </row>
    <row r="2446" spans="1:1" x14ac:dyDescent="0.25">
      <c r="A2446" t="s">
        <v>3741</v>
      </c>
    </row>
    <row r="2447" spans="1:1" x14ac:dyDescent="0.25">
      <c r="A2447" t="s">
        <v>3742</v>
      </c>
    </row>
    <row r="2448" spans="1:1" x14ac:dyDescent="0.25">
      <c r="A2448" t="s">
        <v>3743</v>
      </c>
    </row>
    <row r="2449" spans="1:1" x14ac:dyDescent="0.25">
      <c r="A2449" t="s">
        <v>3744</v>
      </c>
    </row>
    <row r="2450" spans="1:1" x14ac:dyDescent="0.25">
      <c r="A2450" t="s">
        <v>3745</v>
      </c>
    </row>
    <row r="2451" spans="1:1" x14ac:dyDescent="0.25">
      <c r="A2451" t="s">
        <v>3746</v>
      </c>
    </row>
    <row r="2452" spans="1:1" x14ac:dyDescent="0.25">
      <c r="A2452" t="s">
        <v>3747</v>
      </c>
    </row>
    <row r="2453" spans="1:1" x14ac:dyDescent="0.25">
      <c r="A2453" t="s">
        <v>3748</v>
      </c>
    </row>
    <row r="2454" spans="1:1" x14ac:dyDescent="0.25">
      <c r="A2454" t="s">
        <v>3749</v>
      </c>
    </row>
    <row r="2455" spans="1:1" x14ac:dyDescent="0.25">
      <c r="A2455" t="s">
        <v>3750</v>
      </c>
    </row>
    <row r="2456" spans="1:1" x14ac:dyDescent="0.25">
      <c r="A2456" t="s">
        <v>3751</v>
      </c>
    </row>
    <row r="2457" spans="1:1" x14ac:dyDescent="0.25">
      <c r="A2457" t="s">
        <v>3752</v>
      </c>
    </row>
    <row r="2458" spans="1:1" x14ac:dyDescent="0.25">
      <c r="A2458" t="s">
        <v>3753</v>
      </c>
    </row>
    <row r="2459" spans="1:1" x14ac:dyDescent="0.25">
      <c r="A2459" t="s">
        <v>3754</v>
      </c>
    </row>
    <row r="2460" spans="1:1" x14ac:dyDescent="0.25">
      <c r="A2460" t="s">
        <v>3755</v>
      </c>
    </row>
    <row r="2461" spans="1:1" x14ac:dyDescent="0.25">
      <c r="A2461" t="s">
        <v>3756</v>
      </c>
    </row>
    <row r="2462" spans="1:1" x14ac:dyDescent="0.25">
      <c r="A2462" t="s">
        <v>3757</v>
      </c>
    </row>
    <row r="2463" spans="1:1" x14ac:dyDescent="0.25">
      <c r="A2463" t="s">
        <v>3758</v>
      </c>
    </row>
    <row r="2464" spans="1:1" x14ac:dyDescent="0.25">
      <c r="A2464" t="s">
        <v>3759</v>
      </c>
    </row>
    <row r="2465" spans="1:1" x14ac:dyDescent="0.25">
      <c r="A2465" t="s">
        <v>3760</v>
      </c>
    </row>
    <row r="2466" spans="1:1" x14ac:dyDescent="0.25">
      <c r="A2466" t="s">
        <v>3761</v>
      </c>
    </row>
    <row r="2467" spans="1:1" x14ac:dyDescent="0.25">
      <c r="A2467" t="s">
        <v>3762</v>
      </c>
    </row>
    <row r="2468" spans="1:1" x14ac:dyDescent="0.25">
      <c r="A2468" t="s">
        <v>3763</v>
      </c>
    </row>
    <row r="2469" spans="1:1" x14ac:dyDescent="0.25">
      <c r="A2469" t="s">
        <v>3764</v>
      </c>
    </row>
    <row r="2470" spans="1:1" x14ac:dyDescent="0.25">
      <c r="A2470" t="s">
        <v>3765</v>
      </c>
    </row>
    <row r="2471" spans="1:1" x14ac:dyDescent="0.25">
      <c r="A2471" t="s">
        <v>3766</v>
      </c>
    </row>
    <row r="2472" spans="1:1" x14ac:dyDescent="0.25">
      <c r="A2472" t="s">
        <v>3767</v>
      </c>
    </row>
    <row r="2473" spans="1:1" x14ac:dyDescent="0.25">
      <c r="A2473" t="s">
        <v>3768</v>
      </c>
    </row>
    <row r="2474" spans="1:1" x14ac:dyDescent="0.25">
      <c r="A2474" t="s">
        <v>3769</v>
      </c>
    </row>
    <row r="2475" spans="1:1" x14ac:dyDescent="0.25">
      <c r="A2475" t="s">
        <v>3770</v>
      </c>
    </row>
    <row r="2476" spans="1:1" x14ac:dyDescent="0.25">
      <c r="A2476" t="s">
        <v>3771</v>
      </c>
    </row>
    <row r="2477" spans="1:1" x14ac:dyDescent="0.25">
      <c r="A2477" t="s">
        <v>3772</v>
      </c>
    </row>
    <row r="2478" spans="1:1" x14ac:dyDescent="0.25">
      <c r="A2478" t="s">
        <v>3773</v>
      </c>
    </row>
    <row r="2479" spans="1:1" x14ac:dyDescent="0.25">
      <c r="A2479" t="s">
        <v>3774</v>
      </c>
    </row>
    <row r="2480" spans="1:1" x14ac:dyDescent="0.25">
      <c r="A2480" t="s">
        <v>3775</v>
      </c>
    </row>
    <row r="2481" spans="1:1" x14ac:dyDescent="0.25">
      <c r="A2481" t="s">
        <v>3776</v>
      </c>
    </row>
    <row r="2482" spans="1:1" x14ac:dyDescent="0.25">
      <c r="A2482" t="s">
        <v>3777</v>
      </c>
    </row>
    <row r="2483" spans="1:1" x14ac:dyDescent="0.25">
      <c r="A2483" t="s">
        <v>3778</v>
      </c>
    </row>
    <row r="2484" spans="1:1" x14ac:dyDescent="0.25">
      <c r="A2484" t="s">
        <v>3779</v>
      </c>
    </row>
    <row r="2485" spans="1:1" x14ac:dyDescent="0.25">
      <c r="A2485" t="s">
        <v>3780</v>
      </c>
    </row>
    <row r="2486" spans="1:1" x14ac:dyDescent="0.25">
      <c r="A2486" t="s">
        <v>3781</v>
      </c>
    </row>
    <row r="2487" spans="1:1" x14ac:dyDescent="0.25">
      <c r="A2487" t="s">
        <v>3782</v>
      </c>
    </row>
    <row r="2488" spans="1:1" x14ac:dyDescent="0.25">
      <c r="A2488" t="s">
        <v>3783</v>
      </c>
    </row>
    <row r="2489" spans="1:1" x14ac:dyDescent="0.25">
      <c r="A2489" t="s">
        <v>3784</v>
      </c>
    </row>
    <row r="2490" spans="1:1" x14ac:dyDescent="0.25">
      <c r="A2490" t="s">
        <v>3785</v>
      </c>
    </row>
    <row r="2491" spans="1:1" x14ac:dyDescent="0.25">
      <c r="A2491" t="s">
        <v>3786</v>
      </c>
    </row>
    <row r="2492" spans="1:1" x14ac:dyDescent="0.25">
      <c r="A2492" t="s">
        <v>3787</v>
      </c>
    </row>
    <row r="2493" spans="1:1" x14ac:dyDescent="0.25">
      <c r="A2493" t="s">
        <v>3788</v>
      </c>
    </row>
    <row r="2494" spans="1:1" x14ac:dyDescent="0.25">
      <c r="A2494" t="s">
        <v>3789</v>
      </c>
    </row>
    <row r="2495" spans="1:1" x14ac:dyDescent="0.25">
      <c r="A2495" t="s">
        <v>3790</v>
      </c>
    </row>
    <row r="2496" spans="1:1" x14ac:dyDescent="0.25">
      <c r="A2496" t="s">
        <v>3791</v>
      </c>
    </row>
    <row r="2497" spans="1:1" x14ac:dyDescent="0.25">
      <c r="A2497" t="s">
        <v>3792</v>
      </c>
    </row>
    <row r="2498" spans="1:1" x14ac:dyDescent="0.25">
      <c r="A2498" t="s">
        <v>3793</v>
      </c>
    </row>
    <row r="2499" spans="1:1" x14ac:dyDescent="0.25">
      <c r="A2499" t="s">
        <v>3794</v>
      </c>
    </row>
    <row r="2500" spans="1:1" x14ac:dyDescent="0.25">
      <c r="A2500" t="s">
        <v>3795</v>
      </c>
    </row>
    <row r="2501" spans="1:1" x14ac:dyDescent="0.25">
      <c r="A2501" t="s">
        <v>3796</v>
      </c>
    </row>
    <row r="2502" spans="1:1" x14ac:dyDescent="0.25">
      <c r="A2502" t="s">
        <v>3797</v>
      </c>
    </row>
    <row r="2503" spans="1:1" x14ac:dyDescent="0.25">
      <c r="A2503" t="s">
        <v>3798</v>
      </c>
    </row>
    <row r="2504" spans="1:1" x14ac:dyDescent="0.25">
      <c r="A2504" t="s">
        <v>3799</v>
      </c>
    </row>
    <row r="2505" spans="1:1" x14ac:dyDescent="0.25">
      <c r="A2505" t="s">
        <v>3800</v>
      </c>
    </row>
    <row r="2506" spans="1:1" x14ac:dyDescent="0.25">
      <c r="A2506" t="s">
        <v>3801</v>
      </c>
    </row>
    <row r="2507" spans="1:1" x14ac:dyDescent="0.25">
      <c r="A2507" t="s">
        <v>3802</v>
      </c>
    </row>
    <row r="2508" spans="1:1" x14ac:dyDescent="0.25">
      <c r="A2508" t="s">
        <v>3803</v>
      </c>
    </row>
    <row r="2509" spans="1:1" x14ac:dyDescent="0.25">
      <c r="A2509" t="s">
        <v>3804</v>
      </c>
    </row>
    <row r="2510" spans="1:1" x14ac:dyDescent="0.25">
      <c r="A2510" t="s">
        <v>3805</v>
      </c>
    </row>
    <row r="2511" spans="1:1" x14ac:dyDescent="0.25">
      <c r="A2511" t="s">
        <v>3806</v>
      </c>
    </row>
    <row r="2512" spans="1:1" x14ac:dyDescent="0.25">
      <c r="A2512" t="s">
        <v>3807</v>
      </c>
    </row>
    <row r="2513" spans="1:1" x14ac:dyDescent="0.25">
      <c r="A2513" t="s">
        <v>3808</v>
      </c>
    </row>
    <row r="2514" spans="1:1" x14ac:dyDescent="0.25">
      <c r="A2514" t="s">
        <v>3809</v>
      </c>
    </row>
    <row r="2515" spans="1:1" x14ac:dyDescent="0.25">
      <c r="A2515" t="s">
        <v>3810</v>
      </c>
    </row>
    <row r="2516" spans="1:1" x14ac:dyDescent="0.25">
      <c r="A2516" t="s">
        <v>3811</v>
      </c>
    </row>
    <row r="2517" spans="1:1" x14ac:dyDescent="0.25">
      <c r="A2517" t="s">
        <v>3812</v>
      </c>
    </row>
    <row r="2518" spans="1:1" x14ac:dyDescent="0.25">
      <c r="A2518" t="s">
        <v>3813</v>
      </c>
    </row>
    <row r="2519" spans="1:1" x14ac:dyDescent="0.25">
      <c r="A2519" t="s">
        <v>3814</v>
      </c>
    </row>
    <row r="2520" spans="1:1" x14ac:dyDescent="0.25">
      <c r="A2520" t="s">
        <v>3815</v>
      </c>
    </row>
    <row r="2521" spans="1:1" x14ac:dyDescent="0.25">
      <c r="A2521" t="s">
        <v>3816</v>
      </c>
    </row>
    <row r="2522" spans="1:1" x14ac:dyDescent="0.25">
      <c r="A2522" t="s">
        <v>3817</v>
      </c>
    </row>
    <row r="2523" spans="1:1" x14ac:dyDescent="0.25">
      <c r="A2523" t="s">
        <v>3818</v>
      </c>
    </row>
    <row r="2524" spans="1:1" x14ac:dyDescent="0.25">
      <c r="A2524" t="s">
        <v>3819</v>
      </c>
    </row>
    <row r="2525" spans="1:1" x14ac:dyDescent="0.25">
      <c r="A2525" t="s">
        <v>3820</v>
      </c>
    </row>
    <row r="2526" spans="1:1" x14ac:dyDescent="0.25">
      <c r="A2526" t="s">
        <v>3821</v>
      </c>
    </row>
    <row r="2527" spans="1:1" x14ac:dyDescent="0.25">
      <c r="A2527" t="s">
        <v>3822</v>
      </c>
    </row>
    <row r="2528" spans="1:1" x14ac:dyDescent="0.25">
      <c r="A2528" t="s">
        <v>3823</v>
      </c>
    </row>
    <row r="2529" spans="1:1" x14ac:dyDescent="0.25">
      <c r="A2529" t="s">
        <v>3824</v>
      </c>
    </row>
    <row r="2530" spans="1:1" x14ac:dyDescent="0.25">
      <c r="A2530" t="s">
        <v>3825</v>
      </c>
    </row>
    <row r="2531" spans="1:1" x14ac:dyDescent="0.25">
      <c r="A2531" t="s">
        <v>3826</v>
      </c>
    </row>
    <row r="2532" spans="1:1" x14ac:dyDescent="0.25">
      <c r="A2532" t="s">
        <v>3827</v>
      </c>
    </row>
    <row r="2533" spans="1:1" x14ac:dyDescent="0.25">
      <c r="A2533" t="s">
        <v>3828</v>
      </c>
    </row>
    <row r="2534" spans="1:1" x14ac:dyDescent="0.25">
      <c r="A2534" t="s">
        <v>3829</v>
      </c>
    </row>
    <row r="2535" spans="1:1" x14ac:dyDescent="0.25">
      <c r="A2535" t="s">
        <v>3830</v>
      </c>
    </row>
    <row r="2536" spans="1:1" x14ac:dyDescent="0.25">
      <c r="A2536" t="s">
        <v>3831</v>
      </c>
    </row>
    <row r="2537" spans="1:1" x14ac:dyDescent="0.25">
      <c r="A2537" t="s">
        <v>3832</v>
      </c>
    </row>
    <row r="2538" spans="1:1" x14ac:dyDescent="0.25">
      <c r="A2538" t="s">
        <v>3833</v>
      </c>
    </row>
    <row r="2539" spans="1:1" x14ac:dyDescent="0.25">
      <c r="A2539" t="s">
        <v>3834</v>
      </c>
    </row>
    <row r="2540" spans="1:1" x14ac:dyDescent="0.25">
      <c r="A2540" t="s">
        <v>3835</v>
      </c>
    </row>
    <row r="2541" spans="1:1" x14ac:dyDescent="0.25">
      <c r="A2541" t="s">
        <v>3836</v>
      </c>
    </row>
    <row r="2542" spans="1:1" x14ac:dyDescent="0.25">
      <c r="A2542" t="s">
        <v>3837</v>
      </c>
    </row>
    <row r="2543" spans="1:1" x14ac:dyDescent="0.25">
      <c r="A2543" t="s">
        <v>3838</v>
      </c>
    </row>
    <row r="2544" spans="1:1" x14ac:dyDescent="0.25">
      <c r="A2544" t="s">
        <v>3839</v>
      </c>
    </row>
    <row r="2545" spans="1:1" x14ac:dyDescent="0.25">
      <c r="A2545" t="s">
        <v>3840</v>
      </c>
    </row>
    <row r="2546" spans="1:1" x14ac:dyDescent="0.25">
      <c r="A2546" t="s">
        <v>3841</v>
      </c>
    </row>
    <row r="2547" spans="1:1" x14ac:dyDescent="0.25">
      <c r="A2547" t="s">
        <v>3842</v>
      </c>
    </row>
    <row r="2548" spans="1:1" x14ac:dyDescent="0.25">
      <c r="A2548" t="s">
        <v>3843</v>
      </c>
    </row>
    <row r="2549" spans="1:1" x14ac:dyDescent="0.25">
      <c r="A2549" t="s">
        <v>3844</v>
      </c>
    </row>
    <row r="2550" spans="1:1" x14ac:dyDescent="0.25">
      <c r="A2550" t="s">
        <v>3845</v>
      </c>
    </row>
    <row r="2551" spans="1:1" x14ac:dyDescent="0.25">
      <c r="A2551" t="s">
        <v>3846</v>
      </c>
    </row>
    <row r="2552" spans="1:1" x14ac:dyDescent="0.25">
      <c r="A2552" t="s">
        <v>3847</v>
      </c>
    </row>
    <row r="2553" spans="1:1" x14ac:dyDescent="0.25">
      <c r="A2553" t="s">
        <v>3848</v>
      </c>
    </row>
    <row r="2554" spans="1:1" x14ac:dyDescent="0.25">
      <c r="A2554" t="s">
        <v>3849</v>
      </c>
    </row>
    <row r="2555" spans="1:1" x14ac:dyDescent="0.25">
      <c r="A2555" t="s">
        <v>3850</v>
      </c>
    </row>
    <row r="2556" spans="1:1" x14ac:dyDescent="0.25">
      <c r="A2556" t="s">
        <v>3851</v>
      </c>
    </row>
    <row r="2557" spans="1:1" x14ac:dyDescent="0.25">
      <c r="A2557" t="s">
        <v>3852</v>
      </c>
    </row>
    <row r="2558" spans="1:1" x14ac:dyDescent="0.25">
      <c r="A2558" t="s">
        <v>3853</v>
      </c>
    </row>
    <row r="2559" spans="1:1" x14ac:dyDescent="0.25">
      <c r="A2559" t="s">
        <v>3854</v>
      </c>
    </row>
    <row r="2560" spans="1:1" x14ac:dyDescent="0.25">
      <c r="A2560" t="s">
        <v>3855</v>
      </c>
    </row>
    <row r="2561" spans="1:1" x14ac:dyDescent="0.25">
      <c r="A2561" t="s">
        <v>3856</v>
      </c>
    </row>
    <row r="2562" spans="1:1" x14ac:dyDescent="0.25">
      <c r="A2562" t="s">
        <v>3857</v>
      </c>
    </row>
    <row r="2563" spans="1:1" x14ac:dyDescent="0.25">
      <c r="A2563" t="s">
        <v>3858</v>
      </c>
    </row>
    <row r="2564" spans="1:1" x14ac:dyDescent="0.25">
      <c r="A2564" t="s">
        <v>3859</v>
      </c>
    </row>
    <row r="2565" spans="1:1" x14ac:dyDescent="0.25">
      <c r="A2565" t="s">
        <v>3860</v>
      </c>
    </row>
    <row r="2566" spans="1:1" x14ac:dyDescent="0.25">
      <c r="A2566" t="s">
        <v>3861</v>
      </c>
    </row>
    <row r="2567" spans="1:1" x14ac:dyDescent="0.25">
      <c r="A2567" t="s">
        <v>3862</v>
      </c>
    </row>
    <row r="2568" spans="1:1" x14ac:dyDescent="0.25">
      <c r="A2568" t="s">
        <v>3863</v>
      </c>
    </row>
    <row r="2569" spans="1:1" x14ac:dyDescent="0.25">
      <c r="A2569" t="s">
        <v>3864</v>
      </c>
    </row>
    <row r="2570" spans="1:1" x14ac:dyDescent="0.25">
      <c r="A2570" t="s">
        <v>3865</v>
      </c>
    </row>
    <row r="2571" spans="1:1" x14ac:dyDescent="0.25">
      <c r="A2571" t="s">
        <v>3866</v>
      </c>
    </row>
    <row r="2572" spans="1:1" x14ac:dyDescent="0.25">
      <c r="A2572" t="s">
        <v>3867</v>
      </c>
    </row>
    <row r="2573" spans="1:1" x14ac:dyDescent="0.25">
      <c r="A2573" t="s">
        <v>3868</v>
      </c>
    </row>
    <row r="2574" spans="1:1" x14ac:dyDescent="0.25">
      <c r="A2574" t="s">
        <v>3869</v>
      </c>
    </row>
    <row r="2575" spans="1:1" x14ac:dyDescent="0.25">
      <c r="A2575" t="s">
        <v>3870</v>
      </c>
    </row>
    <row r="2576" spans="1:1" x14ac:dyDescent="0.25">
      <c r="A2576" t="s">
        <v>3871</v>
      </c>
    </row>
    <row r="2577" spans="1:1" x14ac:dyDescent="0.25">
      <c r="A2577" t="s">
        <v>3872</v>
      </c>
    </row>
    <row r="2578" spans="1:1" x14ac:dyDescent="0.25">
      <c r="A2578" t="s">
        <v>3873</v>
      </c>
    </row>
    <row r="2579" spans="1:1" x14ac:dyDescent="0.25">
      <c r="A2579" t="s">
        <v>3874</v>
      </c>
    </row>
    <row r="2580" spans="1:1" x14ac:dyDescent="0.25">
      <c r="A2580" t="s">
        <v>3875</v>
      </c>
    </row>
    <row r="2581" spans="1:1" x14ac:dyDescent="0.25">
      <c r="A2581" t="s">
        <v>3876</v>
      </c>
    </row>
    <row r="2582" spans="1:1" x14ac:dyDescent="0.25">
      <c r="A2582" t="s">
        <v>3877</v>
      </c>
    </row>
    <row r="2583" spans="1:1" x14ac:dyDescent="0.25">
      <c r="A2583" t="s">
        <v>3878</v>
      </c>
    </row>
    <row r="2584" spans="1:1" x14ac:dyDescent="0.25">
      <c r="A2584" t="s">
        <v>3879</v>
      </c>
    </row>
    <row r="2585" spans="1:1" x14ac:dyDescent="0.25">
      <c r="A2585" t="s">
        <v>3880</v>
      </c>
    </row>
    <row r="2586" spans="1:1" x14ac:dyDescent="0.25">
      <c r="A2586" t="s">
        <v>3881</v>
      </c>
    </row>
    <row r="2587" spans="1:1" x14ac:dyDescent="0.25">
      <c r="A2587" t="s">
        <v>3882</v>
      </c>
    </row>
    <row r="2588" spans="1:1" x14ac:dyDescent="0.25">
      <c r="A2588" t="s">
        <v>3883</v>
      </c>
    </row>
    <row r="2589" spans="1:1" x14ac:dyDescent="0.25">
      <c r="A2589" t="s">
        <v>3884</v>
      </c>
    </row>
    <row r="2590" spans="1:1" x14ac:dyDescent="0.25">
      <c r="A2590" t="s">
        <v>3885</v>
      </c>
    </row>
    <row r="2591" spans="1:1" x14ac:dyDescent="0.25">
      <c r="A2591" t="s">
        <v>3886</v>
      </c>
    </row>
    <row r="2592" spans="1:1" x14ac:dyDescent="0.25">
      <c r="A2592" t="s">
        <v>3887</v>
      </c>
    </row>
    <row r="2593" spans="1:1" x14ac:dyDescent="0.25">
      <c r="A2593" t="s">
        <v>3888</v>
      </c>
    </row>
    <row r="2594" spans="1:1" x14ac:dyDescent="0.25">
      <c r="A2594" t="s">
        <v>3889</v>
      </c>
    </row>
    <row r="2595" spans="1:1" x14ac:dyDescent="0.25">
      <c r="A2595" t="s">
        <v>3890</v>
      </c>
    </row>
    <row r="2596" spans="1:1" x14ac:dyDescent="0.25">
      <c r="A2596" t="s">
        <v>3891</v>
      </c>
    </row>
    <row r="2597" spans="1:1" x14ac:dyDescent="0.25">
      <c r="A2597" t="s">
        <v>3892</v>
      </c>
    </row>
    <row r="2598" spans="1:1" x14ac:dyDescent="0.25">
      <c r="A2598" t="s">
        <v>3893</v>
      </c>
    </row>
    <row r="2599" spans="1:1" x14ac:dyDescent="0.25">
      <c r="A2599" t="s">
        <v>3894</v>
      </c>
    </row>
    <row r="2600" spans="1:1" x14ac:dyDescent="0.25">
      <c r="A2600" t="s">
        <v>3895</v>
      </c>
    </row>
    <row r="2601" spans="1:1" x14ac:dyDescent="0.25">
      <c r="A2601" t="s">
        <v>3896</v>
      </c>
    </row>
    <row r="2602" spans="1:1" x14ac:dyDescent="0.25">
      <c r="A2602" t="s">
        <v>3897</v>
      </c>
    </row>
    <row r="2603" spans="1:1" x14ac:dyDescent="0.25">
      <c r="A2603" t="s">
        <v>3898</v>
      </c>
    </row>
    <row r="2604" spans="1:1" x14ac:dyDescent="0.25">
      <c r="A2604" t="s">
        <v>3899</v>
      </c>
    </row>
    <row r="2605" spans="1:1" x14ac:dyDescent="0.25">
      <c r="A2605" t="s">
        <v>3900</v>
      </c>
    </row>
    <row r="2606" spans="1:1" x14ac:dyDescent="0.25">
      <c r="A2606" t="s">
        <v>3901</v>
      </c>
    </row>
    <row r="2607" spans="1:1" x14ac:dyDescent="0.25">
      <c r="A2607" t="s">
        <v>3902</v>
      </c>
    </row>
    <row r="2608" spans="1:1" x14ac:dyDescent="0.25">
      <c r="A2608" t="s">
        <v>3903</v>
      </c>
    </row>
    <row r="2609" spans="1:1" x14ac:dyDescent="0.25">
      <c r="A2609" t="s">
        <v>3904</v>
      </c>
    </row>
    <row r="2610" spans="1:1" x14ac:dyDescent="0.25">
      <c r="A2610" t="s">
        <v>3905</v>
      </c>
    </row>
    <row r="2611" spans="1:1" x14ac:dyDescent="0.25">
      <c r="A2611" t="s">
        <v>3906</v>
      </c>
    </row>
    <row r="2612" spans="1:1" x14ac:dyDescent="0.25">
      <c r="A2612" t="s">
        <v>3907</v>
      </c>
    </row>
    <row r="2613" spans="1:1" x14ac:dyDescent="0.25">
      <c r="A2613" t="s">
        <v>3908</v>
      </c>
    </row>
    <row r="2614" spans="1:1" x14ac:dyDescent="0.25">
      <c r="A2614" t="s">
        <v>3909</v>
      </c>
    </row>
    <row r="2615" spans="1:1" x14ac:dyDescent="0.25">
      <c r="A2615" t="s">
        <v>3910</v>
      </c>
    </row>
    <row r="2616" spans="1:1" x14ac:dyDescent="0.25">
      <c r="A2616" t="s">
        <v>3911</v>
      </c>
    </row>
    <row r="2617" spans="1:1" x14ac:dyDescent="0.25">
      <c r="A2617" t="s">
        <v>3912</v>
      </c>
    </row>
    <row r="2618" spans="1:1" x14ac:dyDescent="0.25">
      <c r="A2618" t="s">
        <v>3913</v>
      </c>
    </row>
    <row r="2619" spans="1:1" x14ac:dyDescent="0.25">
      <c r="A2619" t="s">
        <v>3914</v>
      </c>
    </row>
    <row r="2620" spans="1:1" x14ac:dyDescent="0.25">
      <c r="A2620" t="s">
        <v>3915</v>
      </c>
    </row>
    <row r="2621" spans="1:1" x14ac:dyDescent="0.25">
      <c r="A2621" t="s">
        <v>3916</v>
      </c>
    </row>
    <row r="2622" spans="1:1" x14ac:dyDescent="0.25">
      <c r="A2622" t="s">
        <v>3917</v>
      </c>
    </row>
    <row r="2623" spans="1:1" x14ac:dyDescent="0.25">
      <c r="A2623" t="s">
        <v>3918</v>
      </c>
    </row>
    <row r="2624" spans="1:1" x14ac:dyDescent="0.25">
      <c r="A2624" t="s">
        <v>3919</v>
      </c>
    </row>
    <row r="2625" spans="1:1" x14ac:dyDescent="0.25">
      <c r="A2625" t="s">
        <v>3920</v>
      </c>
    </row>
    <row r="2626" spans="1:1" x14ac:dyDescent="0.25">
      <c r="A2626" t="s">
        <v>3921</v>
      </c>
    </row>
    <row r="2627" spans="1:1" x14ac:dyDescent="0.25">
      <c r="A2627" t="s">
        <v>3922</v>
      </c>
    </row>
    <row r="2628" spans="1:1" x14ac:dyDescent="0.25">
      <c r="A2628" t="s">
        <v>3923</v>
      </c>
    </row>
    <row r="2629" spans="1:1" x14ac:dyDescent="0.25">
      <c r="A2629" t="s">
        <v>3924</v>
      </c>
    </row>
    <row r="2630" spans="1:1" x14ac:dyDescent="0.25">
      <c r="A2630" t="s">
        <v>3925</v>
      </c>
    </row>
    <row r="2631" spans="1:1" x14ac:dyDescent="0.25">
      <c r="A2631" t="s">
        <v>3926</v>
      </c>
    </row>
    <row r="2632" spans="1:1" x14ac:dyDescent="0.25">
      <c r="A2632" t="s">
        <v>3927</v>
      </c>
    </row>
    <row r="2633" spans="1:1" x14ac:dyDescent="0.25">
      <c r="A2633" t="s">
        <v>3928</v>
      </c>
    </row>
    <row r="2634" spans="1:1" x14ac:dyDescent="0.25">
      <c r="A2634" t="s">
        <v>3929</v>
      </c>
    </row>
    <row r="2635" spans="1:1" x14ac:dyDescent="0.25">
      <c r="A2635" t="s">
        <v>3930</v>
      </c>
    </row>
    <row r="2636" spans="1:1" x14ac:dyDescent="0.25">
      <c r="A2636" t="s">
        <v>3931</v>
      </c>
    </row>
    <row r="2637" spans="1:1" x14ac:dyDescent="0.25">
      <c r="A2637" t="s">
        <v>3932</v>
      </c>
    </row>
    <row r="2638" spans="1:1" x14ac:dyDescent="0.25">
      <c r="A2638" t="s">
        <v>3933</v>
      </c>
    </row>
    <row r="2639" spans="1:1" x14ac:dyDescent="0.25">
      <c r="A2639" t="s">
        <v>3934</v>
      </c>
    </row>
    <row r="2640" spans="1:1" x14ac:dyDescent="0.25">
      <c r="A2640" t="s">
        <v>3935</v>
      </c>
    </row>
    <row r="2641" spans="1:1" x14ac:dyDescent="0.25">
      <c r="A2641" t="s">
        <v>3936</v>
      </c>
    </row>
    <row r="2642" spans="1:1" x14ac:dyDescent="0.25">
      <c r="A2642" t="s">
        <v>3937</v>
      </c>
    </row>
    <row r="2643" spans="1:1" x14ac:dyDescent="0.25">
      <c r="A2643" t="s">
        <v>3938</v>
      </c>
    </row>
    <row r="2644" spans="1:1" x14ac:dyDescent="0.25">
      <c r="A2644" t="s">
        <v>3939</v>
      </c>
    </row>
    <row r="2645" spans="1:1" x14ac:dyDescent="0.25">
      <c r="A2645" t="s">
        <v>3940</v>
      </c>
    </row>
    <row r="2646" spans="1:1" x14ac:dyDescent="0.25">
      <c r="A2646" t="s">
        <v>3941</v>
      </c>
    </row>
    <row r="2647" spans="1:1" x14ac:dyDescent="0.25">
      <c r="A2647" t="s">
        <v>3942</v>
      </c>
    </row>
    <row r="2648" spans="1:1" x14ac:dyDescent="0.25">
      <c r="A2648" t="s">
        <v>3943</v>
      </c>
    </row>
    <row r="2649" spans="1:1" x14ac:dyDescent="0.25">
      <c r="A2649" t="s">
        <v>3944</v>
      </c>
    </row>
    <row r="2650" spans="1:1" x14ac:dyDescent="0.25">
      <c r="A2650" t="s">
        <v>3945</v>
      </c>
    </row>
    <row r="2651" spans="1:1" x14ac:dyDescent="0.25">
      <c r="A2651" t="s">
        <v>3946</v>
      </c>
    </row>
    <row r="2652" spans="1:1" x14ac:dyDescent="0.25">
      <c r="A2652" t="s">
        <v>3947</v>
      </c>
    </row>
    <row r="2653" spans="1:1" x14ac:dyDescent="0.25">
      <c r="A2653" t="s">
        <v>3948</v>
      </c>
    </row>
    <row r="2654" spans="1:1" x14ac:dyDescent="0.25">
      <c r="A2654" t="s">
        <v>3949</v>
      </c>
    </row>
    <row r="2655" spans="1:1" x14ac:dyDescent="0.25">
      <c r="A2655" t="s">
        <v>3950</v>
      </c>
    </row>
    <row r="2656" spans="1:1" x14ac:dyDescent="0.25">
      <c r="A2656" t="s">
        <v>3951</v>
      </c>
    </row>
    <row r="2657" spans="1:1" x14ac:dyDescent="0.25">
      <c r="A2657" t="s">
        <v>3952</v>
      </c>
    </row>
    <row r="2658" spans="1:1" x14ac:dyDescent="0.25">
      <c r="A2658" t="s">
        <v>3953</v>
      </c>
    </row>
    <row r="2659" spans="1:1" x14ac:dyDescent="0.25">
      <c r="A2659" t="s">
        <v>3954</v>
      </c>
    </row>
    <row r="2660" spans="1:1" x14ac:dyDescent="0.25">
      <c r="A2660" t="s">
        <v>3955</v>
      </c>
    </row>
    <row r="2661" spans="1:1" x14ac:dyDescent="0.25">
      <c r="A2661" t="s">
        <v>3956</v>
      </c>
    </row>
    <row r="2662" spans="1:1" x14ac:dyDescent="0.25">
      <c r="A2662" t="s">
        <v>3957</v>
      </c>
    </row>
    <row r="2663" spans="1:1" x14ac:dyDescent="0.25">
      <c r="A2663" t="s">
        <v>3958</v>
      </c>
    </row>
    <row r="2664" spans="1:1" x14ac:dyDescent="0.25">
      <c r="A2664" t="s">
        <v>3959</v>
      </c>
    </row>
    <row r="2665" spans="1:1" x14ac:dyDescent="0.25">
      <c r="A2665" t="s">
        <v>3960</v>
      </c>
    </row>
    <row r="2666" spans="1:1" x14ac:dyDescent="0.25">
      <c r="A2666" t="s">
        <v>3961</v>
      </c>
    </row>
    <row r="2667" spans="1:1" x14ac:dyDescent="0.25">
      <c r="A2667" t="s">
        <v>3962</v>
      </c>
    </row>
    <row r="2668" spans="1:1" x14ac:dyDescent="0.25">
      <c r="A2668" t="s">
        <v>3963</v>
      </c>
    </row>
    <row r="2669" spans="1:1" x14ac:dyDescent="0.25">
      <c r="A2669" t="s">
        <v>3964</v>
      </c>
    </row>
    <row r="2670" spans="1:1" x14ac:dyDescent="0.25">
      <c r="A2670" t="s">
        <v>3965</v>
      </c>
    </row>
    <row r="2671" spans="1:1" x14ac:dyDescent="0.25">
      <c r="A2671" t="s">
        <v>3966</v>
      </c>
    </row>
    <row r="2672" spans="1:1" x14ac:dyDescent="0.25">
      <c r="A2672" t="s">
        <v>3967</v>
      </c>
    </row>
    <row r="2673" spans="1:1" x14ac:dyDescent="0.25">
      <c r="A2673" t="s">
        <v>3968</v>
      </c>
    </row>
    <row r="2674" spans="1:1" x14ac:dyDescent="0.25">
      <c r="A2674" t="s">
        <v>3969</v>
      </c>
    </row>
    <row r="2675" spans="1:1" x14ac:dyDescent="0.25">
      <c r="A2675" t="s">
        <v>3970</v>
      </c>
    </row>
    <row r="2676" spans="1:1" x14ac:dyDescent="0.25">
      <c r="A2676" t="s">
        <v>3971</v>
      </c>
    </row>
    <row r="2677" spans="1:1" x14ac:dyDescent="0.25">
      <c r="A2677" t="s">
        <v>3972</v>
      </c>
    </row>
    <row r="2678" spans="1:1" x14ac:dyDescent="0.25">
      <c r="A2678" t="s">
        <v>3973</v>
      </c>
    </row>
    <row r="2679" spans="1:1" x14ac:dyDescent="0.25">
      <c r="A2679" t="s">
        <v>3974</v>
      </c>
    </row>
    <row r="2680" spans="1:1" x14ac:dyDescent="0.25">
      <c r="A2680" t="s">
        <v>3975</v>
      </c>
    </row>
    <row r="2681" spans="1:1" x14ac:dyDescent="0.25">
      <c r="A2681" t="s">
        <v>3976</v>
      </c>
    </row>
    <row r="2682" spans="1:1" x14ac:dyDescent="0.25">
      <c r="A2682" t="s">
        <v>3977</v>
      </c>
    </row>
    <row r="2683" spans="1:1" x14ac:dyDescent="0.25">
      <c r="A2683" t="s">
        <v>3978</v>
      </c>
    </row>
    <row r="2684" spans="1:1" x14ac:dyDescent="0.25">
      <c r="A2684" t="s">
        <v>3979</v>
      </c>
    </row>
    <row r="2685" spans="1:1" x14ac:dyDescent="0.25">
      <c r="A2685" t="s">
        <v>3980</v>
      </c>
    </row>
    <row r="2686" spans="1:1" x14ac:dyDescent="0.25">
      <c r="A2686" t="s">
        <v>3981</v>
      </c>
    </row>
    <row r="2687" spans="1:1" x14ac:dyDescent="0.25">
      <c r="A2687" t="s">
        <v>3982</v>
      </c>
    </row>
    <row r="2688" spans="1:1" x14ac:dyDescent="0.25">
      <c r="A2688" t="s">
        <v>3983</v>
      </c>
    </row>
    <row r="2689" spans="1:1" x14ac:dyDescent="0.25">
      <c r="A2689" t="s">
        <v>3984</v>
      </c>
    </row>
    <row r="2690" spans="1:1" x14ac:dyDescent="0.25">
      <c r="A2690" t="s">
        <v>3985</v>
      </c>
    </row>
    <row r="2691" spans="1:1" x14ac:dyDescent="0.25">
      <c r="A2691" t="s">
        <v>3986</v>
      </c>
    </row>
    <row r="2692" spans="1:1" x14ac:dyDescent="0.25">
      <c r="A2692" t="s">
        <v>3987</v>
      </c>
    </row>
    <row r="2693" spans="1:1" x14ac:dyDescent="0.25">
      <c r="A2693" t="s">
        <v>3988</v>
      </c>
    </row>
    <row r="2694" spans="1:1" x14ac:dyDescent="0.25">
      <c r="A2694" t="s">
        <v>3989</v>
      </c>
    </row>
    <row r="2695" spans="1:1" x14ac:dyDescent="0.25">
      <c r="A2695" t="s">
        <v>3990</v>
      </c>
    </row>
    <row r="2696" spans="1:1" x14ac:dyDescent="0.25">
      <c r="A2696" t="s">
        <v>3991</v>
      </c>
    </row>
    <row r="2697" spans="1:1" x14ac:dyDescent="0.25">
      <c r="A2697" t="s">
        <v>3992</v>
      </c>
    </row>
    <row r="2698" spans="1:1" x14ac:dyDescent="0.25">
      <c r="A2698" t="s">
        <v>3993</v>
      </c>
    </row>
    <row r="2699" spans="1:1" x14ac:dyDescent="0.25">
      <c r="A2699" t="s">
        <v>3994</v>
      </c>
    </row>
    <row r="2700" spans="1:1" x14ac:dyDescent="0.25">
      <c r="A2700" t="s">
        <v>3995</v>
      </c>
    </row>
    <row r="2701" spans="1:1" x14ac:dyDescent="0.25">
      <c r="A2701" t="s">
        <v>3996</v>
      </c>
    </row>
    <row r="2702" spans="1:1" x14ac:dyDescent="0.25">
      <c r="A2702" t="s">
        <v>3997</v>
      </c>
    </row>
    <row r="2703" spans="1:1" x14ac:dyDescent="0.25">
      <c r="A2703" t="s">
        <v>3998</v>
      </c>
    </row>
    <row r="2704" spans="1:1" x14ac:dyDescent="0.25">
      <c r="A2704" t="s">
        <v>3999</v>
      </c>
    </row>
    <row r="2705" spans="1:1" x14ac:dyDescent="0.25">
      <c r="A2705" t="s">
        <v>4000</v>
      </c>
    </row>
    <row r="2706" spans="1:1" x14ac:dyDescent="0.25">
      <c r="A2706" t="s">
        <v>4001</v>
      </c>
    </row>
    <row r="2707" spans="1:1" x14ac:dyDescent="0.25">
      <c r="A2707" t="s">
        <v>4002</v>
      </c>
    </row>
    <row r="2708" spans="1:1" x14ac:dyDescent="0.25">
      <c r="A2708" t="s">
        <v>4003</v>
      </c>
    </row>
    <row r="2709" spans="1:1" x14ac:dyDescent="0.25">
      <c r="A2709" t="s">
        <v>4004</v>
      </c>
    </row>
    <row r="2710" spans="1:1" x14ac:dyDescent="0.25">
      <c r="A2710" t="s">
        <v>4005</v>
      </c>
    </row>
    <row r="2711" spans="1:1" x14ac:dyDescent="0.25">
      <c r="A2711" t="s">
        <v>4006</v>
      </c>
    </row>
    <row r="2712" spans="1:1" x14ac:dyDescent="0.25">
      <c r="A2712" t="s">
        <v>4007</v>
      </c>
    </row>
    <row r="2713" spans="1:1" x14ac:dyDescent="0.25">
      <c r="A2713" t="s">
        <v>4008</v>
      </c>
    </row>
    <row r="2714" spans="1:1" x14ac:dyDescent="0.25">
      <c r="A2714" t="s">
        <v>4009</v>
      </c>
    </row>
    <row r="2715" spans="1:1" x14ac:dyDescent="0.25">
      <c r="A2715" t="s">
        <v>4010</v>
      </c>
    </row>
    <row r="2716" spans="1:1" x14ac:dyDescent="0.25">
      <c r="A2716" t="s">
        <v>4011</v>
      </c>
    </row>
    <row r="2717" spans="1:1" x14ac:dyDescent="0.25">
      <c r="A2717" t="s">
        <v>4012</v>
      </c>
    </row>
    <row r="2718" spans="1:1" x14ac:dyDescent="0.25">
      <c r="A2718" t="s">
        <v>4013</v>
      </c>
    </row>
    <row r="2719" spans="1:1" x14ac:dyDescent="0.25">
      <c r="A2719" t="s">
        <v>4014</v>
      </c>
    </row>
    <row r="2720" spans="1:1" x14ac:dyDescent="0.25">
      <c r="A2720" t="s">
        <v>4015</v>
      </c>
    </row>
    <row r="2721" spans="1:1" x14ac:dyDescent="0.25">
      <c r="A2721" t="s">
        <v>4016</v>
      </c>
    </row>
    <row r="2722" spans="1:1" x14ac:dyDescent="0.25">
      <c r="A2722" t="s">
        <v>4017</v>
      </c>
    </row>
    <row r="2723" spans="1:1" x14ac:dyDescent="0.25">
      <c r="A2723" t="s">
        <v>4018</v>
      </c>
    </row>
    <row r="2724" spans="1:1" x14ac:dyDescent="0.25">
      <c r="A2724" t="s">
        <v>4019</v>
      </c>
    </row>
    <row r="2725" spans="1:1" x14ac:dyDescent="0.25">
      <c r="A2725" t="s">
        <v>4020</v>
      </c>
    </row>
    <row r="2726" spans="1:1" x14ac:dyDescent="0.25">
      <c r="A2726" t="s">
        <v>4021</v>
      </c>
    </row>
    <row r="2727" spans="1:1" x14ac:dyDescent="0.25">
      <c r="A2727" t="s">
        <v>4022</v>
      </c>
    </row>
    <row r="2728" spans="1:1" x14ac:dyDescent="0.25">
      <c r="A2728" t="s">
        <v>4023</v>
      </c>
    </row>
    <row r="2729" spans="1:1" x14ac:dyDescent="0.25">
      <c r="A2729" t="s">
        <v>4024</v>
      </c>
    </row>
    <row r="2730" spans="1:1" x14ac:dyDescent="0.25">
      <c r="A2730" t="s">
        <v>4025</v>
      </c>
    </row>
    <row r="2731" spans="1:1" x14ac:dyDescent="0.25">
      <c r="A2731" t="s">
        <v>4026</v>
      </c>
    </row>
    <row r="2732" spans="1:1" x14ac:dyDescent="0.25">
      <c r="A2732" t="s">
        <v>4027</v>
      </c>
    </row>
    <row r="2733" spans="1:1" x14ac:dyDescent="0.25">
      <c r="A2733" t="s">
        <v>4028</v>
      </c>
    </row>
    <row r="2734" spans="1:1" x14ac:dyDescent="0.25">
      <c r="A2734" t="s">
        <v>4029</v>
      </c>
    </row>
    <row r="2735" spans="1:1" x14ac:dyDescent="0.25">
      <c r="A2735" t="s">
        <v>4030</v>
      </c>
    </row>
    <row r="2736" spans="1:1" x14ac:dyDescent="0.25">
      <c r="A2736" t="s">
        <v>4031</v>
      </c>
    </row>
    <row r="2737" spans="1:1" x14ac:dyDescent="0.25">
      <c r="A2737" t="s">
        <v>4032</v>
      </c>
    </row>
    <row r="2738" spans="1:1" x14ac:dyDescent="0.25">
      <c r="A2738" t="s">
        <v>4033</v>
      </c>
    </row>
    <row r="2739" spans="1:1" x14ac:dyDescent="0.25">
      <c r="A2739" t="s">
        <v>4034</v>
      </c>
    </row>
    <row r="2740" spans="1:1" x14ac:dyDescent="0.25">
      <c r="A2740" t="s">
        <v>4035</v>
      </c>
    </row>
    <row r="2741" spans="1:1" x14ac:dyDescent="0.25">
      <c r="A2741" t="s">
        <v>4036</v>
      </c>
    </row>
    <row r="2742" spans="1:1" x14ac:dyDescent="0.25">
      <c r="A2742" t="s">
        <v>4037</v>
      </c>
    </row>
    <row r="2743" spans="1:1" x14ac:dyDescent="0.25">
      <c r="A2743" t="s">
        <v>4038</v>
      </c>
    </row>
    <row r="2744" spans="1:1" x14ac:dyDescent="0.25">
      <c r="A2744" t="s">
        <v>4039</v>
      </c>
    </row>
    <row r="2745" spans="1:1" x14ac:dyDescent="0.25">
      <c r="A2745" t="s">
        <v>4040</v>
      </c>
    </row>
    <row r="2746" spans="1:1" x14ac:dyDescent="0.25">
      <c r="A2746" t="s">
        <v>4041</v>
      </c>
    </row>
    <row r="2747" spans="1:1" x14ac:dyDescent="0.25">
      <c r="A2747" t="s">
        <v>4042</v>
      </c>
    </row>
    <row r="2748" spans="1:1" x14ac:dyDescent="0.25">
      <c r="A2748" t="s">
        <v>4043</v>
      </c>
    </row>
    <row r="2749" spans="1:1" x14ac:dyDescent="0.25">
      <c r="A2749" t="s">
        <v>4044</v>
      </c>
    </row>
    <row r="2750" spans="1:1" x14ac:dyDescent="0.25">
      <c r="A2750" t="s">
        <v>4045</v>
      </c>
    </row>
    <row r="2751" spans="1:1" x14ac:dyDescent="0.25">
      <c r="A2751" t="s">
        <v>4046</v>
      </c>
    </row>
    <row r="2752" spans="1:1" x14ac:dyDescent="0.25">
      <c r="A2752" t="s">
        <v>4047</v>
      </c>
    </row>
    <row r="2753" spans="1:1" x14ac:dyDescent="0.25">
      <c r="A2753" t="s">
        <v>4048</v>
      </c>
    </row>
    <row r="2754" spans="1:1" x14ac:dyDescent="0.25">
      <c r="A2754" t="s">
        <v>4049</v>
      </c>
    </row>
    <row r="2755" spans="1:1" x14ac:dyDescent="0.25">
      <c r="A2755" t="s">
        <v>4050</v>
      </c>
    </row>
    <row r="2756" spans="1:1" x14ac:dyDescent="0.25">
      <c r="A2756" t="s">
        <v>4051</v>
      </c>
    </row>
    <row r="2757" spans="1:1" x14ac:dyDescent="0.25">
      <c r="A2757" t="s">
        <v>4052</v>
      </c>
    </row>
    <row r="2758" spans="1:1" x14ac:dyDescent="0.25">
      <c r="A2758" t="s">
        <v>4053</v>
      </c>
    </row>
    <row r="2759" spans="1:1" x14ac:dyDescent="0.25">
      <c r="A2759" t="s">
        <v>4054</v>
      </c>
    </row>
    <row r="2760" spans="1:1" x14ac:dyDescent="0.25">
      <c r="A2760" t="s">
        <v>4055</v>
      </c>
    </row>
    <row r="2761" spans="1:1" x14ac:dyDescent="0.25">
      <c r="A2761" t="s">
        <v>4056</v>
      </c>
    </row>
    <row r="2762" spans="1:1" x14ac:dyDescent="0.25">
      <c r="A2762" t="s">
        <v>4057</v>
      </c>
    </row>
    <row r="2763" spans="1:1" x14ac:dyDescent="0.25">
      <c r="A2763" t="s">
        <v>4058</v>
      </c>
    </row>
    <row r="2764" spans="1:1" x14ac:dyDescent="0.25">
      <c r="A2764" t="s">
        <v>4059</v>
      </c>
    </row>
    <row r="2765" spans="1:1" x14ac:dyDescent="0.25">
      <c r="A2765" t="s">
        <v>4060</v>
      </c>
    </row>
    <row r="2766" spans="1:1" x14ac:dyDescent="0.25">
      <c r="A2766" t="s">
        <v>4061</v>
      </c>
    </row>
    <row r="2767" spans="1:1" x14ac:dyDescent="0.25">
      <c r="A2767" t="s">
        <v>4062</v>
      </c>
    </row>
    <row r="2768" spans="1:1" x14ac:dyDescent="0.25">
      <c r="A2768" t="s">
        <v>4063</v>
      </c>
    </row>
    <row r="2769" spans="1:1" x14ac:dyDescent="0.25">
      <c r="A2769" t="s">
        <v>4064</v>
      </c>
    </row>
    <row r="2770" spans="1:1" x14ac:dyDescent="0.25">
      <c r="A2770" t="s">
        <v>4065</v>
      </c>
    </row>
    <row r="2771" spans="1:1" x14ac:dyDescent="0.25">
      <c r="A2771" t="s">
        <v>4066</v>
      </c>
    </row>
    <row r="2772" spans="1:1" x14ac:dyDescent="0.25">
      <c r="A2772" t="s">
        <v>4067</v>
      </c>
    </row>
    <row r="2773" spans="1:1" x14ac:dyDescent="0.25">
      <c r="A2773" t="s">
        <v>4068</v>
      </c>
    </row>
    <row r="2774" spans="1:1" x14ac:dyDescent="0.25">
      <c r="A2774" t="s">
        <v>4069</v>
      </c>
    </row>
    <row r="2775" spans="1:1" x14ac:dyDescent="0.25">
      <c r="A2775" t="s">
        <v>4070</v>
      </c>
    </row>
    <row r="2776" spans="1:1" x14ac:dyDescent="0.25">
      <c r="A2776" t="s">
        <v>4071</v>
      </c>
    </row>
    <row r="2777" spans="1:1" x14ac:dyDescent="0.25">
      <c r="A2777" t="s">
        <v>4072</v>
      </c>
    </row>
    <row r="2778" spans="1:1" x14ac:dyDescent="0.25">
      <c r="A2778" t="s">
        <v>4073</v>
      </c>
    </row>
    <row r="2779" spans="1:1" x14ac:dyDescent="0.25">
      <c r="A2779" t="s">
        <v>4074</v>
      </c>
    </row>
    <row r="2780" spans="1:1" x14ac:dyDescent="0.25">
      <c r="A2780" t="s">
        <v>4075</v>
      </c>
    </row>
    <row r="2781" spans="1:1" x14ac:dyDescent="0.25">
      <c r="A2781" t="s">
        <v>4076</v>
      </c>
    </row>
    <row r="2782" spans="1:1" x14ac:dyDescent="0.25">
      <c r="A2782" t="s">
        <v>4077</v>
      </c>
    </row>
    <row r="2783" spans="1:1" x14ac:dyDescent="0.25">
      <c r="A2783" t="s">
        <v>4078</v>
      </c>
    </row>
    <row r="2784" spans="1:1" x14ac:dyDescent="0.25">
      <c r="A2784" t="s">
        <v>4079</v>
      </c>
    </row>
    <row r="2785" spans="1:1" x14ac:dyDescent="0.25">
      <c r="A2785" t="s">
        <v>4080</v>
      </c>
    </row>
    <row r="2786" spans="1:1" x14ac:dyDescent="0.25">
      <c r="A2786" t="s">
        <v>4081</v>
      </c>
    </row>
    <row r="2787" spans="1:1" x14ac:dyDescent="0.25">
      <c r="A2787" t="s">
        <v>4082</v>
      </c>
    </row>
    <row r="2788" spans="1:1" x14ac:dyDescent="0.25">
      <c r="A2788" t="s">
        <v>4083</v>
      </c>
    </row>
    <row r="2789" spans="1:1" x14ac:dyDescent="0.25">
      <c r="A2789" t="s">
        <v>4084</v>
      </c>
    </row>
    <row r="2790" spans="1:1" x14ac:dyDescent="0.25">
      <c r="A2790" t="s">
        <v>4085</v>
      </c>
    </row>
    <row r="2791" spans="1:1" x14ac:dyDescent="0.25">
      <c r="A2791" t="s">
        <v>4086</v>
      </c>
    </row>
    <row r="2792" spans="1:1" x14ac:dyDescent="0.25">
      <c r="A2792" t="s">
        <v>4087</v>
      </c>
    </row>
    <row r="2793" spans="1:1" x14ac:dyDescent="0.25">
      <c r="A2793" t="s">
        <v>4088</v>
      </c>
    </row>
    <row r="2794" spans="1:1" x14ac:dyDescent="0.25">
      <c r="A2794" t="s">
        <v>4089</v>
      </c>
    </row>
    <row r="2795" spans="1:1" x14ac:dyDescent="0.25">
      <c r="A2795" t="s">
        <v>4090</v>
      </c>
    </row>
    <row r="2796" spans="1:1" x14ac:dyDescent="0.25">
      <c r="A2796" t="s">
        <v>4091</v>
      </c>
    </row>
    <row r="2797" spans="1:1" x14ac:dyDescent="0.25">
      <c r="A2797" t="s">
        <v>4092</v>
      </c>
    </row>
    <row r="2798" spans="1:1" x14ac:dyDescent="0.25">
      <c r="A2798" t="s">
        <v>4093</v>
      </c>
    </row>
    <row r="2799" spans="1:1" x14ac:dyDescent="0.25">
      <c r="A2799" t="s">
        <v>4094</v>
      </c>
    </row>
    <row r="2800" spans="1:1" x14ac:dyDescent="0.25">
      <c r="A2800" t="s">
        <v>4095</v>
      </c>
    </row>
    <row r="2801" spans="1:1" x14ac:dyDescent="0.25">
      <c r="A2801" t="s">
        <v>4096</v>
      </c>
    </row>
    <row r="2802" spans="1:1" x14ac:dyDescent="0.25">
      <c r="A2802" t="s">
        <v>4097</v>
      </c>
    </row>
    <row r="2803" spans="1:1" x14ac:dyDescent="0.25">
      <c r="A2803" t="s">
        <v>4098</v>
      </c>
    </row>
    <row r="2804" spans="1:1" x14ac:dyDescent="0.25">
      <c r="A2804" t="s">
        <v>4099</v>
      </c>
    </row>
    <row r="2805" spans="1:1" x14ac:dyDescent="0.25">
      <c r="A2805" t="s">
        <v>4100</v>
      </c>
    </row>
    <row r="2806" spans="1:1" x14ac:dyDescent="0.25">
      <c r="A2806" t="s">
        <v>4101</v>
      </c>
    </row>
    <row r="2807" spans="1:1" x14ac:dyDescent="0.25">
      <c r="A2807" t="s">
        <v>4102</v>
      </c>
    </row>
    <row r="2808" spans="1:1" x14ac:dyDescent="0.25">
      <c r="A2808" t="s">
        <v>4103</v>
      </c>
    </row>
    <row r="2809" spans="1:1" x14ac:dyDescent="0.25">
      <c r="A2809" t="s">
        <v>4104</v>
      </c>
    </row>
    <row r="2810" spans="1:1" x14ac:dyDescent="0.25">
      <c r="A2810" t="s">
        <v>4105</v>
      </c>
    </row>
    <row r="2811" spans="1:1" x14ac:dyDescent="0.25">
      <c r="A2811" t="s">
        <v>4106</v>
      </c>
    </row>
    <row r="2812" spans="1:1" x14ac:dyDescent="0.25">
      <c r="A2812" t="s">
        <v>4107</v>
      </c>
    </row>
    <row r="2813" spans="1:1" x14ac:dyDescent="0.25">
      <c r="A2813" t="s">
        <v>4108</v>
      </c>
    </row>
    <row r="2814" spans="1:1" x14ac:dyDescent="0.25">
      <c r="A2814" t="s">
        <v>4109</v>
      </c>
    </row>
    <row r="2815" spans="1:1" x14ac:dyDescent="0.25">
      <c r="A2815" t="s">
        <v>4110</v>
      </c>
    </row>
    <row r="2816" spans="1:1" x14ac:dyDescent="0.25">
      <c r="A2816" t="s">
        <v>4111</v>
      </c>
    </row>
    <row r="2817" spans="1:1" x14ac:dyDescent="0.25">
      <c r="A2817" t="s">
        <v>4112</v>
      </c>
    </row>
    <row r="2818" spans="1:1" x14ac:dyDescent="0.25">
      <c r="A2818" t="s">
        <v>4113</v>
      </c>
    </row>
    <row r="2819" spans="1:1" x14ac:dyDescent="0.25">
      <c r="A2819" t="s">
        <v>4114</v>
      </c>
    </row>
    <row r="2820" spans="1:1" x14ac:dyDescent="0.25">
      <c r="A2820" t="s">
        <v>4115</v>
      </c>
    </row>
    <row r="2821" spans="1:1" x14ac:dyDescent="0.25">
      <c r="A2821" t="s">
        <v>4116</v>
      </c>
    </row>
    <row r="2822" spans="1:1" x14ac:dyDescent="0.25">
      <c r="A2822" t="s">
        <v>4117</v>
      </c>
    </row>
    <row r="2823" spans="1:1" x14ac:dyDescent="0.25">
      <c r="A2823" t="s">
        <v>4118</v>
      </c>
    </row>
    <row r="2824" spans="1:1" x14ac:dyDescent="0.25">
      <c r="A2824" t="s">
        <v>4119</v>
      </c>
    </row>
    <row r="2825" spans="1:1" x14ac:dyDescent="0.25">
      <c r="A2825" t="s">
        <v>4120</v>
      </c>
    </row>
    <row r="2826" spans="1:1" x14ac:dyDescent="0.25">
      <c r="A2826" t="s">
        <v>4121</v>
      </c>
    </row>
    <row r="2827" spans="1:1" x14ac:dyDescent="0.25">
      <c r="A2827" t="s">
        <v>4122</v>
      </c>
    </row>
    <row r="2828" spans="1:1" x14ac:dyDescent="0.25">
      <c r="A2828" t="s">
        <v>4123</v>
      </c>
    </row>
    <row r="2829" spans="1:1" x14ac:dyDescent="0.25">
      <c r="A2829" t="s">
        <v>4124</v>
      </c>
    </row>
    <row r="2830" spans="1:1" x14ac:dyDescent="0.25">
      <c r="A2830" t="s">
        <v>4125</v>
      </c>
    </row>
    <row r="2831" spans="1:1" x14ac:dyDescent="0.25">
      <c r="A2831" t="s">
        <v>4126</v>
      </c>
    </row>
    <row r="2832" spans="1:1" x14ac:dyDescent="0.25">
      <c r="A2832" t="s">
        <v>4127</v>
      </c>
    </row>
    <row r="2833" spans="1:1" x14ac:dyDescent="0.25">
      <c r="A2833" t="s">
        <v>4128</v>
      </c>
    </row>
    <row r="2834" spans="1:1" x14ac:dyDescent="0.25">
      <c r="A2834" t="s">
        <v>4129</v>
      </c>
    </row>
    <row r="2835" spans="1:1" x14ac:dyDescent="0.25">
      <c r="A2835" t="s">
        <v>4130</v>
      </c>
    </row>
    <row r="2836" spans="1:1" x14ac:dyDescent="0.25">
      <c r="A2836" t="s">
        <v>4131</v>
      </c>
    </row>
    <row r="2837" spans="1:1" x14ac:dyDescent="0.25">
      <c r="A2837" t="s">
        <v>4132</v>
      </c>
    </row>
    <row r="2838" spans="1:1" x14ac:dyDescent="0.25">
      <c r="A2838" t="s">
        <v>4133</v>
      </c>
    </row>
    <row r="2839" spans="1:1" x14ac:dyDescent="0.25">
      <c r="A2839" t="s">
        <v>4134</v>
      </c>
    </row>
    <row r="2840" spans="1:1" x14ac:dyDescent="0.25">
      <c r="A2840" t="s">
        <v>4135</v>
      </c>
    </row>
    <row r="2841" spans="1:1" x14ac:dyDescent="0.25">
      <c r="A2841" t="s">
        <v>4136</v>
      </c>
    </row>
    <row r="2842" spans="1:1" x14ac:dyDescent="0.25">
      <c r="A2842" t="s">
        <v>4137</v>
      </c>
    </row>
    <row r="2843" spans="1:1" x14ac:dyDescent="0.25">
      <c r="A2843" t="s">
        <v>4138</v>
      </c>
    </row>
    <row r="2844" spans="1:1" x14ac:dyDescent="0.25">
      <c r="A2844" t="s">
        <v>4139</v>
      </c>
    </row>
    <row r="2845" spans="1:1" x14ac:dyDescent="0.25">
      <c r="A2845" t="s">
        <v>4140</v>
      </c>
    </row>
    <row r="2846" spans="1:1" x14ac:dyDescent="0.25">
      <c r="A2846" t="s">
        <v>4141</v>
      </c>
    </row>
    <row r="2847" spans="1:1" x14ac:dyDescent="0.25">
      <c r="A2847" t="s">
        <v>4142</v>
      </c>
    </row>
    <row r="2848" spans="1:1" x14ac:dyDescent="0.25">
      <c r="A2848" t="s">
        <v>4143</v>
      </c>
    </row>
    <row r="2849" spans="1:1" x14ac:dyDescent="0.25">
      <c r="A2849" t="s">
        <v>4144</v>
      </c>
    </row>
    <row r="2850" spans="1:1" x14ac:dyDescent="0.25">
      <c r="A2850" t="s">
        <v>4145</v>
      </c>
    </row>
    <row r="2851" spans="1:1" x14ac:dyDescent="0.25">
      <c r="A2851" t="s">
        <v>4146</v>
      </c>
    </row>
    <row r="2852" spans="1:1" x14ac:dyDescent="0.25">
      <c r="A2852" t="s">
        <v>4147</v>
      </c>
    </row>
    <row r="2853" spans="1:1" x14ac:dyDescent="0.25">
      <c r="A2853" t="s">
        <v>4148</v>
      </c>
    </row>
    <row r="2854" spans="1:1" x14ac:dyDescent="0.25">
      <c r="A2854" t="s">
        <v>4149</v>
      </c>
    </row>
    <row r="2855" spans="1:1" x14ac:dyDescent="0.25">
      <c r="A2855" t="s">
        <v>4150</v>
      </c>
    </row>
    <row r="2856" spans="1:1" x14ac:dyDescent="0.25">
      <c r="A2856" t="s">
        <v>4151</v>
      </c>
    </row>
    <row r="2857" spans="1:1" x14ac:dyDescent="0.25">
      <c r="A2857" t="s">
        <v>4152</v>
      </c>
    </row>
    <row r="2858" spans="1:1" x14ac:dyDescent="0.25">
      <c r="A2858" t="s">
        <v>4153</v>
      </c>
    </row>
    <row r="2859" spans="1:1" x14ac:dyDescent="0.25">
      <c r="A2859" t="s">
        <v>4154</v>
      </c>
    </row>
    <row r="2860" spans="1:1" x14ac:dyDescent="0.25">
      <c r="A2860" t="s">
        <v>4155</v>
      </c>
    </row>
    <row r="2861" spans="1:1" x14ac:dyDescent="0.25">
      <c r="A2861" t="s">
        <v>4156</v>
      </c>
    </row>
    <row r="2862" spans="1:1" x14ac:dyDescent="0.25">
      <c r="A2862" t="s">
        <v>4157</v>
      </c>
    </row>
    <row r="2863" spans="1:1" x14ac:dyDescent="0.25">
      <c r="A2863" t="s">
        <v>4158</v>
      </c>
    </row>
    <row r="2864" spans="1:1" x14ac:dyDescent="0.25">
      <c r="A2864" t="s">
        <v>4159</v>
      </c>
    </row>
    <row r="2865" spans="1:1" x14ac:dyDescent="0.25">
      <c r="A2865" t="s">
        <v>4160</v>
      </c>
    </row>
    <row r="2866" spans="1:1" x14ac:dyDescent="0.25">
      <c r="A2866" t="s">
        <v>4161</v>
      </c>
    </row>
    <row r="2867" spans="1:1" x14ac:dyDescent="0.25">
      <c r="A2867" t="s">
        <v>4162</v>
      </c>
    </row>
    <row r="2868" spans="1:1" x14ac:dyDescent="0.25">
      <c r="A2868" t="s">
        <v>4163</v>
      </c>
    </row>
    <row r="2869" spans="1:1" x14ac:dyDescent="0.25">
      <c r="A2869" t="s">
        <v>4164</v>
      </c>
    </row>
    <row r="2870" spans="1:1" x14ac:dyDescent="0.25">
      <c r="A2870" t="s">
        <v>4165</v>
      </c>
    </row>
    <row r="2871" spans="1:1" x14ac:dyDescent="0.25">
      <c r="A2871" t="s">
        <v>4166</v>
      </c>
    </row>
    <row r="2872" spans="1:1" x14ac:dyDescent="0.25">
      <c r="A2872" t="s">
        <v>4167</v>
      </c>
    </row>
    <row r="2873" spans="1:1" x14ac:dyDescent="0.25">
      <c r="A2873" t="s">
        <v>4168</v>
      </c>
    </row>
    <row r="2874" spans="1:1" x14ac:dyDescent="0.25">
      <c r="A2874" t="s">
        <v>4169</v>
      </c>
    </row>
    <row r="2875" spans="1:1" x14ac:dyDescent="0.25">
      <c r="A2875" t="s">
        <v>4170</v>
      </c>
    </row>
    <row r="2876" spans="1:1" x14ac:dyDescent="0.25">
      <c r="A2876" t="s">
        <v>4171</v>
      </c>
    </row>
    <row r="2877" spans="1:1" x14ac:dyDescent="0.25">
      <c r="A2877" t="s">
        <v>4172</v>
      </c>
    </row>
    <row r="2878" spans="1:1" x14ac:dyDescent="0.25">
      <c r="A2878" t="s">
        <v>4173</v>
      </c>
    </row>
    <row r="2879" spans="1:1" x14ac:dyDescent="0.25">
      <c r="A2879" t="s">
        <v>4174</v>
      </c>
    </row>
    <row r="2880" spans="1:1" x14ac:dyDescent="0.25">
      <c r="A2880" t="s">
        <v>4175</v>
      </c>
    </row>
    <row r="2881" spans="1:1" x14ac:dyDescent="0.25">
      <c r="A2881" t="s">
        <v>4176</v>
      </c>
    </row>
    <row r="2882" spans="1:1" x14ac:dyDescent="0.25">
      <c r="A2882" t="s">
        <v>4177</v>
      </c>
    </row>
    <row r="2883" spans="1:1" x14ac:dyDescent="0.25">
      <c r="A2883" t="s">
        <v>4178</v>
      </c>
    </row>
    <row r="2884" spans="1:1" x14ac:dyDescent="0.25">
      <c r="A2884" t="s">
        <v>4179</v>
      </c>
    </row>
    <row r="2885" spans="1:1" x14ac:dyDescent="0.25">
      <c r="A2885" t="s">
        <v>4180</v>
      </c>
    </row>
    <row r="2886" spans="1:1" x14ac:dyDescent="0.25">
      <c r="A2886" t="s">
        <v>4181</v>
      </c>
    </row>
    <row r="2887" spans="1:1" x14ac:dyDescent="0.25">
      <c r="A2887" t="s">
        <v>4182</v>
      </c>
    </row>
    <row r="2888" spans="1:1" x14ac:dyDescent="0.25">
      <c r="A2888" t="s">
        <v>4183</v>
      </c>
    </row>
    <row r="2889" spans="1:1" x14ac:dyDescent="0.25">
      <c r="A2889" t="s">
        <v>4184</v>
      </c>
    </row>
    <row r="2890" spans="1:1" x14ac:dyDescent="0.25">
      <c r="A2890" t="s">
        <v>4185</v>
      </c>
    </row>
    <row r="2891" spans="1:1" x14ac:dyDescent="0.25">
      <c r="A2891" t="s">
        <v>4186</v>
      </c>
    </row>
    <row r="2892" spans="1:1" x14ac:dyDescent="0.25">
      <c r="A2892" t="s">
        <v>4187</v>
      </c>
    </row>
    <row r="2893" spans="1:1" x14ac:dyDescent="0.25">
      <c r="A2893" t="s">
        <v>4188</v>
      </c>
    </row>
    <row r="2894" spans="1:1" x14ac:dyDescent="0.25">
      <c r="A2894" t="s">
        <v>4189</v>
      </c>
    </row>
    <row r="2895" spans="1:1" x14ac:dyDescent="0.25">
      <c r="A2895" t="s">
        <v>4190</v>
      </c>
    </row>
    <row r="2896" spans="1:1" x14ac:dyDescent="0.25">
      <c r="A2896" t="s">
        <v>4191</v>
      </c>
    </row>
    <row r="2897" spans="1:1" x14ac:dyDescent="0.25">
      <c r="A2897" t="s">
        <v>4192</v>
      </c>
    </row>
    <row r="2898" spans="1:1" x14ac:dyDescent="0.25">
      <c r="A2898" t="s">
        <v>4193</v>
      </c>
    </row>
    <row r="2899" spans="1:1" x14ac:dyDescent="0.25">
      <c r="A2899" t="s">
        <v>4194</v>
      </c>
    </row>
    <row r="2900" spans="1:1" x14ac:dyDescent="0.25">
      <c r="A2900" t="s">
        <v>4195</v>
      </c>
    </row>
    <row r="2901" spans="1:1" x14ac:dyDescent="0.25">
      <c r="A2901" t="s">
        <v>4196</v>
      </c>
    </row>
    <row r="2902" spans="1:1" x14ac:dyDescent="0.25">
      <c r="A2902" t="s">
        <v>4197</v>
      </c>
    </row>
    <row r="2903" spans="1:1" x14ac:dyDescent="0.25">
      <c r="A2903" t="s">
        <v>4198</v>
      </c>
    </row>
    <row r="2904" spans="1:1" x14ac:dyDescent="0.25">
      <c r="A2904" t="s">
        <v>4199</v>
      </c>
    </row>
    <row r="2905" spans="1:1" x14ac:dyDescent="0.25">
      <c r="A2905" t="s">
        <v>4200</v>
      </c>
    </row>
    <row r="2906" spans="1:1" x14ac:dyDescent="0.25">
      <c r="A2906" t="s">
        <v>4201</v>
      </c>
    </row>
    <row r="2907" spans="1:1" x14ac:dyDescent="0.25">
      <c r="A2907" t="s">
        <v>4202</v>
      </c>
    </row>
    <row r="2908" spans="1:1" x14ac:dyDescent="0.25">
      <c r="A2908" t="s">
        <v>4203</v>
      </c>
    </row>
    <row r="2909" spans="1:1" x14ac:dyDescent="0.25">
      <c r="A2909" t="s">
        <v>4204</v>
      </c>
    </row>
    <row r="2910" spans="1:1" x14ac:dyDescent="0.25">
      <c r="A2910" t="s">
        <v>4205</v>
      </c>
    </row>
    <row r="2911" spans="1:1" x14ac:dyDescent="0.25">
      <c r="A2911" t="s">
        <v>4206</v>
      </c>
    </row>
    <row r="2912" spans="1:1" x14ac:dyDescent="0.25">
      <c r="A2912" t="s">
        <v>4207</v>
      </c>
    </row>
    <row r="2913" spans="1:1" x14ac:dyDescent="0.25">
      <c r="A2913" t="s">
        <v>4208</v>
      </c>
    </row>
    <row r="2914" spans="1:1" x14ac:dyDescent="0.25">
      <c r="A2914" t="s">
        <v>4209</v>
      </c>
    </row>
    <row r="2915" spans="1:1" x14ac:dyDescent="0.25">
      <c r="A2915" t="s">
        <v>4210</v>
      </c>
    </row>
    <row r="2916" spans="1:1" x14ac:dyDescent="0.25">
      <c r="A2916" t="s">
        <v>4211</v>
      </c>
    </row>
    <row r="2917" spans="1:1" x14ac:dyDescent="0.25">
      <c r="A2917" t="s">
        <v>4212</v>
      </c>
    </row>
    <row r="2918" spans="1:1" x14ac:dyDescent="0.25">
      <c r="A2918" t="s">
        <v>4213</v>
      </c>
    </row>
    <row r="2919" spans="1:1" x14ac:dyDescent="0.25">
      <c r="A2919" t="s">
        <v>4214</v>
      </c>
    </row>
    <row r="2920" spans="1:1" x14ac:dyDescent="0.25">
      <c r="A2920" t="s">
        <v>4215</v>
      </c>
    </row>
    <row r="2921" spans="1:1" x14ac:dyDescent="0.25">
      <c r="A2921" t="s">
        <v>4216</v>
      </c>
    </row>
    <row r="2922" spans="1:1" x14ac:dyDescent="0.25">
      <c r="A2922" t="s">
        <v>4217</v>
      </c>
    </row>
    <row r="2923" spans="1:1" x14ac:dyDescent="0.25">
      <c r="A2923" t="s">
        <v>4218</v>
      </c>
    </row>
    <row r="2924" spans="1:1" x14ac:dyDescent="0.25">
      <c r="A2924" t="s">
        <v>4219</v>
      </c>
    </row>
    <row r="2925" spans="1:1" x14ac:dyDescent="0.25">
      <c r="A2925" t="s">
        <v>4220</v>
      </c>
    </row>
    <row r="2926" spans="1:1" x14ac:dyDescent="0.25">
      <c r="A2926" t="s">
        <v>4221</v>
      </c>
    </row>
    <row r="2927" spans="1:1" x14ac:dyDescent="0.25">
      <c r="A2927" t="s">
        <v>4222</v>
      </c>
    </row>
    <row r="2928" spans="1:1" x14ac:dyDescent="0.25">
      <c r="A2928" t="s">
        <v>4223</v>
      </c>
    </row>
    <row r="2929" spans="1:1" x14ac:dyDescent="0.25">
      <c r="A2929" t="s">
        <v>4224</v>
      </c>
    </row>
    <row r="2930" spans="1:1" x14ac:dyDescent="0.25">
      <c r="A2930" t="s">
        <v>4225</v>
      </c>
    </row>
    <row r="2931" spans="1:1" x14ac:dyDescent="0.25">
      <c r="A2931" t="s">
        <v>4226</v>
      </c>
    </row>
    <row r="2932" spans="1:1" x14ac:dyDescent="0.25">
      <c r="A2932" t="s">
        <v>4227</v>
      </c>
    </row>
    <row r="2933" spans="1:1" x14ac:dyDescent="0.25">
      <c r="A2933" t="s">
        <v>4228</v>
      </c>
    </row>
    <row r="2934" spans="1:1" x14ac:dyDescent="0.25">
      <c r="A2934" t="s">
        <v>4229</v>
      </c>
    </row>
    <row r="2935" spans="1:1" x14ac:dyDescent="0.25">
      <c r="A2935" t="s">
        <v>4230</v>
      </c>
    </row>
    <row r="2936" spans="1:1" x14ac:dyDescent="0.25">
      <c r="A2936" t="s">
        <v>4231</v>
      </c>
    </row>
    <row r="2937" spans="1:1" x14ac:dyDescent="0.25">
      <c r="A2937" t="s">
        <v>4232</v>
      </c>
    </row>
    <row r="2938" spans="1:1" x14ac:dyDescent="0.25">
      <c r="A2938" t="s">
        <v>4233</v>
      </c>
    </row>
    <row r="2939" spans="1:1" x14ac:dyDescent="0.25">
      <c r="A2939" t="s">
        <v>4234</v>
      </c>
    </row>
    <row r="2940" spans="1:1" x14ac:dyDescent="0.25">
      <c r="A2940" t="s">
        <v>4235</v>
      </c>
    </row>
    <row r="2941" spans="1:1" x14ac:dyDescent="0.25">
      <c r="A2941" t="s">
        <v>4236</v>
      </c>
    </row>
    <row r="2942" spans="1:1" x14ac:dyDescent="0.25">
      <c r="A2942" t="s">
        <v>4237</v>
      </c>
    </row>
    <row r="2943" spans="1:1" x14ac:dyDescent="0.25">
      <c r="A2943" t="s">
        <v>4238</v>
      </c>
    </row>
    <row r="2944" spans="1:1" x14ac:dyDescent="0.25">
      <c r="A2944" t="s">
        <v>4239</v>
      </c>
    </row>
    <row r="2945" spans="1:1" x14ac:dyDescent="0.25">
      <c r="A2945" t="s">
        <v>4240</v>
      </c>
    </row>
    <row r="2946" spans="1:1" x14ac:dyDescent="0.25">
      <c r="A2946" t="s">
        <v>4241</v>
      </c>
    </row>
    <row r="2947" spans="1:1" x14ac:dyDescent="0.25">
      <c r="A2947" t="s">
        <v>4242</v>
      </c>
    </row>
    <row r="2948" spans="1:1" x14ac:dyDescent="0.25">
      <c r="A2948" t="s">
        <v>4243</v>
      </c>
    </row>
    <row r="2949" spans="1:1" x14ac:dyDescent="0.25">
      <c r="A2949" t="s">
        <v>4244</v>
      </c>
    </row>
    <row r="2950" spans="1:1" x14ac:dyDescent="0.25">
      <c r="A2950" t="s">
        <v>4245</v>
      </c>
    </row>
    <row r="2951" spans="1:1" x14ac:dyDescent="0.25">
      <c r="A2951" t="s">
        <v>4246</v>
      </c>
    </row>
    <row r="2952" spans="1:1" x14ac:dyDescent="0.25">
      <c r="A2952" t="s">
        <v>4247</v>
      </c>
    </row>
    <row r="2953" spans="1:1" x14ac:dyDescent="0.25">
      <c r="A2953" t="s">
        <v>4248</v>
      </c>
    </row>
    <row r="2954" spans="1:1" x14ac:dyDescent="0.25">
      <c r="A2954" t="s">
        <v>4249</v>
      </c>
    </row>
    <row r="2955" spans="1:1" x14ac:dyDescent="0.25">
      <c r="A2955" t="s">
        <v>4250</v>
      </c>
    </row>
    <row r="2956" spans="1:1" x14ac:dyDescent="0.25">
      <c r="A2956" t="s">
        <v>4251</v>
      </c>
    </row>
    <row r="2957" spans="1:1" x14ac:dyDescent="0.25">
      <c r="A2957" t="s">
        <v>4252</v>
      </c>
    </row>
    <row r="2958" spans="1:1" x14ac:dyDescent="0.25">
      <c r="A2958" t="s">
        <v>4253</v>
      </c>
    </row>
    <row r="2959" spans="1:1" x14ac:dyDescent="0.25">
      <c r="A2959" t="s">
        <v>4254</v>
      </c>
    </row>
    <row r="2960" spans="1:1" x14ac:dyDescent="0.25">
      <c r="A2960" t="s">
        <v>4255</v>
      </c>
    </row>
    <row r="2961" spans="1:1" x14ac:dyDescent="0.25">
      <c r="A2961" t="s">
        <v>4256</v>
      </c>
    </row>
    <row r="2962" spans="1:1" x14ac:dyDescent="0.25">
      <c r="A2962" t="s">
        <v>4257</v>
      </c>
    </row>
    <row r="2963" spans="1:1" x14ac:dyDescent="0.25">
      <c r="A2963" t="s">
        <v>4258</v>
      </c>
    </row>
    <row r="2964" spans="1:1" x14ac:dyDescent="0.25">
      <c r="A2964" t="s">
        <v>4259</v>
      </c>
    </row>
    <row r="2965" spans="1:1" x14ac:dyDescent="0.25">
      <c r="A2965" t="s">
        <v>4260</v>
      </c>
    </row>
    <row r="2966" spans="1:1" x14ac:dyDescent="0.25">
      <c r="A2966" t="s">
        <v>4261</v>
      </c>
    </row>
    <row r="2967" spans="1:1" x14ac:dyDescent="0.25">
      <c r="A2967" t="s">
        <v>4262</v>
      </c>
    </row>
    <row r="2968" spans="1:1" x14ac:dyDescent="0.25">
      <c r="A2968" t="s">
        <v>4263</v>
      </c>
    </row>
    <row r="2969" spans="1:1" x14ac:dyDescent="0.25">
      <c r="A2969" t="s">
        <v>4264</v>
      </c>
    </row>
    <row r="2970" spans="1:1" x14ac:dyDescent="0.25">
      <c r="A2970" t="s">
        <v>4265</v>
      </c>
    </row>
    <row r="2971" spans="1:1" x14ac:dyDescent="0.25">
      <c r="A2971" t="s">
        <v>4266</v>
      </c>
    </row>
    <row r="2972" spans="1:1" x14ac:dyDescent="0.25">
      <c r="A2972" t="s">
        <v>4267</v>
      </c>
    </row>
    <row r="2973" spans="1:1" x14ac:dyDescent="0.25">
      <c r="A2973" t="s">
        <v>4268</v>
      </c>
    </row>
    <row r="2974" spans="1:1" x14ac:dyDescent="0.25">
      <c r="A2974" t="s">
        <v>4269</v>
      </c>
    </row>
    <row r="2975" spans="1:1" x14ac:dyDescent="0.25">
      <c r="A2975" t="s">
        <v>4270</v>
      </c>
    </row>
    <row r="2976" spans="1:1" x14ac:dyDescent="0.25">
      <c r="A2976" t="s">
        <v>4271</v>
      </c>
    </row>
    <row r="2977" spans="1:1" x14ac:dyDescent="0.25">
      <c r="A2977" t="s">
        <v>4272</v>
      </c>
    </row>
    <row r="2978" spans="1:1" x14ac:dyDescent="0.25">
      <c r="A2978" t="s">
        <v>4273</v>
      </c>
    </row>
    <row r="2979" spans="1:1" x14ac:dyDescent="0.25">
      <c r="A2979" t="s">
        <v>4274</v>
      </c>
    </row>
    <row r="2980" spans="1:1" x14ac:dyDescent="0.25">
      <c r="A2980" t="s">
        <v>4275</v>
      </c>
    </row>
    <row r="2981" spans="1:1" x14ac:dyDescent="0.25">
      <c r="A2981" t="s">
        <v>4276</v>
      </c>
    </row>
    <row r="2982" spans="1:1" x14ac:dyDescent="0.25">
      <c r="A2982" t="s">
        <v>4277</v>
      </c>
    </row>
    <row r="2983" spans="1:1" x14ac:dyDescent="0.25">
      <c r="A2983" t="s">
        <v>4278</v>
      </c>
    </row>
    <row r="2984" spans="1:1" x14ac:dyDescent="0.25">
      <c r="A2984" t="s">
        <v>4279</v>
      </c>
    </row>
    <row r="2985" spans="1:1" x14ac:dyDescent="0.25">
      <c r="A2985" t="s">
        <v>4280</v>
      </c>
    </row>
    <row r="2986" spans="1:1" x14ac:dyDescent="0.25">
      <c r="A2986" t="s">
        <v>4281</v>
      </c>
    </row>
    <row r="2987" spans="1:1" x14ac:dyDescent="0.25">
      <c r="A2987" t="s">
        <v>4282</v>
      </c>
    </row>
    <row r="2988" spans="1:1" x14ac:dyDescent="0.25">
      <c r="A2988" t="s">
        <v>4283</v>
      </c>
    </row>
    <row r="2989" spans="1:1" x14ac:dyDescent="0.25">
      <c r="A2989" t="s">
        <v>4284</v>
      </c>
    </row>
    <row r="2990" spans="1:1" x14ac:dyDescent="0.25">
      <c r="A2990" t="s">
        <v>4285</v>
      </c>
    </row>
    <row r="2991" spans="1:1" x14ac:dyDescent="0.25">
      <c r="A2991" t="s">
        <v>4286</v>
      </c>
    </row>
    <row r="2992" spans="1:1" x14ac:dyDescent="0.25">
      <c r="A2992" t="s">
        <v>4287</v>
      </c>
    </row>
    <row r="2993" spans="1:1" x14ac:dyDescent="0.25">
      <c r="A2993" t="s">
        <v>4288</v>
      </c>
    </row>
    <row r="2994" spans="1:1" x14ac:dyDescent="0.25">
      <c r="A2994" t="s">
        <v>4289</v>
      </c>
    </row>
    <row r="2995" spans="1:1" x14ac:dyDescent="0.25">
      <c r="A2995" t="s">
        <v>4290</v>
      </c>
    </row>
    <row r="2996" spans="1:1" x14ac:dyDescent="0.25">
      <c r="A2996" t="s">
        <v>4291</v>
      </c>
    </row>
    <row r="2997" spans="1:1" x14ac:dyDescent="0.25">
      <c r="A2997" t="s">
        <v>4292</v>
      </c>
    </row>
    <row r="2998" spans="1:1" x14ac:dyDescent="0.25">
      <c r="A2998" t="s">
        <v>4293</v>
      </c>
    </row>
    <row r="2999" spans="1:1" x14ac:dyDescent="0.25">
      <c r="A2999" t="s">
        <v>4294</v>
      </c>
    </row>
    <row r="3000" spans="1:1" x14ac:dyDescent="0.25">
      <c r="A3000" t="s">
        <v>4295</v>
      </c>
    </row>
    <row r="3001" spans="1:1" x14ac:dyDescent="0.25">
      <c r="A3001" t="s">
        <v>4296</v>
      </c>
    </row>
    <row r="3002" spans="1:1" x14ac:dyDescent="0.25">
      <c r="A3002" t="s">
        <v>4297</v>
      </c>
    </row>
    <row r="3003" spans="1:1" x14ac:dyDescent="0.25">
      <c r="A3003" t="s">
        <v>4298</v>
      </c>
    </row>
    <row r="3004" spans="1:1" x14ac:dyDescent="0.25">
      <c r="A3004" t="s">
        <v>4299</v>
      </c>
    </row>
    <row r="3005" spans="1:1" x14ac:dyDescent="0.25">
      <c r="A3005" t="s">
        <v>4300</v>
      </c>
    </row>
    <row r="3006" spans="1:1" x14ac:dyDescent="0.25">
      <c r="A3006" t="s">
        <v>4301</v>
      </c>
    </row>
    <row r="3007" spans="1:1" x14ac:dyDescent="0.25">
      <c r="A3007" t="s">
        <v>4302</v>
      </c>
    </row>
    <row r="3008" spans="1:1" x14ac:dyDescent="0.25">
      <c r="A3008" t="s">
        <v>4303</v>
      </c>
    </row>
    <row r="3009" spans="1:1" x14ac:dyDescent="0.25">
      <c r="A3009" t="s">
        <v>4304</v>
      </c>
    </row>
    <row r="3010" spans="1:1" x14ac:dyDescent="0.25">
      <c r="A3010" t="s">
        <v>4305</v>
      </c>
    </row>
    <row r="3011" spans="1:1" x14ac:dyDescent="0.25">
      <c r="A3011" t="s">
        <v>4306</v>
      </c>
    </row>
    <row r="3012" spans="1:1" x14ac:dyDescent="0.25">
      <c r="A3012" t="s">
        <v>4307</v>
      </c>
    </row>
    <row r="3013" spans="1:1" x14ac:dyDescent="0.25">
      <c r="A3013" t="s">
        <v>4308</v>
      </c>
    </row>
    <row r="3014" spans="1:1" x14ac:dyDescent="0.25">
      <c r="A3014" t="s">
        <v>4309</v>
      </c>
    </row>
    <row r="3015" spans="1:1" x14ac:dyDescent="0.25">
      <c r="A3015" t="s">
        <v>4310</v>
      </c>
    </row>
    <row r="3016" spans="1:1" x14ac:dyDescent="0.25">
      <c r="A3016" t="s">
        <v>4311</v>
      </c>
    </row>
    <row r="3017" spans="1:1" x14ac:dyDescent="0.25">
      <c r="A3017" t="s">
        <v>4312</v>
      </c>
    </row>
    <row r="3018" spans="1:1" x14ac:dyDescent="0.25">
      <c r="A3018" t="s">
        <v>4313</v>
      </c>
    </row>
    <row r="3019" spans="1:1" x14ac:dyDescent="0.25">
      <c r="A3019" t="s">
        <v>4314</v>
      </c>
    </row>
    <row r="3020" spans="1:1" x14ac:dyDescent="0.25">
      <c r="A3020" t="s">
        <v>4315</v>
      </c>
    </row>
    <row r="3021" spans="1:1" x14ac:dyDescent="0.25">
      <c r="A3021" t="s">
        <v>4316</v>
      </c>
    </row>
    <row r="3022" spans="1:1" x14ac:dyDescent="0.25">
      <c r="A3022" t="s">
        <v>4317</v>
      </c>
    </row>
    <row r="3023" spans="1:1" x14ac:dyDescent="0.25">
      <c r="A3023" t="s">
        <v>4318</v>
      </c>
    </row>
    <row r="3024" spans="1:1" x14ac:dyDescent="0.25">
      <c r="A3024" t="s">
        <v>4319</v>
      </c>
    </row>
    <row r="3025" spans="1:1" x14ac:dyDescent="0.25">
      <c r="A3025" t="s">
        <v>4320</v>
      </c>
    </row>
    <row r="3026" spans="1:1" x14ac:dyDescent="0.25">
      <c r="A3026" t="s">
        <v>4321</v>
      </c>
    </row>
    <row r="3027" spans="1:1" x14ac:dyDescent="0.25">
      <c r="A3027" t="s">
        <v>4322</v>
      </c>
    </row>
    <row r="3028" spans="1:1" x14ac:dyDescent="0.25">
      <c r="A3028" t="s">
        <v>4323</v>
      </c>
    </row>
    <row r="3029" spans="1:1" x14ac:dyDescent="0.25">
      <c r="A3029" t="s">
        <v>4324</v>
      </c>
    </row>
    <row r="3030" spans="1:1" x14ac:dyDescent="0.25">
      <c r="A3030" t="s">
        <v>4325</v>
      </c>
    </row>
    <row r="3031" spans="1:1" x14ac:dyDescent="0.25">
      <c r="A3031" t="s">
        <v>4326</v>
      </c>
    </row>
    <row r="3032" spans="1:1" x14ac:dyDescent="0.25">
      <c r="A3032" t="s">
        <v>4327</v>
      </c>
    </row>
    <row r="3033" spans="1:1" x14ac:dyDescent="0.25">
      <c r="A3033" t="s">
        <v>4328</v>
      </c>
    </row>
    <row r="3034" spans="1:1" x14ac:dyDescent="0.25">
      <c r="A3034" t="s">
        <v>4329</v>
      </c>
    </row>
    <row r="3035" spans="1:1" x14ac:dyDescent="0.25">
      <c r="A3035" t="s">
        <v>4330</v>
      </c>
    </row>
    <row r="3036" spans="1:1" x14ac:dyDescent="0.25">
      <c r="A3036" t="s">
        <v>4331</v>
      </c>
    </row>
    <row r="3037" spans="1:1" x14ac:dyDescent="0.25">
      <c r="A3037" t="s">
        <v>4332</v>
      </c>
    </row>
    <row r="3038" spans="1:1" x14ac:dyDescent="0.25">
      <c r="A3038" t="s">
        <v>4333</v>
      </c>
    </row>
    <row r="3039" spans="1:1" x14ac:dyDescent="0.25">
      <c r="A3039" t="s">
        <v>4334</v>
      </c>
    </row>
    <row r="3040" spans="1:1" x14ac:dyDescent="0.25">
      <c r="A3040" t="s">
        <v>4335</v>
      </c>
    </row>
    <row r="3041" spans="1:1" x14ac:dyDescent="0.25">
      <c r="A3041" t="s">
        <v>4336</v>
      </c>
    </row>
    <row r="3042" spans="1:1" x14ac:dyDescent="0.25">
      <c r="A3042" t="s">
        <v>4337</v>
      </c>
    </row>
    <row r="3043" spans="1:1" x14ac:dyDescent="0.25">
      <c r="A3043" t="s">
        <v>4338</v>
      </c>
    </row>
    <row r="3044" spans="1:1" x14ac:dyDescent="0.25">
      <c r="A3044" t="s">
        <v>4339</v>
      </c>
    </row>
    <row r="3045" spans="1:1" x14ac:dyDescent="0.25">
      <c r="A3045" t="s">
        <v>4340</v>
      </c>
    </row>
    <row r="3046" spans="1:1" x14ac:dyDescent="0.25">
      <c r="A3046" t="s">
        <v>4341</v>
      </c>
    </row>
    <row r="3047" spans="1:1" x14ac:dyDescent="0.25">
      <c r="A3047" t="s">
        <v>4342</v>
      </c>
    </row>
    <row r="3048" spans="1:1" x14ac:dyDescent="0.25">
      <c r="A3048" t="s">
        <v>4343</v>
      </c>
    </row>
    <row r="3049" spans="1:1" x14ac:dyDescent="0.25">
      <c r="A3049" t="s">
        <v>4344</v>
      </c>
    </row>
    <row r="3050" spans="1:1" x14ac:dyDescent="0.25">
      <c r="A3050" t="s">
        <v>4345</v>
      </c>
    </row>
    <row r="3051" spans="1:1" x14ac:dyDescent="0.25">
      <c r="A3051" t="s">
        <v>4346</v>
      </c>
    </row>
    <row r="3052" spans="1:1" x14ac:dyDescent="0.25">
      <c r="A3052" t="s">
        <v>4347</v>
      </c>
    </row>
    <row r="3053" spans="1:1" x14ac:dyDescent="0.25">
      <c r="A3053" t="s">
        <v>4348</v>
      </c>
    </row>
    <row r="3054" spans="1:1" x14ac:dyDescent="0.25">
      <c r="A3054" t="s">
        <v>4349</v>
      </c>
    </row>
    <row r="3055" spans="1:1" x14ac:dyDescent="0.25">
      <c r="A3055" t="s">
        <v>4350</v>
      </c>
    </row>
    <row r="3056" spans="1:1" x14ac:dyDescent="0.25">
      <c r="A3056" t="s">
        <v>4351</v>
      </c>
    </row>
    <row r="3057" spans="1:1" x14ac:dyDescent="0.25">
      <c r="A3057" t="s">
        <v>4352</v>
      </c>
    </row>
    <row r="3058" spans="1:1" x14ac:dyDescent="0.25">
      <c r="A3058" t="s">
        <v>4353</v>
      </c>
    </row>
    <row r="3059" spans="1:1" x14ac:dyDescent="0.25">
      <c r="A3059" t="s">
        <v>4354</v>
      </c>
    </row>
    <row r="3060" spans="1:1" x14ac:dyDescent="0.25">
      <c r="A3060" t="s">
        <v>4355</v>
      </c>
    </row>
    <row r="3061" spans="1:1" x14ac:dyDescent="0.25">
      <c r="A3061" t="s">
        <v>4356</v>
      </c>
    </row>
    <row r="3062" spans="1:1" x14ac:dyDescent="0.25">
      <c r="A3062" t="s">
        <v>4357</v>
      </c>
    </row>
    <row r="3063" spans="1:1" x14ac:dyDescent="0.25">
      <c r="A3063" t="s">
        <v>4358</v>
      </c>
    </row>
    <row r="3064" spans="1:1" x14ac:dyDescent="0.25">
      <c r="A3064" t="s">
        <v>4359</v>
      </c>
    </row>
    <row r="3065" spans="1:1" x14ac:dyDescent="0.25">
      <c r="A3065" t="s">
        <v>4360</v>
      </c>
    </row>
    <row r="3066" spans="1:1" x14ac:dyDescent="0.25">
      <c r="A3066" t="s">
        <v>4361</v>
      </c>
    </row>
    <row r="3067" spans="1:1" x14ac:dyDescent="0.25">
      <c r="A3067" t="s">
        <v>4362</v>
      </c>
    </row>
    <row r="3068" spans="1:1" x14ac:dyDescent="0.25">
      <c r="A3068" t="s">
        <v>4363</v>
      </c>
    </row>
    <row r="3069" spans="1:1" x14ac:dyDescent="0.25">
      <c r="A3069" t="s">
        <v>4364</v>
      </c>
    </row>
    <row r="3070" spans="1:1" x14ac:dyDescent="0.25">
      <c r="A3070" t="s">
        <v>4365</v>
      </c>
    </row>
    <row r="3071" spans="1:1" x14ac:dyDescent="0.25">
      <c r="A3071" t="s">
        <v>4366</v>
      </c>
    </row>
    <row r="3072" spans="1:1" x14ac:dyDescent="0.25">
      <c r="A3072" t="s">
        <v>4367</v>
      </c>
    </row>
    <row r="3073" spans="1:1" x14ac:dyDescent="0.25">
      <c r="A3073" t="s">
        <v>4368</v>
      </c>
    </row>
    <row r="3074" spans="1:1" x14ac:dyDescent="0.25">
      <c r="A3074" t="s">
        <v>4369</v>
      </c>
    </row>
    <row r="3075" spans="1:1" x14ac:dyDescent="0.25">
      <c r="A3075" t="s">
        <v>4370</v>
      </c>
    </row>
    <row r="3076" spans="1:1" x14ac:dyDescent="0.25">
      <c r="A3076" t="s">
        <v>4371</v>
      </c>
    </row>
    <row r="3077" spans="1:1" x14ac:dyDescent="0.25">
      <c r="A3077" t="s">
        <v>4372</v>
      </c>
    </row>
    <row r="3078" spans="1:1" x14ac:dyDescent="0.25">
      <c r="A3078" t="s">
        <v>4373</v>
      </c>
    </row>
    <row r="3079" spans="1:1" x14ac:dyDescent="0.25">
      <c r="A3079" t="s">
        <v>4374</v>
      </c>
    </row>
    <row r="3080" spans="1:1" x14ac:dyDescent="0.25">
      <c r="A3080" t="s">
        <v>4375</v>
      </c>
    </row>
    <row r="3081" spans="1:1" x14ac:dyDescent="0.25">
      <c r="A3081" t="s">
        <v>4376</v>
      </c>
    </row>
    <row r="3082" spans="1:1" x14ac:dyDescent="0.25">
      <c r="A3082" t="s">
        <v>4377</v>
      </c>
    </row>
    <row r="3083" spans="1:1" x14ac:dyDescent="0.25">
      <c r="A3083" t="s">
        <v>4378</v>
      </c>
    </row>
    <row r="3084" spans="1:1" x14ac:dyDescent="0.25">
      <c r="A3084" t="s">
        <v>4379</v>
      </c>
    </row>
    <row r="3085" spans="1:1" x14ac:dyDescent="0.25">
      <c r="A3085" t="s">
        <v>4380</v>
      </c>
    </row>
    <row r="3086" spans="1:1" x14ac:dyDescent="0.25">
      <c r="A3086" t="s">
        <v>4381</v>
      </c>
    </row>
    <row r="3087" spans="1:1" x14ac:dyDescent="0.25">
      <c r="A3087" t="s">
        <v>4382</v>
      </c>
    </row>
    <row r="3088" spans="1:1" x14ac:dyDescent="0.25">
      <c r="A3088" t="s">
        <v>4383</v>
      </c>
    </row>
    <row r="3089" spans="1:1" x14ac:dyDescent="0.25">
      <c r="A3089" t="s">
        <v>4384</v>
      </c>
    </row>
    <row r="3090" spans="1:1" x14ac:dyDescent="0.25">
      <c r="A3090" t="s">
        <v>4385</v>
      </c>
    </row>
    <row r="3091" spans="1:1" x14ac:dyDescent="0.25">
      <c r="A3091" t="s">
        <v>4386</v>
      </c>
    </row>
    <row r="3092" spans="1:1" x14ac:dyDescent="0.25">
      <c r="A3092" t="s">
        <v>4387</v>
      </c>
    </row>
    <row r="3093" spans="1:1" x14ac:dyDescent="0.25">
      <c r="A3093" t="s">
        <v>4388</v>
      </c>
    </row>
    <row r="3094" spans="1:1" x14ac:dyDescent="0.25">
      <c r="A3094" t="s">
        <v>4389</v>
      </c>
    </row>
    <row r="3095" spans="1:1" x14ac:dyDescent="0.25">
      <c r="A3095" t="s">
        <v>4390</v>
      </c>
    </row>
    <row r="3096" spans="1:1" x14ac:dyDescent="0.25">
      <c r="A3096" t="s">
        <v>4391</v>
      </c>
    </row>
    <row r="3097" spans="1:1" x14ac:dyDescent="0.25">
      <c r="A3097" t="s">
        <v>4392</v>
      </c>
    </row>
    <row r="3098" spans="1:1" x14ac:dyDescent="0.25">
      <c r="A3098" t="s">
        <v>4393</v>
      </c>
    </row>
    <row r="3099" spans="1:1" x14ac:dyDescent="0.25">
      <c r="A3099" t="s">
        <v>4394</v>
      </c>
    </row>
    <row r="3100" spans="1:1" x14ac:dyDescent="0.25">
      <c r="A3100" t="s">
        <v>4395</v>
      </c>
    </row>
    <row r="3101" spans="1:1" x14ac:dyDescent="0.25">
      <c r="A3101" t="s">
        <v>4396</v>
      </c>
    </row>
    <row r="3102" spans="1:1" x14ac:dyDescent="0.25">
      <c r="A3102" t="s">
        <v>4397</v>
      </c>
    </row>
    <row r="3103" spans="1:1" x14ac:dyDescent="0.25">
      <c r="A3103" t="s">
        <v>4398</v>
      </c>
    </row>
    <row r="3104" spans="1:1" x14ac:dyDescent="0.25">
      <c r="A3104" t="s">
        <v>4399</v>
      </c>
    </row>
    <row r="3105" spans="1:1" x14ac:dyDescent="0.25">
      <c r="A3105" t="s">
        <v>4400</v>
      </c>
    </row>
    <row r="3106" spans="1:1" x14ac:dyDescent="0.25">
      <c r="A3106" t="s">
        <v>4401</v>
      </c>
    </row>
    <row r="3107" spans="1:1" x14ac:dyDescent="0.25">
      <c r="A3107" t="s">
        <v>4402</v>
      </c>
    </row>
    <row r="3108" spans="1:1" x14ac:dyDescent="0.25">
      <c r="A3108" t="s">
        <v>4403</v>
      </c>
    </row>
    <row r="3109" spans="1:1" x14ac:dyDescent="0.25">
      <c r="A3109" t="s">
        <v>4404</v>
      </c>
    </row>
    <row r="3110" spans="1:1" x14ac:dyDescent="0.25">
      <c r="A3110" t="s">
        <v>4405</v>
      </c>
    </row>
    <row r="3111" spans="1:1" x14ac:dyDescent="0.25">
      <c r="A3111" t="s">
        <v>4406</v>
      </c>
    </row>
    <row r="3112" spans="1:1" x14ac:dyDescent="0.25">
      <c r="A3112" t="s">
        <v>4407</v>
      </c>
    </row>
    <row r="3113" spans="1:1" x14ac:dyDescent="0.25">
      <c r="A3113" t="s">
        <v>4408</v>
      </c>
    </row>
    <row r="3114" spans="1:1" x14ac:dyDescent="0.25">
      <c r="A3114" t="s">
        <v>4409</v>
      </c>
    </row>
    <row r="3115" spans="1:1" x14ac:dyDescent="0.25">
      <c r="A3115" t="s">
        <v>4410</v>
      </c>
    </row>
    <row r="3116" spans="1:1" x14ac:dyDescent="0.25">
      <c r="A3116" t="s">
        <v>4411</v>
      </c>
    </row>
    <row r="3117" spans="1:1" x14ac:dyDescent="0.25">
      <c r="A3117" t="s">
        <v>4412</v>
      </c>
    </row>
    <row r="3118" spans="1:1" x14ac:dyDescent="0.25">
      <c r="A3118" t="s">
        <v>4413</v>
      </c>
    </row>
    <row r="3119" spans="1:1" x14ac:dyDescent="0.25">
      <c r="A3119" t="s">
        <v>4414</v>
      </c>
    </row>
    <row r="3120" spans="1:1" x14ac:dyDescent="0.25">
      <c r="A3120" t="s">
        <v>4415</v>
      </c>
    </row>
    <row r="3121" spans="1:1" x14ac:dyDescent="0.25">
      <c r="A3121" t="s">
        <v>4416</v>
      </c>
    </row>
    <row r="3122" spans="1:1" x14ac:dyDescent="0.25">
      <c r="A3122" t="s">
        <v>4417</v>
      </c>
    </row>
    <row r="3123" spans="1:1" x14ac:dyDescent="0.25">
      <c r="A3123" t="s">
        <v>4418</v>
      </c>
    </row>
    <row r="3124" spans="1:1" x14ac:dyDescent="0.25">
      <c r="A3124" t="s">
        <v>4419</v>
      </c>
    </row>
    <row r="3125" spans="1:1" x14ac:dyDescent="0.25">
      <c r="A3125" t="s">
        <v>4420</v>
      </c>
    </row>
    <row r="3126" spans="1:1" x14ac:dyDescent="0.25">
      <c r="A3126" t="s">
        <v>4421</v>
      </c>
    </row>
    <row r="3127" spans="1:1" x14ac:dyDescent="0.25">
      <c r="A3127" t="s">
        <v>4422</v>
      </c>
    </row>
    <row r="3128" spans="1:1" x14ac:dyDescent="0.25">
      <c r="A3128" t="s">
        <v>4423</v>
      </c>
    </row>
    <row r="3129" spans="1:1" x14ac:dyDescent="0.25">
      <c r="A3129" t="s">
        <v>4424</v>
      </c>
    </row>
    <row r="3130" spans="1:1" x14ac:dyDescent="0.25">
      <c r="A3130" t="s">
        <v>4425</v>
      </c>
    </row>
    <row r="3131" spans="1:1" x14ac:dyDescent="0.25">
      <c r="A3131" t="s">
        <v>4426</v>
      </c>
    </row>
    <row r="3132" spans="1:1" x14ac:dyDescent="0.25">
      <c r="A3132" t="s">
        <v>4427</v>
      </c>
    </row>
    <row r="3133" spans="1:1" x14ac:dyDescent="0.25">
      <c r="A3133" t="s">
        <v>4428</v>
      </c>
    </row>
    <row r="3134" spans="1:1" x14ac:dyDescent="0.25">
      <c r="A3134" t="s">
        <v>4429</v>
      </c>
    </row>
    <row r="3135" spans="1:1" x14ac:dyDescent="0.25">
      <c r="A3135" t="s">
        <v>4430</v>
      </c>
    </row>
    <row r="3136" spans="1:1" x14ac:dyDescent="0.25">
      <c r="A3136" t="s">
        <v>4431</v>
      </c>
    </row>
    <row r="3137" spans="1:1" x14ac:dyDescent="0.25">
      <c r="A3137" t="s">
        <v>4432</v>
      </c>
    </row>
    <row r="3138" spans="1:1" x14ac:dyDescent="0.25">
      <c r="A3138" t="s">
        <v>4433</v>
      </c>
    </row>
    <row r="3139" spans="1:1" x14ac:dyDescent="0.25">
      <c r="A3139" t="s">
        <v>4434</v>
      </c>
    </row>
    <row r="3140" spans="1:1" x14ac:dyDescent="0.25">
      <c r="A3140" t="s">
        <v>4435</v>
      </c>
    </row>
    <row r="3141" spans="1:1" x14ac:dyDescent="0.25">
      <c r="A3141" t="s">
        <v>4436</v>
      </c>
    </row>
    <row r="3142" spans="1:1" x14ac:dyDescent="0.25">
      <c r="A3142" t="s">
        <v>4437</v>
      </c>
    </row>
    <row r="3143" spans="1:1" x14ac:dyDescent="0.25">
      <c r="A3143" t="s">
        <v>4438</v>
      </c>
    </row>
    <row r="3144" spans="1:1" x14ac:dyDescent="0.25">
      <c r="A3144" t="s">
        <v>4439</v>
      </c>
    </row>
    <row r="3145" spans="1:1" x14ac:dyDescent="0.25">
      <c r="A3145" t="s">
        <v>4440</v>
      </c>
    </row>
    <row r="3146" spans="1:1" x14ac:dyDescent="0.25">
      <c r="A3146" t="s">
        <v>4441</v>
      </c>
    </row>
    <row r="3147" spans="1:1" x14ac:dyDescent="0.25">
      <c r="A3147" t="s">
        <v>4442</v>
      </c>
    </row>
    <row r="3148" spans="1:1" x14ac:dyDescent="0.25">
      <c r="A3148" t="s">
        <v>4443</v>
      </c>
    </row>
    <row r="3149" spans="1:1" x14ac:dyDescent="0.25">
      <c r="A3149" t="s">
        <v>4444</v>
      </c>
    </row>
    <row r="3150" spans="1:1" x14ac:dyDescent="0.25">
      <c r="A3150" t="s">
        <v>4445</v>
      </c>
    </row>
    <row r="3151" spans="1:1" x14ac:dyDescent="0.25">
      <c r="A3151" t="s">
        <v>4446</v>
      </c>
    </row>
    <row r="3152" spans="1:1" x14ac:dyDescent="0.25">
      <c r="A3152" t="s">
        <v>4447</v>
      </c>
    </row>
    <row r="3153" spans="1:1" x14ac:dyDescent="0.25">
      <c r="A3153" t="s">
        <v>4448</v>
      </c>
    </row>
    <row r="3154" spans="1:1" x14ac:dyDescent="0.25">
      <c r="A3154" t="s">
        <v>4449</v>
      </c>
    </row>
    <row r="3155" spans="1:1" x14ac:dyDescent="0.25">
      <c r="A3155" t="s">
        <v>4450</v>
      </c>
    </row>
    <row r="3156" spans="1:1" x14ac:dyDescent="0.25">
      <c r="A3156" t="s">
        <v>4451</v>
      </c>
    </row>
    <row r="3157" spans="1:1" x14ac:dyDescent="0.25">
      <c r="A3157" t="s">
        <v>4452</v>
      </c>
    </row>
    <row r="3158" spans="1:1" x14ac:dyDescent="0.25">
      <c r="A3158" t="s">
        <v>4453</v>
      </c>
    </row>
    <row r="3159" spans="1:1" x14ac:dyDescent="0.25">
      <c r="A3159" t="s">
        <v>4454</v>
      </c>
    </row>
    <row r="3160" spans="1:1" x14ac:dyDescent="0.25">
      <c r="A3160" t="s">
        <v>4455</v>
      </c>
    </row>
    <row r="3161" spans="1:1" x14ac:dyDescent="0.25">
      <c r="A3161" t="s">
        <v>4456</v>
      </c>
    </row>
    <row r="3162" spans="1:1" x14ac:dyDescent="0.25">
      <c r="A3162" t="s">
        <v>4457</v>
      </c>
    </row>
    <row r="3163" spans="1:1" x14ac:dyDescent="0.25">
      <c r="A3163" t="s">
        <v>4458</v>
      </c>
    </row>
    <row r="3164" spans="1:1" x14ac:dyDescent="0.25">
      <c r="A3164" t="s">
        <v>4459</v>
      </c>
    </row>
    <row r="3165" spans="1:1" x14ac:dyDescent="0.25">
      <c r="A3165" t="s">
        <v>4460</v>
      </c>
    </row>
    <row r="3166" spans="1:1" x14ac:dyDescent="0.25">
      <c r="A3166" t="s">
        <v>4461</v>
      </c>
    </row>
    <row r="3167" spans="1:1" x14ac:dyDescent="0.25">
      <c r="A3167" t="s">
        <v>4462</v>
      </c>
    </row>
    <row r="3168" spans="1:1" x14ac:dyDescent="0.25">
      <c r="A3168" t="s">
        <v>4463</v>
      </c>
    </row>
    <row r="3169" spans="1:1" x14ac:dyDescent="0.25">
      <c r="A3169" t="s">
        <v>4464</v>
      </c>
    </row>
    <row r="3170" spans="1:1" x14ac:dyDescent="0.25">
      <c r="A3170" t="s">
        <v>4465</v>
      </c>
    </row>
    <row r="3171" spans="1:1" x14ac:dyDescent="0.25">
      <c r="A3171" t="s">
        <v>4466</v>
      </c>
    </row>
    <row r="3172" spans="1:1" x14ac:dyDescent="0.25">
      <c r="A3172" t="s">
        <v>4467</v>
      </c>
    </row>
    <row r="3173" spans="1:1" x14ac:dyDescent="0.25">
      <c r="A3173" t="s">
        <v>4468</v>
      </c>
    </row>
    <row r="3174" spans="1:1" x14ac:dyDescent="0.25">
      <c r="A3174" t="s">
        <v>4469</v>
      </c>
    </row>
    <row r="3175" spans="1:1" x14ac:dyDescent="0.25">
      <c r="A3175" t="s">
        <v>4470</v>
      </c>
    </row>
    <row r="3176" spans="1:1" x14ac:dyDescent="0.25">
      <c r="A3176" t="s">
        <v>4471</v>
      </c>
    </row>
    <row r="3177" spans="1:1" x14ac:dyDescent="0.25">
      <c r="A3177" t="s">
        <v>4472</v>
      </c>
    </row>
    <row r="3178" spans="1:1" x14ac:dyDescent="0.25">
      <c r="A3178" t="s">
        <v>4473</v>
      </c>
    </row>
    <row r="3179" spans="1:1" x14ac:dyDescent="0.25">
      <c r="A3179" t="s">
        <v>4474</v>
      </c>
    </row>
    <row r="3180" spans="1:1" x14ac:dyDescent="0.25">
      <c r="A3180" t="s">
        <v>4475</v>
      </c>
    </row>
    <row r="3181" spans="1:1" x14ac:dyDescent="0.25">
      <c r="A3181" t="s">
        <v>4476</v>
      </c>
    </row>
    <row r="3182" spans="1:1" x14ac:dyDescent="0.25">
      <c r="A3182" t="s">
        <v>4477</v>
      </c>
    </row>
    <row r="3183" spans="1:1" x14ac:dyDescent="0.25">
      <c r="A3183" t="s">
        <v>4478</v>
      </c>
    </row>
    <row r="3184" spans="1:1" x14ac:dyDescent="0.25">
      <c r="A3184" t="s">
        <v>4479</v>
      </c>
    </row>
    <row r="3185" spans="1:1" x14ac:dyDescent="0.25">
      <c r="A3185" t="s">
        <v>4480</v>
      </c>
    </row>
    <row r="3186" spans="1:1" x14ac:dyDescent="0.25">
      <c r="A3186" t="s">
        <v>4481</v>
      </c>
    </row>
    <row r="3187" spans="1:1" x14ac:dyDescent="0.25">
      <c r="A3187" t="s">
        <v>4482</v>
      </c>
    </row>
    <row r="3188" spans="1:1" x14ac:dyDescent="0.25">
      <c r="A3188" t="s">
        <v>4483</v>
      </c>
    </row>
    <row r="3189" spans="1:1" x14ac:dyDescent="0.25">
      <c r="A3189" t="s">
        <v>4484</v>
      </c>
    </row>
    <row r="3190" spans="1:1" x14ac:dyDescent="0.25">
      <c r="A3190" t="s">
        <v>4485</v>
      </c>
    </row>
    <row r="3191" spans="1:1" x14ac:dyDescent="0.25">
      <c r="A3191" t="s">
        <v>4486</v>
      </c>
    </row>
    <row r="3192" spans="1:1" x14ac:dyDescent="0.25">
      <c r="A3192" t="s">
        <v>4487</v>
      </c>
    </row>
    <row r="3193" spans="1:1" x14ac:dyDescent="0.25">
      <c r="A3193" t="s">
        <v>4488</v>
      </c>
    </row>
    <row r="3194" spans="1:1" x14ac:dyDescent="0.25">
      <c r="A3194" t="s">
        <v>4489</v>
      </c>
    </row>
    <row r="3195" spans="1:1" x14ac:dyDescent="0.25">
      <c r="A3195" t="s">
        <v>4490</v>
      </c>
    </row>
    <row r="3196" spans="1:1" x14ac:dyDescent="0.25">
      <c r="A3196" t="s">
        <v>4491</v>
      </c>
    </row>
    <row r="3197" spans="1:1" x14ac:dyDescent="0.25">
      <c r="A3197" t="s">
        <v>4492</v>
      </c>
    </row>
    <row r="3198" spans="1:1" x14ac:dyDescent="0.25">
      <c r="A3198" t="s">
        <v>4493</v>
      </c>
    </row>
    <row r="3199" spans="1:1" x14ac:dyDescent="0.25">
      <c r="A3199" t="s">
        <v>4494</v>
      </c>
    </row>
    <row r="3200" spans="1:1" x14ac:dyDescent="0.25">
      <c r="A3200" t="s">
        <v>4495</v>
      </c>
    </row>
    <row r="3201" spans="1:1" x14ac:dyDescent="0.25">
      <c r="A3201" t="s">
        <v>4496</v>
      </c>
    </row>
    <row r="3202" spans="1:1" x14ac:dyDescent="0.25">
      <c r="A3202" t="s">
        <v>4497</v>
      </c>
    </row>
    <row r="3203" spans="1:1" x14ac:dyDescent="0.25">
      <c r="A3203" t="s">
        <v>4498</v>
      </c>
    </row>
    <row r="3204" spans="1:1" x14ac:dyDescent="0.25">
      <c r="A3204" t="s">
        <v>4499</v>
      </c>
    </row>
    <row r="3205" spans="1:1" x14ac:dyDescent="0.25">
      <c r="A3205" t="s">
        <v>4500</v>
      </c>
    </row>
    <row r="3206" spans="1:1" x14ac:dyDescent="0.25">
      <c r="A3206" t="s">
        <v>4501</v>
      </c>
    </row>
    <row r="3207" spans="1:1" x14ac:dyDescent="0.25">
      <c r="A3207" t="s">
        <v>4502</v>
      </c>
    </row>
    <row r="3208" spans="1:1" x14ac:dyDescent="0.25">
      <c r="A3208" t="s">
        <v>4503</v>
      </c>
    </row>
    <row r="3209" spans="1:1" x14ac:dyDescent="0.25">
      <c r="A3209" t="s">
        <v>4504</v>
      </c>
    </row>
    <row r="3210" spans="1:1" x14ac:dyDescent="0.25">
      <c r="A3210" t="s">
        <v>4505</v>
      </c>
    </row>
    <row r="3211" spans="1:1" x14ac:dyDescent="0.25">
      <c r="A3211" t="s">
        <v>4506</v>
      </c>
    </row>
    <row r="3212" spans="1:1" x14ac:dyDescent="0.25">
      <c r="A3212" t="s">
        <v>4507</v>
      </c>
    </row>
    <row r="3213" spans="1:1" x14ac:dyDescent="0.25">
      <c r="A3213" t="s">
        <v>4508</v>
      </c>
    </row>
    <row r="3214" spans="1:1" x14ac:dyDescent="0.25">
      <c r="A3214" t="s">
        <v>4509</v>
      </c>
    </row>
    <row r="3215" spans="1:1" x14ac:dyDescent="0.25">
      <c r="A3215" t="s">
        <v>4510</v>
      </c>
    </row>
    <row r="3216" spans="1:1" x14ac:dyDescent="0.25">
      <c r="A3216" t="s">
        <v>4511</v>
      </c>
    </row>
    <row r="3217" spans="1:1" x14ac:dyDescent="0.25">
      <c r="A3217" t="s">
        <v>4512</v>
      </c>
    </row>
    <row r="3218" spans="1:1" x14ac:dyDescent="0.25">
      <c r="A3218" t="s">
        <v>4513</v>
      </c>
    </row>
    <row r="3219" spans="1:1" x14ac:dyDescent="0.25">
      <c r="A3219" t="s">
        <v>4514</v>
      </c>
    </row>
    <row r="3220" spans="1:1" x14ac:dyDescent="0.25">
      <c r="A3220" t="s">
        <v>4515</v>
      </c>
    </row>
    <row r="3221" spans="1:1" x14ac:dyDescent="0.25">
      <c r="A3221" t="s">
        <v>4516</v>
      </c>
    </row>
    <row r="3222" spans="1:1" x14ac:dyDescent="0.25">
      <c r="A3222" t="s">
        <v>4517</v>
      </c>
    </row>
    <row r="3223" spans="1:1" x14ac:dyDescent="0.25">
      <c r="A3223" t="s">
        <v>4518</v>
      </c>
    </row>
    <row r="3224" spans="1:1" x14ac:dyDescent="0.25">
      <c r="A3224" t="s">
        <v>4519</v>
      </c>
    </row>
    <row r="3225" spans="1:1" x14ac:dyDescent="0.25">
      <c r="A3225" t="s">
        <v>4520</v>
      </c>
    </row>
    <row r="3226" spans="1:1" x14ac:dyDescent="0.25">
      <c r="A3226" t="s">
        <v>4521</v>
      </c>
    </row>
    <row r="3227" spans="1:1" x14ac:dyDescent="0.25">
      <c r="A3227" t="s">
        <v>4522</v>
      </c>
    </row>
    <row r="3228" spans="1:1" x14ac:dyDescent="0.25">
      <c r="A3228" t="s">
        <v>4523</v>
      </c>
    </row>
    <row r="3229" spans="1:1" x14ac:dyDescent="0.25">
      <c r="A3229" t="s">
        <v>4524</v>
      </c>
    </row>
    <row r="3230" spans="1:1" x14ac:dyDescent="0.25">
      <c r="A3230" t="s">
        <v>4525</v>
      </c>
    </row>
    <row r="3231" spans="1:1" x14ac:dyDescent="0.25">
      <c r="A3231" t="s">
        <v>4526</v>
      </c>
    </row>
    <row r="3232" spans="1:1" x14ac:dyDescent="0.25">
      <c r="A3232" t="s">
        <v>4527</v>
      </c>
    </row>
    <row r="3233" spans="1:1" x14ac:dyDescent="0.25">
      <c r="A3233" t="s">
        <v>4528</v>
      </c>
    </row>
    <row r="3234" spans="1:1" x14ac:dyDescent="0.25">
      <c r="A3234" t="s">
        <v>4529</v>
      </c>
    </row>
    <row r="3235" spans="1:1" x14ac:dyDescent="0.25">
      <c r="A3235" t="s">
        <v>4530</v>
      </c>
    </row>
    <row r="3236" spans="1:1" x14ac:dyDescent="0.25">
      <c r="A3236" t="s">
        <v>4531</v>
      </c>
    </row>
    <row r="3237" spans="1:1" x14ac:dyDescent="0.25">
      <c r="A3237" t="s">
        <v>4532</v>
      </c>
    </row>
    <row r="3238" spans="1:1" x14ac:dyDescent="0.25">
      <c r="A3238" t="s">
        <v>4533</v>
      </c>
    </row>
    <row r="3239" spans="1:1" x14ac:dyDescent="0.25">
      <c r="A3239" t="s">
        <v>4534</v>
      </c>
    </row>
    <row r="3240" spans="1:1" x14ac:dyDescent="0.25">
      <c r="A3240" t="s">
        <v>4535</v>
      </c>
    </row>
    <row r="3241" spans="1:1" x14ac:dyDescent="0.25">
      <c r="A3241" t="s">
        <v>4536</v>
      </c>
    </row>
    <row r="3242" spans="1:1" x14ac:dyDescent="0.25">
      <c r="A3242" t="s">
        <v>4537</v>
      </c>
    </row>
    <row r="3243" spans="1:1" x14ac:dyDescent="0.25">
      <c r="A3243" t="s">
        <v>4538</v>
      </c>
    </row>
    <row r="3244" spans="1:1" x14ac:dyDescent="0.25">
      <c r="A3244" t="s">
        <v>4539</v>
      </c>
    </row>
    <row r="3245" spans="1:1" x14ac:dyDescent="0.25">
      <c r="A3245" t="s">
        <v>4540</v>
      </c>
    </row>
    <row r="3246" spans="1:1" x14ac:dyDescent="0.25">
      <c r="A3246" t="s">
        <v>4541</v>
      </c>
    </row>
    <row r="3247" spans="1:1" x14ac:dyDescent="0.25">
      <c r="A3247" t="s">
        <v>4542</v>
      </c>
    </row>
    <row r="3248" spans="1:1" x14ac:dyDescent="0.25">
      <c r="A3248" t="s">
        <v>4543</v>
      </c>
    </row>
    <row r="3249" spans="1:1" x14ac:dyDescent="0.25">
      <c r="A3249" t="s">
        <v>4544</v>
      </c>
    </row>
    <row r="3250" spans="1:1" x14ac:dyDescent="0.25">
      <c r="A3250" t="s">
        <v>4545</v>
      </c>
    </row>
    <row r="3251" spans="1:1" x14ac:dyDescent="0.25">
      <c r="A3251" t="s">
        <v>4546</v>
      </c>
    </row>
    <row r="3252" spans="1:1" x14ac:dyDescent="0.25">
      <c r="A3252" t="s">
        <v>4547</v>
      </c>
    </row>
    <row r="3253" spans="1:1" x14ac:dyDescent="0.25">
      <c r="A3253" t="s">
        <v>4548</v>
      </c>
    </row>
    <row r="3254" spans="1:1" x14ac:dyDescent="0.25">
      <c r="A3254" t="s">
        <v>4549</v>
      </c>
    </row>
    <row r="3255" spans="1:1" x14ac:dyDescent="0.25">
      <c r="A3255" t="s">
        <v>4550</v>
      </c>
    </row>
    <row r="3256" spans="1:1" x14ac:dyDescent="0.25">
      <c r="A3256" t="s">
        <v>4551</v>
      </c>
    </row>
    <row r="3257" spans="1:1" x14ac:dyDescent="0.25">
      <c r="A3257" t="s">
        <v>4552</v>
      </c>
    </row>
    <row r="3258" spans="1:1" x14ac:dyDescent="0.25">
      <c r="A3258" t="s">
        <v>4553</v>
      </c>
    </row>
    <row r="3259" spans="1:1" x14ac:dyDescent="0.25">
      <c r="A3259" t="s">
        <v>4554</v>
      </c>
    </row>
    <row r="3260" spans="1:1" x14ac:dyDescent="0.25">
      <c r="A3260" t="s">
        <v>4555</v>
      </c>
    </row>
    <row r="3261" spans="1:1" x14ac:dyDescent="0.25">
      <c r="A3261" t="s">
        <v>4556</v>
      </c>
    </row>
    <row r="3262" spans="1:1" x14ac:dyDescent="0.25">
      <c r="A3262" t="s">
        <v>4557</v>
      </c>
    </row>
    <row r="3263" spans="1:1" x14ac:dyDescent="0.25">
      <c r="A3263" t="s">
        <v>4558</v>
      </c>
    </row>
    <row r="3264" spans="1:1" x14ac:dyDescent="0.25">
      <c r="A3264" t="s">
        <v>4559</v>
      </c>
    </row>
    <row r="3265" spans="1:1" x14ac:dyDescent="0.25">
      <c r="A3265" t="s">
        <v>4560</v>
      </c>
    </row>
    <row r="3266" spans="1:1" x14ac:dyDescent="0.25">
      <c r="A3266" t="s">
        <v>4561</v>
      </c>
    </row>
    <row r="3267" spans="1:1" x14ac:dyDescent="0.25">
      <c r="A3267" t="s">
        <v>4562</v>
      </c>
    </row>
    <row r="3268" spans="1:1" x14ac:dyDescent="0.25">
      <c r="A3268" t="s">
        <v>4563</v>
      </c>
    </row>
    <row r="3269" spans="1:1" x14ac:dyDescent="0.25">
      <c r="A3269" t="s">
        <v>4564</v>
      </c>
    </row>
    <row r="3270" spans="1:1" x14ac:dyDescent="0.25">
      <c r="A3270" t="s">
        <v>4565</v>
      </c>
    </row>
    <row r="3271" spans="1:1" x14ac:dyDescent="0.25">
      <c r="A3271" t="s">
        <v>4566</v>
      </c>
    </row>
    <row r="3272" spans="1:1" x14ac:dyDescent="0.25">
      <c r="A3272" t="s">
        <v>4567</v>
      </c>
    </row>
    <row r="3273" spans="1:1" x14ac:dyDescent="0.25">
      <c r="A3273" t="s">
        <v>4568</v>
      </c>
    </row>
    <row r="3274" spans="1:1" x14ac:dyDescent="0.25">
      <c r="A3274" t="s">
        <v>4569</v>
      </c>
    </row>
    <row r="3275" spans="1:1" x14ac:dyDescent="0.25">
      <c r="A3275" t="s">
        <v>4570</v>
      </c>
    </row>
    <row r="3276" spans="1:1" x14ac:dyDescent="0.25">
      <c r="A3276" t="s">
        <v>4571</v>
      </c>
    </row>
    <row r="3277" spans="1:1" x14ac:dyDescent="0.25">
      <c r="A3277" t="s">
        <v>4572</v>
      </c>
    </row>
    <row r="3278" spans="1:1" x14ac:dyDescent="0.25">
      <c r="A3278" t="s">
        <v>4573</v>
      </c>
    </row>
    <row r="3279" spans="1:1" x14ac:dyDescent="0.25">
      <c r="A3279" t="s">
        <v>4574</v>
      </c>
    </row>
    <row r="3280" spans="1:1" x14ac:dyDescent="0.25">
      <c r="A3280" t="s">
        <v>4575</v>
      </c>
    </row>
    <row r="3281" spans="1:1" x14ac:dyDescent="0.25">
      <c r="A3281" t="s">
        <v>4576</v>
      </c>
    </row>
    <row r="3282" spans="1:1" x14ac:dyDescent="0.25">
      <c r="A3282" t="s">
        <v>4577</v>
      </c>
    </row>
    <row r="3283" spans="1:1" x14ac:dyDescent="0.25">
      <c r="A3283" t="s">
        <v>4578</v>
      </c>
    </row>
    <row r="3284" spans="1:1" x14ac:dyDescent="0.25">
      <c r="A3284" t="s">
        <v>4579</v>
      </c>
    </row>
    <row r="3285" spans="1:1" x14ac:dyDescent="0.25">
      <c r="A3285" t="s">
        <v>4580</v>
      </c>
    </row>
    <row r="3286" spans="1:1" x14ac:dyDescent="0.25">
      <c r="A3286" t="s">
        <v>4581</v>
      </c>
    </row>
    <row r="3287" spans="1:1" x14ac:dyDescent="0.25">
      <c r="A3287" t="s">
        <v>4582</v>
      </c>
    </row>
    <row r="3288" spans="1:1" x14ac:dyDescent="0.25">
      <c r="A3288" t="s">
        <v>4583</v>
      </c>
    </row>
    <row r="3289" spans="1:1" x14ac:dyDescent="0.25">
      <c r="A3289" t="s">
        <v>4584</v>
      </c>
    </row>
    <row r="3290" spans="1:1" x14ac:dyDescent="0.25">
      <c r="A3290" t="s">
        <v>4585</v>
      </c>
    </row>
    <row r="3291" spans="1:1" x14ac:dyDescent="0.25">
      <c r="A3291" t="s">
        <v>4586</v>
      </c>
    </row>
    <row r="3292" spans="1:1" x14ac:dyDescent="0.25">
      <c r="A3292" t="s">
        <v>4587</v>
      </c>
    </row>
    <row r="3293" spans="1:1" x14ac:dyDescent="0.25">
      <c r="A3293" t="s">
        <v>4588</v>
      </c>
    </row>
    <row r="3294" spans="1:1" x14ac:dyDescent="0.25">
      <c r="A3294" t="s">
        <v>4589</v>
      </c>
    </row>
    <row r="3295" spans="1:1" x14ac:dyDescent="0.25">
      <c r="A3295" t="s">
        <v>4590</v>
      </c>
    </row>
    <row r="3296" spans="1:1" x14ac:dyDescent="0.25">
      <c r="A3296" t="s">
        <v>4591</v>
      </c>
    </row>
    <row r="3297" spans="1:1" x14ac:dyDescent="0.25">
      <c r="A3297" t="s">
        <v>4592</v>
      </c>
    </row>
    <row r="3298" spans="1:1" x14ac:dyDescent="0.25">
      <c r="A3298" t="s">
        <v>4593</v>
      </c>
    </row>
    <row r="3299" spans="1:1" x14ac:dyDescent="0.25">
      <c r="A3299" t="s">
        <v>4594</v>
      </c>
    </row>
    <row r="3300" spans="1:1" x14ac:dyDescent="0.25">
      <c r="A3300" t="s">
        <v>4595</v>
      </c>
    </row>
    <row r="3301" spans="1:1" x14ac:dyDescent="0.25">
      <c r="A3301" t="s">
        <v>4596</v>
      </c>
    </row>
    <row r="3302" spans="1:1" x14ac:dyDescent="0.25">
      <c r="A3302" t="s">
        <v>4597</v>
      </c>
    </row>
    <row r="3303" spans="1:1" x14ac:dyDescent="0.25">
      <c r="A3303" t="s">
        <v>4598</v>
      </c>
    </row>
    <row r="3304" spans="1:1" x14ac:dyDescent="0.25">
      <c r="A3304" t="s">
        <v>4599</v>
      </c>
    </row>
    <row r="3305" spans="1:1" x14ac:dyDescent="0.25">
      <c r="A3305" t="s">
        <v>4600</v>
      </c>
    </row>
    <row r="3306" spans="1:1" x14ac:dyDescent="0.25">
      <c r="A3306" t="s">
        <v>4601</v>
      </c>
    </row>
    <row r="3307" spans="1:1" x14ac:dyDescent="0.25">
      <c r="A3307" t="s">
        <v>4602</v>
      </c>
    </row>
    <row r="3308" spans="1:1" x14ac:dyDescent="0.25">
      <c r="A3308" t="s">
        <v>4603</v>
      </c>
    </row>
    <row r="3309" spans="1:1" x14ac:dyDescent="0.25">
      <c r="A3309" t="s">
        <v>4604</v>
      </c>
    </row>
    <row r="3310" spans="1:1" x14ac:dyDescent="0.25">
      <c r="A3310" t="s">
        <v>4605</v>
      </c>
    </row>
    <row r="3311" spans="1:1" x14ac:dyDescent="0.25">
      <c r="A3311" t="s">
        <v>4606</v>
      </c>
    </row>
    <row r="3312" spans="1:1" x14ac:dyDescent="0.25">
      <c r="A3312" t="s">
        <v>4607</v>
      </c>
    </row>
    <row r="3313" spans="1:1" x14ac:dyDescent="0.25">
      <c r="A3313" t="s">
        <v>4608</v>
      </c>
    </row>
    <row r="3314" spans="1:1" x14ac:dyDescent="0.25">
      <c r="A3314" t="s">
        <v>4609</v>
      </c>
    </row>
    <row r="3315" spans="1:1" x14ac:dyDescent="0.25">
      <c r="A3315" t="s">
        <v>4610</v>
      </c>
    </row>
    <row r="3316" spans="1:1" x14ac:dyDescent="0.25">
      <c r="A3316" t="s">
        <v>4611</v>
      </c>
    </row>
    <row r="3317" spans="1:1" x14ac:dyDescent="0.25">
      <c r="A3317" t="s">
        <v>4612</v>
      </c>
    </row>
    <row r="3318" spans="1:1" x14ac:dyDescent="0.25">
      <c r="A3318" t="s">
        <v>4613</v>
      </c>
    </row>
    <row r="3319" spans="1:1" x14ac:dyDescent="0.25">
      <c r="A3319" t="s">
        <v>4614</v>
      </c>
    </row>
    <row r="3320" spans="1:1" x14ac:dyDescent="0.25">
      <c r="A3320" t="s">
        <v>4615</v>
      </c>
    </row>
    <row r="3321" spans="1:1" x14ac:dyDescent="0.25">
      <c r="A3321" t="s">
        <v>4616</v>
      </c>
    </row>
    <row r="3322" spans="1:1" x14ac:dyDescent="0.25">
      <c r="A3322" t="s">
        <v>4617</v>
      </c>
    </row>
    <row r="3323" spans="1:1" x14ac:dyDescent="0.25">
      <c r="A3323" t="s">
        <v>4618</v>
      </c>
    </row>
    <row r="3324" spans="1:1" x14ac:dyDescent="0.25">
      <c r="A3324" t="s">
        <v>4619</v>
      </c>
    </row>
    <row r="3325" spans="1:1" x14ac:dyDescent="0.25">
      <c r="A3325" t="s">
        <v>4620</v>
      </c>
    </row>
    <row r="3326" spans="1:1" x14ac:dyDescent="0.25">
      <c r="A3326" t="s">
        <v>4621</v>
      </c>
    </row>
    <row r="3327" spans="1:1" x14ac:dyDescent="0.25">
      <c r="A3327" t="s">
        <v>4622</v>
      </c>
    </row>
    <row r="3328" spans="1:1" x14ac:dyDescent="0.25">
      <c r="A3328" t="s">
        <v>4623</v>
      </c>
    </row>
    <row r="3329" spans="1:1" x14ac:dyDescent="0.25">
      <c r="A3329" t="s">
        <v>4624</v>
      </c>
    </row>
    <row r="3330" spans="1:1" x14ac:dyDescent="0.25">
      <c r="A3330" t="s">
        <v>4625</v>
      </c>
    </row>
    <row r="3331" spans="1:1" x14ac:dyDescent="0.25">
      <c r="A3331" t="s">
        <v>4626</v>
      </c>
    </row>
    <row r="3332" spans="1:1" x14ac:dyDescent="0.25">
      <c r="A3332" t="s">
        <v>4627</v>
      </c>
    </row>
    <row r="3333" spans="1:1" x14ac:dyDescent="0.25">
      <c r="A3333" t="s">
        <v>4628</v>
      </c>
    </row>
    <row r="3334" spans="1:1" x14ac:dyDescent="0.25">
      <c r="A3334" t="s">
        <v>4629</v>
      </c>
    </row>
    <row r="3335" spans="1:1" x14ac:dyDescent="0.25">
      <c r="A3335" t="s">
        <v>4630</v>
      </c>
    </row>
    <row r="3336" spans="1:1" x14ac:dyDescent="0.25">
      <c r="A3336" t="s">
        <v>4631</v>
      </c>
    </row>
    <row r="3337" spans="1:1" x14ac:dyDescent="0.25">
      <c r="A3337" t="s">
        <v>4632</v>
      </c>
    </row>
    <row r="3338" spans="1:1" x14ac:dyDescent="0.25">
      <c r="A3338" t="s">
        <v>4633</v>
      </c>
    </row>
    <row r="3339" spans="1:1" x14ac:dyDescent="0.25">
      <c r="A3339" t="s">
        <v>4634</v>
      </c>
    </row>
    <row r="3340" spans="1:1" x14ac:dyDescent="0.25">
      <c r="A3340" t="s">
        <v>4635</v>
      </c>
    </row>
    <row r="3341" spans="1:1" x14ac:dyDescent="0.25">
      <c r="A3341" t="s">
        <v>4636</v>
      </c>
    </row>
    <row r="3342" spans="1:1" x14ac:dyDescent="0.25">
      <c r="A3342" t="s">
        <v>4637</v>
      </c>
    </row>
    <row r="3343" spans="1:1" x14ac:dyDescent="0.25">
      <c r="A3343" t="s">
        <v>4638</v>
      </c>
    </row>
    <row r="3344" spans="1:1" x14ac:dyDescent="0.25">
      <c r="A3344" t="s">
        <v>4639</v>
      </c>
    </row>
    <row r="3345" spans="1:1" x14ac:dyDescent="0.25">
      <c r="A3345" t="s">
        <v>4640</v>
      </c>
    </row>
    <row r="3346" spans="1:1" x14ac:dyDescent="0.25">
      <c r="A3346" t="s">
        <v>4641</v>
      </c>
    </row>
    <row r="3347" spans="1:1" x14ac:dyDescent="0.25">
      <c r="A3347" t="s">
        <v>4642</v>
      </c>
    </row>
    <row r="3348" spans="1:1" x14ac:dyDescent="0.25">
      <c r="A3348" t="s">
        <v>4643</v>
      </c>
    </row>
    <row r="3349" spans="1:1" x14ac:dyDescent="0.25">
      <c r="A3349" t="s">
        <v>4644</v>
      </c>
    </row>
    <row r="3350" spans="1:1" x14ac:dyDescent="0.25">
      <c r="A3350" t="s">
        <v>4645</v>
      </c>
    </row>
    <row r="3351" spans="1:1" x14ac:dyDescent="0.25">
      <c r="A3351" t="s">
        <v>4646</v>
      </c>
    </row>
    <row r="3352" spans="1:1" x14ac:dyDescent="0.25">
      <c r="A3352" t="s">
        <v>4647</v>
      </c>
    </row>
    <row r="3353" spans="1:1" x14ac:dyDescent="0.25">
      <c r="A3353" t="s">
        <v>4648</v>
      </c>
    </row>
    <row r="3354" spans="1:1" x14ac:dyDescent="0.25">
      <c r="A3354" t="s">
        <v>4649</v>
      </c>
    </row>
    <row r="3355" spans="1:1" x14ac:dyDescent="0.25">
      <c r="A3355" t="s">
        <v>4650</v>
      </c>
    </row>
    <row r="3356" spans="1:1" x14ac:dyDescent="0.25">
      <c r="A3356" t="s">
        <v>4651</v>
      </c>
    </row>
    <row r="3357" spans="1:1" x14ac:dyDescent="0.25">
      <c r="A3357" t="s">
        <v>4652</v>
      </c>
    </row>
    <row r="3358" spans="1:1" x14ac:dyDescent="0.25">
      <c r="A3358" t="s">
        <v>4653</v>
      </c>
    </row>
    <row r="3359" spans="1:1" x14ac:dyDescent="0.25">
      <c r="A3359" t="s">
        <v>4654</v>
      </c>
    </row>
    <row r="3360" spans="1:1" x14ac:dyDescent="0.25">
      <c r="A3360" t="s">
        <v>4655</v>
      </c>
    </row>
    <row r="3361" spans="1:1" x14ac:dyDescent="0.25">
      <c r="A3361" t="s">
        <v>4656</v>
      </c>
    </row>
    <row r="3362" spans="1:1" x14ac:dyDescent="0.25">
      <c r="A3362" t="s">
        <v>4657</v>
      </c>
    </row>
    <row r="3363" spans="1:1" x14ac:dyDescent="0.25">
      <c r="A3363" t="s">
        <v>4658</v>
      </c>
    </row>
    <row r="3364" spans="1:1" x14ac:dyDescent="0.25">
      <c r="A3364" t="s">
        <v>4659</v>
      </c>
    </row>
    <row r="3365" spans="1:1" x14ac:dyDescent="0.25">
      <c r="A3365" t="s">
        <v>4660</v>
      </c>
    </row>
    <row r="3366" spans="1:1" x14ac:dyDescent="0.25">
      <c r="A3366" t="s">
        <v>4661</v>
      </c>
    </row>
    <row r="3367" spans="1:1" x14ac:dyDescent="0.25">
      <c r="A3367" t="s">
        <v>4662</v>
      </c>
    </row>
    <row r="3368" spans="1:1" x14ac:dyDescent="0.25">
      <c r="A3368" t="s">
        <v>4663</v>
      </c>
    </row>
    <row r="3369" spans="1:1" x14ac:dyDescent="0.25">
      <c r="A3369" t="s">
        <v>4664</v>
      </c>
    </row>
    <row r="3370" spans="1:1" x14ac:dyDescent="0.25">
      <c r="A3370" t="s">
        <v>4665</v>
      </c>
    </row>
    <row r="3371" spans="1:1" x14ac:dyDescent="0.25">
      <c r="A3371" t="s">
        <v>4666</v>
      </c>
    </row>
    <row r="3372" spans="1:1" x14ac:dyDescent="0.25">
      <c r="A3372" t="s">
        <v>4667</v>
      </c>
    </row>
    <row r="3373" spans="1:1" x14ac:dyDescent="0.25">
      <c r="A3373" t="s">
        <v>4668</v>
      </c>
    </row>
    <row r="3374" spans="1:1" x14ac:dyDescent="0.25">
      <c r="A3374" t="s">
        <v>4669</v>
      </c>
    </row>
    <row r="3375" spans="1:1" x14ac:dyDescent="0.25">
      <c r="A3375" t="s">
        <v>4670</v>
      </c>
    </row>
    <row r="3376" spans="1:1" x14ac:dyDescent="0.25">
      <c r="A3376" t="s">
        <v>4671</v>
      </c>
    </row>
    <row r="3377" spans="1:1" x14ac:dyDescent="0.25">
      <c r="A3377" t="s">
        <v>4672</v>
      </c>
    </row>
    <row r="3378" spans="1:1" x14ac:dyDescent="0.25">
      <c r="A3378" t="s">
        <v>4673</v>
      </c>
    </row>
    <row r="3379" spans="1:1" x14ac:dyDescent="0.25">
      <c r="A3379" t="s">
        <v>4674</v>
      </c>
    </row>
    <row r="3380" spans="1:1" x14ac:dyDescent="0.25">
      <c r="A3380" t="s">
        <v>4675</v>
      </c>
    </row>
    <row r="3381" spans="1:1" x14ac:dyDescent="0.25">
      <c r="A3381" t="s">
        <v>4676</v>
      </c>
    </row>
    <row r="3382" spans="1:1" x14ac:dyDescent="0.25">
      <c r="A3382" t="s">
        <v>4677</v>
      </c>
    </row>
    <row r="3383" spans="1:1" x14ac:dyDescent="0.25">
      <c r="A3383" t="s">
        <v>4678</v>
      </c>
    </row>
    <row r="3384" spans="1:1" x14ac:dyDescent="0.25">
      <c r="A3384" t="s">
        <v>4679</v>
      </c>
    </row>
    <row r="3385" spans="1:1" x14ac:dyDescent="0.25">
      <c r="A3385" t="s">
        <v>4680</v>
      </c>
    </row>
    <row r="3386" spans="1:1" x14ac:dyDescent="0.25">
      <c r="A3386" t="s">
        <v>4681</v>
      </c>
    </row>
    <row r="3387" spans="1:1" x14ac:dyDescent="0.25">
      <c r="A3387" t="s">
        <v>4682</v>
      </c>
    </row>
    <row r="3388" spans="1:1" x14ac:dyDescent="0.25">
      <c r="A3388" t="s">
        <v>4683</v>
      </c>
    </row>
    <row r="3389" spans="1:1" x14ac:dyDescent="0.25">
      <c r="A3389" t="s">
        <v>4684</v>
      </c>
    </row>
    <row r="3390" spans="1:1" x14ac:dyDescent="0.25">
      <c r="A3390" t="s">
        <v>4685</v>
      </c>
    </row>
    <row r="3391" spans="1:1" x14ac:dyDescent="0.25">
      <c r="A3391" t="s">
        <v>4686</v>
      </c>
    </row>
    <row r="3392" spans="1:1" x14ac:dyDescent="0.25">
      <c r="A3392" t="s">
        <v>4687</v>
      </c>
    </row>
    <row r="3393" spans="1:1" x14ac:dyDescent="0.25">
      <c r="A3393" t="s">
        <v>4688</v>
      </c>
    </row>
    <row r="3394" spans="1:1" x14ac:dyDescent="0.25">
      <c r="A3394" t="s">
        <v>4689</v>
      </c>
    </row>
    <row r="3395" spans="1:1" x14ac:dyDescent="0.25">
      <c r="A3395" t="s">
        <v>4690</v>
      </c>
    </row>
    <row r="3396" spans="1:1" x14ac:dyDescent="0.25">
      <c r="A3396" t="s">
        <v>4691</v>
      </c>
    </row>
    <row r="3397" spans="1:1" x14ac:dyDescent="0.25">
      <c r="A3397" t="s">
        <v>4692</v>
      </c>
    </row>
    <row r="3398" spans="1:1" x14ac:dyDescent="0.25">
      <c r="A3398" t="s">
        <v>4693</v>
      </c>
    </row>
    <row r="3399" spans="1:1" x14ac:dyDescent="0.25">
      <c r="A3399" t="s">
        <v>4694</v>
      </c>
    </row>
    <row r="3400" spans="1:1" x14ac:dyDescent="0.25">
      <c r="A3400" t="s">
        <v>4695</v>
      </c>
    </row>
    <row r="3401" spans="1:1" x14ac:dyDescent="0.25">
      <c r="A3401" t="s">
        <v>4696</v>
      </c>
    </row>
    <row r="3402" spans="1:1" x14ac:dyDescent="0.25">
      <c r="A3402" t="s">
        <v>4697</v>
      </c>
    </row>
    <row r="3403" spans="1:1" x14ac:dyDescent="0.25">
      <c r="A3403" t="s">
        <v>4698</v>
      </c>
    </row>
    <row r="3404" spans="1:1" x14ac:dyDescent="0.25">
      <c r="A3404" t="s">
        <v>4699</v>
      </c>
    </row>
    <row r="3405" spans="1:1" x14ac:dyDescent="0.25">
      <c r="A3405" t="s">
        <v>4700</v>
      </c>
    </row>
    <row r="3406" spans="1:1" x14ac:dyDescent="0.25">
      <c r="A3406" t="s">
        <v>4701</v>
      </c>
    </row>
    <row r="3407" spans="1:1" x14ac:dyDescent="0.25">
      <c r="A3407" t="s">
        <v>4702</v>
      </c>
    </row>
    <row r="3408" spans="1:1" x14ac:dyDescent="0.25">
      <c r="A3408" t="s">
        <v>4703</v>
      </c>
    </row>
    <row r="3409" spans="1:1" x14ac:dyDescent="0.25">
      <c r="A3409" t="s">
        <v>4704</v>
      </c>
    </row>
    <row r="3410" spans="1:1" x14ac:dyDescent="0.25">
      <c r="A3410" t="s">
        <v>4705</v>
      </c>
    </row>
    <row r="3411" spans="1:1" x14ac:dyDescent="0.25">
      <c r="A3411" t="s">
        <v>4706</v>
      </c>
    </row>
    <row r="3412" spans="1:1" x14ac:dyDescent="0.25">
      <c r="A3412" t="s">
        <v>4707</v>
      </c>
    </row>
    <row r="3413" spans="1:1" x14ac:dyDescent="0.25">
      <c r="A3413" t="s">
        <v>4708</v>
      </c>
    </row>
    <row r="3414" spans="1:1" x14ac:dyDescent="0.25">
      <c r="A3414" t="s">
        <v>4709</v>
      </c>
    </row>
    <row r="3415" spans="1:1" x14ac:dyDescent="0.25">
      <c r="A3415" t="s">
        <v>4710</v>
      </c>
    </row>
    <row r="3416" spans="1:1" x14ac:dyDescent="0.25">
      <c r="A3416" t="s">
        <v>4711</v>
      </c>
    </row>
    <row r="3417" spans="1:1" x14ac:dyDescent="0.25">
      <c r="A3417" t="s">
        <v>4712</v>
      </c>
    </row>
    <row r="3418" spans="1:1" x14ac:dyDescent="0.25">
      <c r="A3418" t="s">
        <v>4713</v>
      </c>
    </row>
    <row r="3419" spans="1:1" x14ac:dyDescent="0.25">
      <c r="A3419" t="s">
        <v>4714</v>
      </c>
    </row>
    <row r="3420" spans="1:1" x14ac:dyDescent="0.25">
      <c r="A3420" t="s">
        <v>4715</v>
      </c>
    </row>
    <row r="3421" spans="1:1" x14ac:dyDescent="0.25">
      <c r="A3421" t="s">
        <v>4716</v>
      </c>
    </row>
    <row r="3422" spans="1:1" x14ac:dyDescent="0.25">
      <c r="A3422" t="s">
        <v>4717</v>
      </c>
    </row>
    <row r="3423" spans="1:1" x14ac:dyDescent="0.25">
      <c r="A3423" t="s">
        <v>4718</v>
      </c>
    </row>
    <row r="3424" spans="1:1" x14ac:dyDescent="0.25">
      <c r="A3424" t="s">
        <v>4719</v>
      </c>
    </row>
    <row r="3425" spans="1:1" x14ac:dyDescent="0.25">
      <c r="A3425" t="s">
        <v>4720</v>
      </c>
    </row>
    <row r="3426" spans="1:1" x14ac:dyDescent="0.25">
      <c r="A3426" t="s">
        <v>4721</v>
      </c>
    </row>
    <row r="3427" spans="1:1" x14ac:dyDescent="0.25">
      <c r="A3427" t="s">
        <v>4722</v>
      </c>
    </row>
    <row r="3428" spans="1:1" x14ac:dyDescent="0.25">
      <c r="A3428" t="s">
        <v>4723</v>
      </c>
    </row>
    <row r="3429" spans="1:1" x14ac:dyDescent="0.25">
      <c r="A3429" t="s">
        <v>4724</v>
      </c>
    </row>
    <row r="3430" spans="1:1" x14ac:dyDescent="0.25">
      <c r="A3430" t="s">
        <v>4725</v>
      </c>
    </row>
    <row r="3431" spans="1:1" x14ac:dyDescent="0.25">
      <c r="A3431" t="s">
        <v>4726</v>
      </c>
    </row>
    <row r="3432" spans="1:1" x14ac:dyDescent="0.25">
      <c r="A3432" t="s">
        <v>4727</v>
      </c>
    </row>
    <row r="3433" spans="1:1" x14ac:dyDescent="0.25">
      <c r="A3433" t="s">
        <v>4728</v>
      </c>
    </row>
    <row r="3434" spans="1:1" x14ac:dyDescent="0.25">
      <c r="A3434" t="s">
        <v>4729</v>
      </c>
    </row>
    <row r="3435" spans="1:1" x14ac:dyDescent="0.25">
      <c r="A3435" t="s">
        <v>4730</v>
      </c>
    </row>
    <row r="3436" spans="1:1" x14ac:dyDescent="0.25">
      <c r="A3436" t="s">
        <v>4731</v>
      </c>
    </row>
    <row r="3437" spans="1:1" x14ac:dyDescent="0.25">
      <c r="A3437" t="s">
        <v>4732</v>
      </c>
    </row>
    <row r="3438" spans="1:1" x14ac:dyDescent="0.25">
      <c r="A3438" t="s">
        <v>4733</v>
      </c>
    </row>
    <row r="3439" spans="1:1" x14ac:dyDescent="0.25">
      <c r="A3439" t="s">
        <v>4734</v>
      </c>
    </row>
    <row r="3440" spans="1:1" x14ac:dyDescent="0.25">
      <c r="A3440" t="s">
        <v>4735</v>
      </c>
    </row>
    <row r="3441" spans="1:1" x14ac:dyDescent="0.25">
      <c r="A3441" t="s">
        <v>4736</v>
      </c>
    </row>
    <row r="3442" spans="1:1" x14ac:dyDescent="0.25">
      <c r="A3442" t="s">
        <v>4737</v>
      </c>
    </row>
    <row r="3443" spans="1:1" x14ac:dyDescent="0.25">
      <c r="A3443" t="s">
        <v>4738</v>
      </c>
    </row>
    <row r="3444" spans="1:1" x14ac:dyDescent="0.25">
      <c r="A3444" t="s">
        <v>4739</v>
      </c>
    </row>
    <row r="3445" spans="1:1" x14ac:dyDescent="0.25">
      <c r="A3445" t="s">
        <v>4740</v>
      </c>
    </row>
    <row r="3446" spans="1:1" x14ac:dyDescent="0.25">
      <c r="A3446" t="s">
        <v>4741</v>
      </c>
    </row>
    <row r="3447" spans="1:1" x14ac:dyDescent="0.25">
      <c r="A3447" t="s">
        <v>4742</v>
      </c>
    </row>
    <row r="3448" spans="1:1" x14ac:dyDescent="0.25">
      <c r="A3448" t="s">
        <v>4743</v>
      </c>
    </row>
    <row r="3449" spans="1:1" x14ac:dyDescent="0.25">
      <c r="A3449" t="s">
        <v>4744</v>
      </c>
    </row>
    <row r="3450" spans="1:1" x14ac:dyDescent="0.25">
      <c r="A3450" t="s">
        <v>4745</v>
      </c>
    </row>
    <row r="3451" spans="1:1" x14ac:dyDescent="0.25">
      <c r="A3451" t="s">
        <v>4746</v>
      </c>
    </row>
    <row r="3452" spans="1:1" x14ac:dyDescent="0.25">
      <c r="A3452" t="s">
        <v>4747</v>
      </c>
    </row>
    <row r="3453" spans="1:1" x14ac:dyDescent="0.25">
      <c r="A3453" t="s">
        <v>4748</v>
      </c>
    </row>
    <row r="3454" spans="1:1" x14ac:dyDescent="0.25">
      <c r="A3454" t="s">
        <v>4749</v>
      </c>
    </row>
    <row r="3455" spans="1:1" x14ac:dyDescent="0.25">
      <c r="A3455" t="s">
        <v>4750</v>
      </c>
    </row>
    <row r="3456" spans="1:1" x14ac:dyDescent="0.25">
      <c r="A3456" t="s">
        <v>4751</v>
      </c>
    </row>
    <row r="3457" spans="1:1" x14ac:dyDescent="0.25">
      <c r="A3457" t="s">
        <v>4752</v>
      </c>
    </row>
    <row r="3458" spans="1:1" x14ac:dyDescent="0.25">
      <c r="A3458" t="s">
        <v>4753</v>
      </c>
    </row>
    <row r="3459" spans="1:1" x14ac:dyDescent="0.25">
      <c r="A3459" t="s">
        <v>4754</v>
      </c>
    </row>
    <row r="3460" spans="1:1" x14ac:dyDescent="0.25">
      <c r="A3460" t="s">
        <v>4755</v>
      </c>
    </row>
    <row r="3461" spans="1:1" x14ac:dyDescent="0.25">
      <c r="A3461" t="s">
        <v>4756</v>
      </c>
    </row>
    <row r="3462" spans="1:1" x14ac:dyDescent="0.25">
      <c r="A3462" t="s">
        <v>4757</v>
      </c>
    </row>
    <row r="3463" spans="1:1" x14ac:dyDescent="0.25">
      <c r="A3463" t="s">
        <v>4758</v>
      </c>
    </row>
    <row r="3464" spans="1:1" x14ac:dyDescent="0.25">
      <c r="A3464" t="s">
        <v>4759</v>
      </c>
    </row>
    <row r="3465" spans="1:1" x14ac:dyDescent="0.25">
      <c r="A3465" t="s">
        <v>4760</v>
      </c>
    </row>
    <row r="3466" spans="1:1" x14ac:dyDescent="0.25">
      <c r="A3466" t="s">
        <v>4761</v>
      </c>
    </row>
    <row r="3467" spans="1:1" x14ac:dyDescent="0.25">
      <c r="A3467" t="s">
        <v>4762</v>
      </c>
    </row>
    <row r="3468" spans="1:1" x14ac:dyDescent="0.25">
      <c r="A3468" t="s">
        <v>4763</v>
      </c>
    </row>
    <row r="3469" spans="1:1" x14ac:dyDescent="0.25">
      <c r="A3469" t="s">
        <v>4764</v>
      </c>
    </row>
    <row r="3470" spans="1:1" x14ac:dyDescent="0.25">
      <c r="A3470" t="s">
        <v>4765</v>
      </c>
    </row>
    <row r="3471" spans="1:1" x14ac:dyDescent="0.25">
      <c r="A3471" t="s">
        <v>4766</v>
      </c>
    </row>
    <row r="3472" spans="1:1" x14ac:dyDescent="0.25">
      <c r="A3472" t="s">
        <v>4767</v>
      </c>
    </row>
    <row r="3473" spans="1:1" x14ac:dyDescent="0.25">
      <c r="A3473" t="s">
        <v>4768</v>
      </c>
    </row>
    <row r="3474" spans="1:1" x14ac:dyDescent="0.25">
      <c r="A3474" t="s">
        <v>4769</v>
      </c>
    </row>
    <row r="3475" spans="1:1" x14ac:dyDescent="0.25">
      <c r="A3475" t="s">
        <v>4770</v>
      </c>
    </row>
  </sheetData>
  <conditionalFormatting sqref="A1:A1048576">
    <cfRule type="containsText" dxfId="0"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1200</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1315</v>
      </c>
    </row>
    <row r="2" spans="1:4" ht="15.75" thickBot="1" x14ac:dyDescent="0.3"/>
    <row r="3" spans="1:4" ht="15.75" thickTop="1" x14ac:dyDescent="0.25">
      <c r="A3" s="188" t="s">
        <v>1320</v>
      </c>
      <c r="B3" s="189"/>
      <c r="C3" s="189"/>
      <c r="D3" s="190"/>
    </row>
    <row r="4" spans="1:4" ht="15.75" thickBot="1" x14ac:dyDescent="0.3">
      <c r="A4" s="107" t="s">
        <v>1316</v>
      </c>
      <c r="B4" s="108" t="s">
        <v>1317</v>
      </c>
      <c r="C4" s="108" t="s">
        <v>1318</v>
      </c>
      <c r="D4" s="109" t="s">
        <v>1319</v>
      </c>
    </row>
    <row r="5" spans="1:4" ht="15.75" thickTop="1" x14ac:dyDescent="0.25">
      <c r="A5" s="116" t="s">
        <v>14</v>
      </c>
      <c r="B5" s="110" t="s">
        <v>14</v>
      </c>
      <c r="C5" s="111" t="s">
        <v>1330</v>
      </c>
      <c r="D5" s="117"/>
    </row>
    <row r="6" spans="1:4" ht="60" x14ac:dyDescent="0.25">
      <c r="A6" s="118" t="s">
        <v>1321</v>
      </c>
      <c r="B6" s="112" t="s">
        <v>128</v>
      </c>
      <c r="C6" s="113" t="s">
        <v>1322</v>
      </c>
      <c r="D6" s="119" t="s">
        <v>1323</v>
      </c>
    </row>
    <row r="7" spans="1:4" ht="60" x14ac:dyDescent="0.25">
      <c r="A7" s="118" t="s">
        <v>1324</v>
      </c>
      <c r="B7" s="112" t="s">
        <v>129</v>
      </c>
      <c r="C7" s="113" t="s">
        <v>1325</v>
      </c>
      <c r="D7" s="119" t="s">
        <v>1326</v>
      </c>
    </row>
    <row r="8" spans="1:4" ht="30.75" thickBot="1" x14ac:dyDescent="0.3">
      <c r="A8" s="120" t="s">
        <v>1327</v>
      </c>
      <c r="B8" s="121" t="s">
        <v>130</v>
      </c>
      <c r="C8" s="122" t="s">
        <v>1328</v>
      </c>
      <c r="D8" s="123" t="s">
        <v>1329</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1315</v>
      </c>
    </row>
    <row r="2" spans="1:6" ht="15.75" thickBot="1" x14ac:dyDescent="0.3"/>
    <row r="3" spans="1:6" s="7" customFormat="1" x14ac:dyDescent="0.25">
      <c r="A3" s="185" t="s">
        <v>1353</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1334</v>
      </c>
      <c r="C5" s="17" t="s">
        <v>1334</v>
      </c>
      <c r="D5" s="51" t="s">
        <v>1346</v>
      </c>
      <c r="E5" s="132" t="s">
        <v>1335</v>
      </c>
    </row>
    <row r="6" spans="1:6" s="7" customFormat="1" ht="150" x14ac:dyDescent="0.25">
      <c r="A6" s="125" t="s">
        <v>168</v>
      </c>
      <c r="B6" s="9" t="s">
        <v>1347</v>
      </c>
      <c r="C6" s="9" t="s">
        <v>1348</v>
      </c>
      <c r="D6" s="10" t="s">
        <v>1349</v>
      </c>
      <c r="E6" s="126" t="s">
        <v>1350</v>
      </c>
    </row>
    <row r="7" spans="1:6" s="7" customFormat="1" ht="75.75" thickBot="1" x14ac:dyDescent="0.3">
      <c r="A7" s="127" t="s">
        <v>168</v>
      </c>
      <c r="B7" s="128" t="s">
        <v>1340</v>
      </c>
      <c r="C7" s="128" t="s">
        <v>1351</v>
      </c>
      <c r="D7" s="129" t="s">
        <v>1352</v>
      </c>
      <c r="E7" s="130" t="s">
        <v>1338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1345</v>
      </c>
      <c r="B16" s="192"/>
      <c r="C16" s="192"/>
      <c r="D16" s="192"/>
      <c r="E16" s="193"/>
    </row>
    <row r="17" spans="1:5" ht="15.75" thickBot="1" x14ac:dyDescent="0.3">
      <c r="A17" s="107" t="s">
        <v>1331</v>
      </c>
      <c r="B17" s="108" t="s">
        <v>1354</v>
      </c>
      <c r="C17" s="124" t="s">
        <v>1332</v>
      </c>
      <c r="D17" s="109" t="s">
        <v>1333</v>
      </c>
      <c r="E17" s="108" t="s">
        <v>1358</v>
      </c>
    </row>
    <row r="18" spans="1:5" ht="90.75" thickTop="1" x14ac:dyDescent="0.25">
      <c r="A18" s="133" t="s">
        <v>1334</v>
      </c>
      <c r="B18" s="110" t="s">
        <v>1334</v>
      </c>
      <c r="C18" s="111" t="s">
        <v>1336</v>
      </c>
      <c r="D18" s="135" t="s">
        <v>1335</v>
      </c>
      <c r="E18" s="140" t="s">
        <v>1335</v>
      </c>
    </row>
    <row r="19" spans="1:5" s="5" customFormat="1" ht="30" x14ac:dyDescent="0.25">
      <c r="A19" s="134" t="s">
        <v>1344</v>
      </c>
      <c r="B19" s="112" t="s">
        <v>1348</v>
      </c>
      <c r="C19" s="113" t="s">
        <v>1341</v>
      </c>
      <c r="D19" s="136" t="s">
        <v>1342</v>
      </c>
      <c r="E19" s="119"/>
    </row>
    <row r="20" spans="1:5" ht="90.75" thickBot="1" x14ac:dyDescent="0.3">
      <c r="A20" s="137" t="s">
        <v>1343</v>
      </c>
      <c r="B20" s="114" t="s">
        <v>1351</v>
      </c>
      <c r="C20" s="115" t="s">
        <v>1337</v>
      </c>
      <c r="D20" s="138" t="s">
        <v>1338</v>
      </c>
      <c r="E20" s="139" t="s">
        <v>1359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2015-03-30T16:12:06Z</dcterms:modified>
</cp:coreProperties>
</file>