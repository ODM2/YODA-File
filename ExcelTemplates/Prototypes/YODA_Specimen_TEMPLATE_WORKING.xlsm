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8.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activeTab="3"/>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functionGroups builtInGroupCount="17"/>
  <definedNames>
    <definedName name="_xlnm._FilterDatabase" localSheetId="16" hidden="1">'YODA File'!$A$1:$A$9109</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N9" i="23" l="1"/>
  <c r="AK8" i="11"/>
  <c r="AJ8" i="11"/>
  <c r="AH8" i="11"/>
  <c r="AG8" i="11"/>
  <c r="AE8" i="11"/>
  <c r="AC8" i="11"/>
  <c r="AA8" i="11"/>
  <c r="S8" i="11"/>
  <c r="R8" i="11"/>
  <c r="Q8" i="11"/>
  <c r="O8" i="11"/>
  <c r="L8" i="11"/>
  <c r="I8" i="11"/>
  <c r="G8" i="11"/>
  <c r="D8" i="11"/>
  <c r="AK7" i="11"/>
  <c r="AJ7" i="11"/>
  <c r="AH7" i="11"/>
  <c r="AG7" i="11"/>
  <c r="AE7" i="11"/>
  <c r="AC7" i="11"/>
  <c r="AA7" i="11"/>
  <c r="S7" i="11"/>
  <c r="R7" i="11"/>
  <c r="Q7" i="11"/>
  <c r="O7" i="11"/>
  <c r="L7" i="11"/>
  <c r="I7" i="11"/>
  <c r="G7" i="11"/>
  <c r="D7" i="11"/>
  <c r="AK6" i="11"/>
  <c r="AJ6" i="11"/>
  <c r="AH6" i="11"/>
  <c r="AG6" i="11"/>
  <c r="AE6" i="11"/>
  <c r="AC6" i="11"/>
  <c r="AA6" i="11"/>
  <c r="S6" i="11"/>
  <c r="R6" i="11"/>
  <c r="Q6" i="11"/>
  <c r="O6" i="11"/>
  <c r="L6" i="11"/>
  <c r="I6" i="11"/>
  <c r="G6" i="11"/>
  <c r="D6" i="11"/>
  <c r="AK5" i="11"/>
  <c r="AJ5" i="11"/>
  <c r="AH5" i="11"/>
  <c r="AG5" i="11"/>
  <c r="AE5" i="11"/>
  <c r="AC5" i="11"/>
  <c r="AA5" i="11"/>
  <c r="S5" i="11"/>
  <c r="R5" i="11"/>
  <c r="Q5" i="11"/>
  <c r="O5" i="11"/>
  <c r="L5" i="11"/>
  <c r="I5" i="11"/>
  <c r="G5" i="11"/>
  <c r="D5" i="11"/>
  <c r="BI4" i="11"/>
  <c r="BE4" i="11"/>
  <c r="AX4" i="11"/>
  <c r="AK4" i="11"/>
  <c r="AJ4" i="11"/>
  <c r="AH4" i="11"/>
  <c r="AG4" i="11"/>
  <c r="AE4" i="11"/>
  <c r="AC4" i="11"/>
  <c r="AA4" i="11"/>
  <c r="S4" i="11"/>
  <c r="R4" i="11"/>
  <c r="Q4" i="11"/>
  <c r="O4" i="11"/>
  <c r="N4" i="11"/>
  <c r="M4" i="11"/>
  <c r="L4" i="11"/>
  <c r="K4" i="11"/>
  <c r="J4" i="11"/>
  <c r="I4" i="11"/>
  <c r="G4" i="11"/>
  <c r="D4" i="11"/>
  <c r="C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J3" i="11"/>
  <c r="AI3" i="11"/>
  <c r="AF3" i="11"/>
  <c r="AE3" i="11"/>
  <c r="AD3" i="11"/>
  <c r="AC3" i="11"/>
  <c r="AB3" i="11"/>
  <c r="AA3" i="11"/>
  <c r="V3" i="11"/>
  <c r="U3" i="11"/>
  <c r="T3" i="11"/>
  <c r="S3" i="11"/>
  <c r="R3" i="11"/>
  <c r="Q3" i="11"/>
  <c r="P3" i="11"/>
  <c r="O3" i="11"/>
  <c r="M3" i="11"/>
  <c r="L3" i="11"/>
  <c r="K3" i="11"/>
  <c r="J3" i="11"/>
  <c r="K2" i="11"/>
  <c r="O13" i="2"/>
  <c r="O14" i="2"/>
  <c r="O15" i="2"/>
  <c r="O16" i="2"/>
  <c r="O17" i="2"/>
  <c r="O18" i="2"/>
  <c r="O19" i="2"/>
  <c r="O20"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BH4" i="11"/>
  <c r="AM8" i="11"/>
  <c r="P7" i="11"/>
  <c r="AO6" i="11"/>
  <c r="AN5" i="11"/>
  <c r="AD5" i="11"/>
  <c r="AN4" i="11"/>
  <c r="AD4" i="11"/>
  <c r="P8" i="11"/>
  <c r="AO7" i="11"/>
  <c r="AN6" i="11"/>
  <c r="AD6" i="11"/>
  <c r="AM5" i="11"/>
  <c r="AM4" i="11"/>
  <c r="AO8" i="11"/>
  <c r="AN7" i="11"/>
  <c r="AD7" i="11"/>
  <c r="AM6" i="11"/>
  <c r="P5" i="11"/>
  <c r="P4" i="11"/>
  <c r="AN8" i="11"/>
  <c r="AD8" i="11"/>
  <c r="AM7" i="11"/>
  <c r="P6" i="11"/>
  <c r="AO5" i="11"/>
  <c r="AO4" i="11"/>
  <c r="O21" i="2"/>
  <c r="K13" i="2"/>
  <c r="K14" i="2"/>
  <c r="K15" i="2"/>
  <c r="K16" i="2"/>
  <c r="AB20" i="4"/>
  <c r="A13" i="4"/>
  <c r="I24" i="7"/>
  <c r="AB21" i="4"/>
  <c r="A14" i="4"/>
  <c r="AB22" i="4"/>
  <c r="A15" i="4"/>
  <c r="A16" i="4"/>
  <c r="AB23" i="4"/>
  <c r="A17" i="4"/>
  <c r="A18" i="4"/>
  <c r="AB24" i="4"/>
  <c r="AB25" i="4" s="1"/>
  <c r="A19" i="4"/>
  <c r="A20" i="4"/>
  <c r="A21" i="4"/>
  <c r="A22" i="4"/>
  <c r="A23" i="4"/>
  <c r="A24" i="4"/>
  <c r="A25" i="4"/>
  <c r="A26" i="4"/>
  <c r="A27" i="4" s="1"/>
  <c r="A28" i="4"/>
  <c r="K17" i="2"/>
  <c r="K18" i="2"/>
  <c r="K19" i="2"/>
  <c r="K20" i="2" s="1"/>
  <c r="Y3" i="11" l="1"/>
  <c r="AA2" i="11"/>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Q9" i="2" l="1"/>
  <c r="D2" i="15" l="1"/>
  <c r="G11" i="4"/>
  <c r="T11" i="4"/>
  <c r="S11" i="4"/>
  <c r="I9" i="2" l="1"/>
  <c r="AP6" i="11" l="1"/>
  <c r="AP7" i="11"/>
  <c r="AP8" i="11"/>
  <c r="AP5" i="11"/>
  <c r="AP4" i="11"/>
  <c r="F3" i="21"/>
  <c r="G3" i="21"/>
  <c r="K3" i="21" s="1"/>
  <c r="H3" i="21"/>
  <c r="Z11" i="4"/>
  <c r="Y11" i="4"/>
  <c r="X11" i="4"/>
  <c r="V11" i="4"/>
  <c r="Q11" i="4"/>
  <c r="F11" i="4"/>
  <c r="L11" i="4"/>
  <c r="E11" i="4"/>
  <c r="M11" i="4"/>
  <c r="W11" i="4"/>
  <c r="AA11" i="4"/>
  <c r="N11" i="4"/>
  <c r="O11" i="4"/>
  <c r="I11" i="4"/>
  <c r="R11" i="4"/>
  <c r="J11" i="4"/>
  <c r="K11" i="4"/>
  <c r="H11" i="4"/>
  <c r="P11" i="4"/>
  <c r="U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M9" i="2" l="1"/>
  <c r="F8" i="21"/>
  <c r="G8" i="21"/>
  <c r="Y5" i="11" l="1"/>
  <c r="Y4" i="11"/>
  <c r="Y6" i="11"/>
  <c r="Y7" i="11"/>
  <c r="Y8" i="11"/>
  <c r="G8" i="23"/>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P15" i="23" l="1"/>
  <c r="N15" i="23"/>
  <c r="P18" i="23"/>
  <c r="N18" i="23"/>
  <c r="O18" i="23" s="1"/>
  <c r="N8" i="23"/>
  <c r="N6" i="23"/>
  <c r="O6" i="23" s="1"/>
  <c r="P19" i="23"/>
  <c r="N19" i="23"/>
  <c r="N5" i="23"/>
  <c r="N3" i="23"/>
  <c r="N11" i="23"/>
  <c r="N12" i="23"/>
  <c r="N13" i="23"/>
  <c r="O13" i="23" s="1"/>
  <c r="P9" i="23"/>
  <c r="N7" i="23"/>
  <c r="O7" i="23" s="1"/>
  <c r="N4" i="23"/>
  <c r="N2" i="23"/>
  <c r="P16" i="23"/>
  <c r="N16" i="23"/>
  <c r="N10" i="23"/>
  <c r="O10" i="23" s="1"/>
  <c r="P17" i="23"/>
  <c r="N17" i="23"/>
  <c r="N14" i="23"/>
  <c r="O14" i="23" s="1"/>
  <c r="O17" i="23"/>
  <c r="O5" i="23"/>
  <c r="O9" i="23"/>
  <c r="O15" i="23"/>
  <c r="O2" i="23"/>
  <c r="O8" i="23"/>
  <c r="O3" i="23"/>
  <c r="O12" i="23"/>
  <c r="O16" i="23"/>
  <c r="O11" i="23"/>
  <c r="O4" i="23"/>
  <c r="P8" i="23"/>
  <c r="P3" i="23"/>
  <c r="P12" i="23"/>
  <c r="P4" i="23"/>
  <c r="P11" i="23"/>
  <c r="P7" i="23"/>
  <c r="P10" i="23"/>
  <c r="P5" i="23"/>
  <c r="P13" i="23"/>
  <c r="P6" i="23"/>
  <c r="P2" i="23"/>
  <c r="P14" i="23"/>
  <c r="L12" i="21"/>
  <c r="L2" i="21"/>
  <c r="Q15" i="23"/>
  <c r="I2" i="21"/>
  <c r="I4" i="21"/>
  <c r="I16" i="21"/>
  <c r="I6" i="21"/>
  <c r="L10" i="21"/>
  <c r="L6" i="21"/>
  <c r="L11" i="21"/>
  <c r="L13" i="21"/>
  <c r="L16" i="21"/>
  <c r="I5" i="21"/>
  <c r="L9" i="21"/>
  <c r="L4" i="21"/>
  <c r="L5" i="21"/>
  <c r="Q19" i="23"/>
  <c r="Q17" i="23"/>
  <c r="J2" i="21" l="1"/>
  <c r="J6" i="21"/>
  <c r="J16" i="21"/>
  <c r="Q13" i="23"/>
  <c r="Q11" i="23"/>
  <c r="T7" i="11"/>
  <c r="Q10" i="23"/>
  <c r="AU4" i="11"/>
  <c r="BG4" i="11"/>
  <c r="Q16" i="23"/>
  <c r="BO4" i="11"/>
  <c r="Q2" i="23"/>
  <c r="Q4" i="23"/>
  <c r="BF4" i="11"/>
  <c r="Q5" i="23"/>
  <c r="Q9" i="23"/>
  <c r="T6" i="11"/>
  <c r="Q8" i="23"/>
  <c r="Q12" i="23"/>
  <c r="T5" i="11"/>
  <c r="Q3" i="23"/>
  <c r="T4" i="11"/>
  <c r="Q14" i="23"/>
  <c r="Q18" i="23"/>
  <c r="Q7" i="23"/>
  <c r="CD5" i="11"/>
  <c r="Q6" i="23"/>
  <c r="T8" i="11"/>
  <c r="BX4" i="11" l="1"/>
  <c r="BW4" i="11"/>
  <c r="M2" i="11"/>
  <c r="J2" i="11"/>
  <c r="B5" i="11"/>
  <c r="BR4" i="11"/>
  <c r="BP4" i="11"/>
  <c r="BQ4" i="11"/>
  <c r="BN4" i="11"/>
  <c r="E4" i="20" l="1"/>
  <c r="AJ2" i="11" l="1"/>
  <c r="V4" i="4" l="1"/>
  <c r="I9" i="21"/>
  <c r="L3" i="21"/>
  <c r="I14" i="21" l="1"/>
  <c r="J14" i="21" s="1"/>
  <c r="I13" i="21"/>
  <c r="J13" i="21" s="1"/>
  <c r="I8" i="21"/>
  <c r="J8" i="21" s="1"/>
  <c r="I10" i="21"/>
  <c r="J10" i="21" s="1"/>
  <c r="I15" i="21"/>
  <c r="J15" i="21" s="1"/>
  <c r="I12" i="21"/>
  <c r="J12" i="21" s="1"/>
  <c r="I11" i="21"/>
  <c r="J11" i="21" s="1"/>
  <c r="A7" i="11"/>
  <c r="A6" i="11"/>
  <c r="A5" i="11"/>
  <c r="A4" i="11"/>
  <c r="A3" i="11"/>
  <c r="I7" i="21"/>
  <c r="K7" i="21"/>
  <c r="K8" i="21"/>
  <c r="K14" i="21"/>
  <c r="K15" i="21"/>
  <c r="AL5" i="11"/>
  <c r="AL8" i="11"/>
  <c r="V5" i="4"/>
  <c r="AL6" i="11"/>
  <c r="AL7" i="11"/>
  <c r="I3" i="21"/>
  <c r="AL4" i="11"/>
  <c r="AW4" i="11"/>
  <c r="AT4" i="11"/>
  <c r="BK4" i="11"/>
  <c r="AV4" i="11"/>
  <c r="BL4" i="11"/>
  <c r="BV4" i="11" l="1"/>
  <c r="BU4" i="11"/>
  <c r="BT4" i="11"/>
  <c r="BC7" i="11"/>
  <c r="AQ7" i="11"/>
  <c r="W7" i="11"/>
  <c r="BA5" i="11"/>
  <c r="BA4" i="11"/>
  <c r="BC8" i="11"/>
  <c r="AQ8" i="11"/>
  <c r="W8" i="11"/>
  <c r="BA6" i="11"/>
  <c r="BD4" i="11"/>
  <c r="AZ4" i="11"/>
  <c r="BA7" i="11"/>
  <c r="BC5" i="11"/>
  <c r="AQ5" i="11"/>
  <c r="W5" i="11"/>
  <c r="BC4" i="11"/>
  <c r="AQ4" i="11"/>
  <c r="W4" i="11"/>
  <c r="BA8" i="11"/>
  <c r="BC6" i="11"/>
  <c r="AQ6" i="11"/>
  <c r="W6" i="11"/>
  <c r="BT2" i="11"/>
  <c r="AZ2" i="11"/>
  <c r="BS2" i="11"/>
  <c r="BB2" i="11"/>
  <c r="BD2" i="11"/>
  <c r="BA2" i="11"/>
  <c r="BC2" i="11"/>
  <c r="AQ2" i="11"/>
  <c r="AY4" i="11"/>
  <c r="BB4" i="11" s="1"/>
  <c r="Z2" i="11"/>
  <c r="J7" i="21"/>
  <c r="J3" i="21"/>
  <c r="H5" i="7"/>
  <c r="U4" i="11"/>
  <c r="L7" i="21"/>
  <c r="L15" i="21"/>
  <c r="U7" i="11"/>
  <c r="U5" i="11"/>
  <c r="BJ4" i="11"/>
  <c r="U8" i="11"/>
  <c r="U6" i="11"/>
  <c r="G2" i="11" l="1"/>
  <c r="H6" i="7"/>
  <c r="V8" i="11"/>
  <c r="V4" i="11"/>
  <c r="L8" i="21"/>
  <c r="V7" i="11"/>
  <c r="V6" i="11"/>
  <c r="V5" i="11"/>
  <c r="L14" i="21"/>
  <c r="Z5" i="11" l="1"/>
  <c r="Z6" i="11"/>
  <c r="Z7" i="11"/>
  <c r="Z4" i="11"/>
  <c r="Z8" i="11"/>
  <c r="H7" i="11"/>
  <c r="H8" i="11"/>
  <c r="H5" i="11"/>
  <c r="H4" i="11"/>
  <c r="H6" i="11"/>
  <c r="H3" i="11"/>
  <c r="H2" i="11"/>
  <c r="H4" i="7"/>
  <c r="F6" i="11" l="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K5" i="11"/>
  <c r="BL5" i="11"/>
  <c r="BE5" i="11" l="1"/>
  <c r="BI5" i="11"/>
  <c r="AX5" i="11"/>
  <c r="AY5" i="11"/>
  <c r="AS5" i="11"/>
  <c r="AR6" i="11"/>
  <c r="E7" i="13"/>
  <c r="F5" i="12"/>
  <c r="F6" i="8"/>
  <c r="F4" i="9"/>
  <c r="E22" i="1"/>
  <c r="BH5" i="11"/>
  <c r="AV5" i="11"/>
  <c r="AT5" i="11"/>
  <c r="AW5" i="11"/>
  <c r="BK6" i="11"/>
  <c r="BL6" i="11"/>
  <c r="BM5" i="11"/>
  <c r="BJ5" i="11"/>
  <c r="AU5" i="11"/>
  <c r="BG5" i="11"/>
  <c r="AZ5" i="11" l="1"/>
  <c r="BB5" i="11"/>
  <c r="BD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BH6" i="11"/>
  <c r="AV6" i="11"/>
  <c r="AT6" i="11"/>
  <c r="AW6" i="11"/>
  <c r="BK7" i="11"/>
  <c r="BL7" i="11"/>
  <c r="AU6" i="11"/>
  <c r="BO5" i="11"/>
  <c r="BF5" i="11"/>
  <c r="BM6" i="11"/>
  <c r="BJ6" i="11"/>
  <c r="A3" i="15"/>
  <c r="C3" i="15"/>
  <c r="BO6" i="11"/>
  <c r="BF6" i="11"/>
  <c r="BG6" i="11"/>
  <c r="D3" i="15" l="1"/>
  <c r="BW6" i="11"/>
  <c r="BV6" i="11"/>
  <c r="BX6" i="11"/>
  <c r="BV5" i="11"/>
  <c r="BX5" i="11"/>
  <c r="BW5" i="11"/>
  <c r="BS5" i="11"/>
  <c r="BS6" i="11"/>
  <c r="BB6" i="11"/>
  <c r="BD6" i="11"/>
  <c r="AZ6" i="11"/>
  <c r="BT6" i="11"/>
  <c r="BI7" i="11"/>
  <c r="AX7" i="11"/>
  <c r="BE7" i="11"/>
  <c r="AY7" i="11"/>
  <c r="B3" i="15"/>
  <c r="AS7" i="11"/>
  <c r="AR8" i="11"/>
  <c r="BR6" i="11"/>
  <c r="BP6" i="11"/>
  <c r="BQ5" i="11"/>
  <c r="BN5" i="11"/>
  <c r="BN6" i="11"/>
  <c r="BR5" i="11"/>
  <c r="BH7" i="11"/>
  <c r="BQ6" i="11"/>
  <c r="BP5" i="11"/>
  <c r="AT7" i="11"/>
  <c r="AW7" i="11"/>
  <c r="AV7" i="11"/>
  <c r="BL8" i="11"/>
  <c r="BK8" i="11"/>
  <c r="BJ7" i="11"/>
  <c r="BM7" i="11"/>
  <c r="AU7" i="11"/>
  <c r="BO7" i="11"/>
  <c r="BG7" i="11"/>
  <c r="BF7" i="11"/>
  <c r="BU6" i="11" l="1"/>
  <c r="BU5" i="11"/>
  <c r="BX7" i="11"/>
  <c r="BW7" i="11"/>
  <c r="BV7" i="11"/>
  <c r="BS7" i="11"/>
  <c r="BT7" i="11"/>
  <c r="BB7" i="11"/>
  <c r="BD7" i="11"/>
  <c r="AZ7" i="11"/>
  <c r="BI8" i="11"/>
  <c r="AX8" i="11"/>
  <c r="BE8" i="11"/>
  <c r="AY8" i="11"/>
  <c r="AS8" i="11"/>
  <c r="Y2" i="11"/>
  <c r="BN7" i="11"/>
  <c r="BQ7" i="11"/>
  <c r="BH8" i="11"/>
  <c r="BP7" i="11"/>
  <c r="BR7" i="11"/>
  <c r="AT8" i="11"/>
  <c r="AV8" i="11"/>
  <c r="AW8" i="11"/>
  <c r="BJ8" i="11"/>
  <c r="AU8" i="11"/>
  <c r="BF8" i="11"/>
  <c r="BG8" i="11"/>
  <c r="BM8" i="11"/>
  <c r="BO8" i="11"/>
  <c r="BU7" i="11" l="1"/>
  <c r="BX8" i="11"/>
  <c r="BW8" i="11"/>
  <c r="BV8" i="11"/>
  <c r="BS8" i="11"/>
  <c r="BT8" i="11"/>
  <c r="BD8" i="11"/>
  <c r="AZ8" i="11"/>
  <c r="BB8" i="11"/>
  <c r="V3" i="4"/>
  <c r="BP8" i="11"/>
  <c r="BR8" i="11"/>
  <c r="BQ8" i="11"/>
  <c r="BN8" i="11"/>
  <c r="BU8" i="11" l="1"/>
  <c r="BU2" i="11" l="1"/>
  <c r="BX2" i="11"/>
  <c r="BX3" i="11"/>
  <c r="BW2" i="11"/>
  <c r="BU3" i="11"/>
  <c r="BV2" i="11"/>
  <c r="BW3" i="11"/>
  <c r="BV3"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<sst xmlns="http://schemas.openxmlformats.org/spreadsheetml/2006/main" count="12414" uniqueCount="10890">
  <si>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</si>
  <si>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</si>
  <si>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</si>
  <si>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</si>
  <si>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</si>
  <si>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</si>
  <si>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</si>
  <si>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</si>
  <si>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</si>
  <si>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</si>
  <si>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</si>
  <si>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</si>
  <si>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</si>
  <si>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</si>
  <si>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</si>
  <si>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</si>
  <si>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</si>
  <si>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</si>
  <si>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</si>
  <si>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</si>
  <si>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</si>
  <si>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</si>
  <si>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</si>
  <si>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</si>
  <si>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</si>
  <si>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</si>
  <si>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</si>
  <si>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</si>
  <si>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</si>
  <si>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</si>
  <si>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</si>
  <si>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</si>
  <si>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</si>
  <si>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</si>
  <si>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</si>
  <si>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</si>
  <si>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</si>
  <si>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</si>
  <si>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</si>
  <si>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</si>
  <si>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</si>
  <si>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</si>
  <si>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</si>
  <si>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</si>
  <si>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</si>
  <si>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</si>
  <si>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</si>
  <si>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</si>
  <si>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</si>
  <si>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</si>
  <si>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</si>
  <si>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</si>
  <si>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</si>
  <si>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</si>
  <si>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</si>
  <si>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</si>
  <si>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</si>
  <si>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</si>
  <si>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</si>
  <si>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</si>
  <si>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</si>
  <si>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</si>
  <si>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</si>
  <si>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</si>
  <si>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</si>
  <si>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</si>
  <si>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</si>
  <si>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</si>
  <si>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</si>
  <si>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</si>
  <si>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</si>
  <si>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</si>
  <si>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</si>
  <si>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</si>
  <si>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</si>
  <si>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</si>
  <si>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</si>
  <si>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</si>
  <si>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</si>
  <si>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</si>
  <si>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</si>
  <si>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</si>
  <si>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</si>
  <si>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</si>
  <si>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</si>
  <si>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</si>
  <si>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</si>
  <si>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</si>
  <si>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</si>
  <si>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</si>
  <si>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</si>
  <si>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</si>
  <si>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</si>
  <si>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</si>
  <si>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</si>
  <si>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</si>
  <si>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</si>
  <si>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</si>
  <si>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</si>
  <si>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</si>
  <si>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</si>
  <si>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</si>
  <si>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</si>
  <si>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</si>
  <si>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</si>
  <si>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</si>
  <si>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</si>
  <si>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</si>
  <si>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</si>
  <si>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</si>
  <si>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</si>
  <si>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</si>
  <si>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</si>
  <si>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</si>
  <si>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</si>
  <si>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</si>
  <si>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</si>
  <si>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</si>
  <si>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</si>
  <si>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</si>
  <si>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</si>
  <si>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</si>
  <si>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</si>
  <si>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</si>
  <si>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</si>
  <si>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</si>
  <si>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</si>
  <si>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</si>
  <si>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</si>
  <si>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</si>
  <si>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</si>
  <si>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</si>
  <si>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</si>
  <si>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</si>
  <si>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</si>
  <si>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</si>
  <si>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</si>
  <si>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</si>
  <si>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</si>
  <si>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</si>
  <si>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</si>
  <si>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</si>
  <si>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</si>
  <si>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</si>
  <si>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</si>
  <si>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</si>
  <si>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</si>
  <si>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</si>
  <si>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</si>
  <si>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</si>
  <si>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</si>
  <si>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</si>
  <si>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</si>
  <si>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</si>
  <si>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</si>
  <si>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</si>
  <si>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</si>
  <si>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</si>
  <si>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</si>
  <si>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</si>
  <si>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</si>
  <si>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</si>
  <si>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</si>
  <si>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</si>
  <si>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</si>
  <si>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</si>
  <si>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</si>
  <si>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</si>
  <si>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</si>
  <si>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</si>
  <si>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</si>
  <si>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</si>
  <si>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</si>
  <si>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</si>
  <si>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</si>
  <si>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</si>
  <si>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</si>
  <si>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</si>
  <si>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</si>
  <si>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</si>
  <si>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</si>
  <si>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</si>
  <si>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</si>
  <si>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</si>
  <si>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</si>
  <si>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</si>
  <si>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</si>
  <si>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</si>
  <si>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</si>
  <si>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</si>
  <si>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</si>
  <si>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</si>
  <si>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</si>
  <si>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</si>
  <si>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</si>
  <si>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</si>
  <si>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</si>
  <si>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</si>
  <si>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</si>
  <si>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</si>
  <si>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</si>
  <si>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</si>
  <si>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</si>
  <si>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</si>
  <si>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</si>
  <si>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</si>
  <si>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</si>
  <si>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</si>
  <si>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</si>
  <si>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</si>
  <si>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</si>
  <si>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</si>
  <si>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</si>
  <si>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</si>
  <si>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</si>
  <si>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</si>
  <si>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</si>
  <si>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</si>
  <si>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</si>
  <si>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</si>
  <si>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</si>
  <si>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</si>
  <si>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</si>
  <si>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</si>
  <si>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</si>
  <si>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</si>
  <si>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</si>
  <si>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</si>
  <si>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</si>
  <si>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</si>
  <si>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</si>
  <si>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</si>
  <si>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</si>
  <si>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</si>
  <si>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</si>
  <si>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</si>
  <si>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</si>
  <si>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</si>
  <si>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</si>
  <si>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</si>
  <si>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</si>
  <si>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</si>
  <si>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</si>
  <si>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</si>
  <si>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</si>
  <si>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</si>
  <si>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</si>
  <si>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</si>
  <si>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</si>
  <si>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</si>
  <si>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</si>
  <si>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</si>
  <si>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</si>
  <si>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</si>
  <si>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</si>
  <si>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</si>
  <si>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</si>
  <si>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</si>
  <si>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</si>
  <si>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</si>
  <si>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</si>
  <si>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</si>
  <si>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</si>
  <si>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</si>
  <si>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</si>
  <si>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</si>
  <si>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</si>
  <si>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</si>
  <si>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</si>
  <si>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</si>
  <si>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</si>
  <si>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</si>
  <si>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</si>
  <si>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</si>
  <si>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</si>
  <si>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</si>
  <si>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</si>
  <si>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</si>
  <si>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</si>
  <si>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</si>
  <si>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</si>
  <si>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</si>
  <si>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</si>
  <si>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</si>
  <si>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</si>
  <si>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</si>
  <si>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</si>
  <si>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</si>
  <si>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</si>
  <si>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</si>
  <si>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</si>
  <si>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</si>
  <si>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</si>
  <si>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</si>
  <si>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</si>
  <si>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</si>
  <si>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</si>
  <si>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</si>
  <si>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</si>
  <si>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</si>
  <si>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</si>
  <si>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</si>
  <si>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</si>
  <si>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</si>
  <si>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</si>
  <si>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</si>
  <si>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</si>
  <si>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</si>
  <si>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</si>
  <si>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</si>
  <si>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</si>
  <si>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</si>
  <si>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</si>
  <si>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</si>
  <si>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</si>
  <si>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</si>
  <si>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</si>
  <si>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</si>
  <si>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</si>
  <si>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</si>
  <si>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</si>
  <si>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</si>
  <si>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</si>
  <si>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</si>
  <si>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</si>
  <si>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</si>
  <si>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</si>
  <si>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</si>
  <si>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</si>
  <si>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</si>
  <si>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</si>
  <si>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</si>
  <si>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</si>
  <si>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</si>
  <si>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</si>
  <si>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</si>
  <si>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</si>
  <si>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</si>
  <si>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</si>
  <si>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</si>
  <si>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</si>
  <si>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</si>
  <si>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</si>
  <si>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</si>
  <si>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</si>
  <si>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</si>
  <si>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</si>
  <si>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</si>
  <si>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</si>
  <si>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</si>
  <si>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</si>
  <si>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</si>
  <si>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</si>
  <si>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</si>
  <si>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</si>
  <si>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</si>
  <si>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</si>
  <si>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</si>
  <si>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</si>
  <si>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</si>
  <si>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</si>
  <si>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</si>
  <si>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</si>
  <si>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</si>
  <si>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</si>
  <si>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</si>
  <si>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</si>
  <si>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</si>
  <si>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</si>
  <si>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</si>
  <si>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</si>
  <si>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</si>
  <si>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</si>
  <si>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</si>
  <si>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</si>
  <si>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</si>
  <si>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</si>
  <si>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</si>
  <si>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</si>
  <si>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</si>
  <si>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</si>
  <si>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</si>
  <si>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</si>
  <si>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</si>
  <si>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</si>
  <si>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</si>
  <si>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</si>
  <si>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</si>
  <si>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</si>
  <si>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</si>
  <si>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</si>
  <si>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</si>
  <si>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</si>
  <si>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</si>
  <si>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</si>
  <si>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</si>
  <si>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</si>
  <si>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</si>
  <si>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</si>
  <si>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</si>
  <si>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</si>
  <si>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</si>
  <si>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</si>
  <si>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</si>
  <si>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</si>
  <si>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</si>
  <si>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</si>
  <si>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</si>
  <si>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</si>
  <si>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</si>
  <si>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</si>
  <si>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</si>
  <si>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</si>
  <si>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</si>
  <si>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</si>
  <si>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</si>
  <si>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</si>
  <si>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</si>
  <si>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</si>
  <si>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</si>
  <si>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</si>
  <si>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</si>
  <si>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</si>
  <si>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</si>
  <si>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</si>
  <si>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</si>
  <si>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</si>
  <si>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</si>
  <si>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</si>
  <si>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</si>
  <si>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</si>
  <si>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</si>
  <si>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</si>
  <si>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</si>
  <si>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</si>
  <si>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</si>
  <si>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</si>
  <si>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</si>
  <si>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</si>
  <si>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</si>
  <si>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</si>
  <si>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</si>
  <si>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</si>
  <si>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</si>
  <si>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</si>
  <si>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</si>
  <si>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</si>
  <si>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</si>
  <si>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</si>
  <si>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</si>
  <si>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</si>
  <si>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</si>
  <si>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</si>
  <si>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</si>
  <si>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</si>
  <si>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</si>
  <si>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</si>
  <si>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</si>
  <si>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</si>
  <si>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</si>
  <si>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</si>
  <si>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</si>
  <si>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</si>
  <si>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</si>
  <si>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</si>
  <si>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</si>
  <si>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</si>
  <si>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</si>
  <si>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</si>
  <si>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</si>
  <si>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</si>
  <si>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</si>
  <si>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</si>
  <si>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</si>
  <si>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</si>
  <si>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</si>
  <si>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</si>
  <si>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</si>
  <si>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</si>
  <si>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</si>
  <si>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</si>
  <si>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</si>
  <si>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</si>
  <si>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</si>
  <si>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</si>
  <si>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</si>
  <si>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</si>
  <si>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</si>
  <si>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</si>
  <si>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</si>
  <si>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</si>
  <si>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</si>
  <si>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</si>
  <si>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</si>
  <si>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</si>
  <si>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</si>
  <si>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</si>
  <si>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</si>
  <si>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</si>
  <si>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</si>
  <si>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</si>
  <si>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</si>
  <si>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</si>
  <si>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</si>
  <si>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</si>
  <si>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</si>
  <si>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</si>
  <si>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</si>
  <si>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</si>
  <si>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</si>
  <si>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</si>
  <si>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</si>
  <si>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</si>
  <si>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</si>
  <si>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</si>
  <si>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</si>
  <si>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</si>
  <si>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</si>
  <si>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</si>
  <si>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</si>
  <si>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</si>
  <si>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</si>
  <si>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</si>
  <si>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</si>
  <si>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</si>
  <si>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</si>
  <si>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</si>
  <si>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</si>
  <si>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</si>
  <si>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</si>
  <si>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</si>
  <si>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</si>
  <si>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</si>
  <si>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</si>
  <si>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</si>
  <si>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</si>
  <si>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</si>
  <si>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</si>
  <si>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</si>
  <si>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</si>
  <si>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</si>
  <si>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</si>
  <si>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</si>
  <si>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</si>
  <si>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</si>
  <si>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</si>
  <si>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</si>
  <si>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</si>
  <si>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</si>
  <si>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</si>
  <si>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</si>
  <si>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</si>
  <si>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</si>
  <si>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</si>
  <si>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</si>
  <si>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</si>
  <si>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</si>
  <si>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</si>
  <si>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</si>
  <si>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</si>
  <si>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</si>
  <si>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</si>
  <si>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</si>
  <si>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</si>
  <si>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</si>
  <si>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</si>
  <si>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</si>
  <si>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</si>
  <si>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</si>
  <si>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</si>
  <si>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</si>
  <si>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</si>
  <si>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</si>
  <si>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</si>
  <si>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</si>
  <si>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</si>
  <si>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</si>
  <si>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</si>
  <si>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</si>
  <si>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</si>
  <si>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</si>
  <si>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</si>
  <si>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</si>
  <si>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</si>
  <si>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</si>
  <si>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</si>
  <si>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</si>
  <si>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</si>
  <si>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</si>
  <si>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</si>
  <si>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</si>
  <si>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</si>
  <si>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</si>
  <si>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</si>
  <si>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</si>
  <si>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</si>
  <si>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</si>
  <si>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</si>
  <si>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</si>
  <si>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</si>
  <si>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</si>
  <si>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</si>
  <si>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</si>
  <si>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</si>
  <si>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</si>
  <si>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</si>
  <si>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</si>
  <si>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</si>
  <si>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</si>
  <si>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</si>
  <si>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</si>
  <si>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</si>
  <si>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</si>
  <si>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</si>
  <si>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</si>
  <si>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</si>
  <si>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</si>
  <si>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</si>
  <si>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</si>
  <si>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</si>
  <si>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</si>
  <si>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</si>
  <si>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</si>
  <si>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</si>
  <si>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</si>
  <si>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</si>
  <si>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</si>
  <si>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</si>
  <si>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</si>
  <si>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</si>
  <si>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</si>
  <si>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</si>
  <si>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</si>
  <si>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</si>
  <si>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</si>
  <si>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</si>
  <si>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</si>
  <si>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</si>
  <si>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</si>
  <si>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</si>
  <si>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</si>
  <si>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</si>
  <si>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</si>
  <si>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</si>
  <si>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</si>
  <si>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</si>
  <si>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</si>
  <si>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</si>
  <si>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</si>
  <si>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</si>
  <si>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</si>
  <si>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</si>
  <si>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</si>
  <si>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</si>
  <si>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</si>
  <si>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</si>
  <si>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</si>
  <si>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</si>
  <si>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</si>
  <si>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</si>
  <si>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</si>
  <si>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</si>
  <si>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</si>
  <si>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</si>
  <si>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</si>
  <si>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</si>
  <si>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</si>
  <si>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</si>
  <si>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</si>
  <si>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</si>
  <si>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</si>
  <si>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</si>
  <si>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</si>
  <si>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</si>
  <si>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</si>
  <si>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</si>
  <si>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</si>
  <si>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</si>
  <si>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</si>
  <si>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</si>
  <si>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</si>
  <si>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</si>
  <si>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</si>
  <si>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</si>
  <si>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</si>
  <si>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</si>
  <si>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</si>
  <si>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</si>
  <si>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</si>
  <si>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</si>
  <si>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</si>
  <si>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</si>
  <si>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</si>
  <si>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</si>
  <si>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</si>
  <si>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</si>
  <si>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</si>
  <si>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</si>
  <si>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</si>
  <si>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</si>
  <si>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</si>
  <si>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</si>
  <si>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</si>
  <si>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</si>
  <si>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</si>
  <si>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</si>
  <si>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</si>
  <si>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</si>
  <si>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</si>
  <si>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</si>
  <si>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</si>
  <si>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</si>
  <si>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</si>
  <si>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</si>
  <si>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</si>
  <si>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</si>
  <si>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</si>
  <si>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</si>
  <si>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</si>
  <si>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</si>
  <si>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</si>
  <si>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</si>
  <si>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</si>
  <si>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</si>
  <si>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</si>
  <si>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</si>
  <si>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</si>
  <si>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</si>
  <si>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</si>
  <si>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</si>
  <si>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</si>
  <si>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</si>
  <si>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</si>
  <si>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</si>
  <si>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</si>
  <si>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</si>
  <si>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</si>
  <si>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</si>
  <si>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</si>
  <si>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</si>
  <si>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</si>
  <si>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</si>
  <si>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</si>
  <si>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</si>
  <si>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</si>
  <si>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</si>
  <si>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</si>
  <si>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</si>
  <si>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</si>
  <si>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</si>
  <si>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</si>
  <si>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</si>
  <si>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</si>
  <si>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</si>
  <si>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</si>
  <si>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</si>
  <si>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</si>
  <si>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</si>
  <si>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</si>
  <si>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</si>
  <si>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</si>
  <si>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</si>
  <si>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</si>
  <si>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</si>
  <si>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</si>
  <si>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</si>
  <si>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</si>
  <si>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</si>
  <si>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</si>
  <si>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</si>
  <si>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</si>
  <si>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</si>
  <si>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</si>
  <si>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</si>
  <si>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</si>
  <si>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</si>
  <si>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</si>
  <si>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</si>
  <si>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</si>
  <si>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</si>
  <si>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</si>
  <si>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</si>
  <si>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</si>
  <si>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</si>
  <si>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</si>
  <si>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</si>
  <si>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</si>
  <si>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</si>
  <si>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</si>
  <si>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</si>
  <si>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</si>
  <si>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</si>
  <si>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</si>
  <si>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</si>
  <si>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</si>
  <si>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</si>
  <si>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</si>
  <si>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</si>
  <si>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</si>
  <si>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</si>
  <si>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</si>
  <si>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</si>
  <si>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</si>
  <si>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</si>
  <si>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</si>
  <si>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</si>
  <si>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</si>
  <si>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</si>
  <si>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</si>
  <si>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</si>
  <si>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</si>
  <si>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</si>
  <si>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</si>
  <si>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</si>
  <si>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</si>
  <si>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</si>
  <si>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</si>
  <si>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</si>
  <si>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</si>
  <si>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</si>
  <si>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</si>
  <si>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</si>
  <si>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</si>
  <si>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</si>
  <si>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</si>
  <si>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</si>
  <si>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</si>
  <si>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</si>
  <si>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</si>
  <si>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</si>
  <si>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</si>
  <si>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</si>
  <si>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</si>
  <si>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</si>
  <si>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</si>
  <si>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</si>
  <si>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</si>
  <si>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</si>
  <si>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</si>
  <si>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</si>
  <si>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</si>
  <si>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</si>
  <si>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</si>
  <si>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</si>
  <si>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</si>
  <si>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</si>
  <si>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</si>
  <si>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</si>
  <si>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</si>
  <si>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</si>
  <si>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</si>
  <si>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</si>
  <si>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</si>
  <si>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</si>
  <si>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</si>
  <si>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</si>
  <si>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</si>
  <si>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</si>
  <si>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</si>
  <si>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</si>
  <si>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</si>
  <si>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</si>
  <si>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</si>
  <si>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</si>
  <si>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</si>
  <si>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</si>
  <si>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</si>
  <si>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</si>
  <si>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</si>
  <si>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</si>
  <si>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</si>
  <si>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</si>
  <si>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</si>
  <si>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</si>
  <si>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</si>
  <si>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</si>
  <si>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</si>
  <si>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</si>
  <si>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</si>
  <si>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</si>
  <si>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</si>
  <si>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</si>
  <si>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</si>
  <si>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</si>
  <si>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</si>
  <si>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</si>
  <si>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</si>
  <si>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</si>
  <si>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</si>
  <si>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</si>
  <si>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</si>
  <si>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</si>
  <si>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</si>
  <si>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</si>
  <si>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</si>
  <si>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</si>
  <si>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</si>
  <si>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</si>
  <si>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</si>
  <si>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</si>
  <si>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</si>
  <si>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</si>
  <si>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</si>
  <si>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</si>
  <si>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</si>
  <si>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</si>
  <si>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</si>
  <si>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</si>
  <si>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</si>
  <si>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</si>
  <si>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</si>
  <si>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</si>
  <si>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</si>
  <si>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</si>
  <si>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</si>
  <si>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</si>
  <si>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</si>
  <si>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</si>
  <si>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</si>
  <si>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</si>
  <si>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</si>
  <si>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</si>
  <si>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</si>
  <si>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</si>
  <si>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</si>
  <si>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</si>
  <si>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</si>
  <si>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</si>
  <si>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</si>
  <si>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</si>
  <si>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</si>
  <si>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</si>
  <si>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</si>
  <si>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</si>
  <si>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</si>
  <si>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</si>
  <si>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</si>
  <si>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</si>
  <si>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</si>
  <si>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</si>
  <si>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</si>
  <si>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</si>
  <si>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</si>
  <si>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</si>
  <si>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</si>
  <si>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</si>
  <si>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</si>
  <si>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</si>
  <si>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</si>
  <si>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</si>
  <si>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</si>
  <si>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</si>
  <si>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</si>
  <si>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</si>
  <si>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</si>
  <si>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</si>
  <si>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</si>
  <si>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</si>
  <si>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</si>
  <si>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</si>
  <si>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</si>
  <si>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</si>
  <si>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</si>
  <si>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</si>
  <si>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</si>
  <si>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</si>
  <si>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</si>
  <si>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</si>
  <si>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</si>
  <si>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</si>
  <si>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</si>
  <si>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</si>
  <si>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</si>
  <si>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</si>
  <si>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</si>
  <si>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</si>
  <si>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</si>
  <si>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</si>
  <si>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</si>
  <si>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</si>
  <si>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</si>
  <si>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</si>
  <si>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</si>
  <si>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</si>
  <si>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</si>
  <si>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</si>
  <si>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</si>
  <si>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</si>
  <si>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</si>
  <si>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</si>
  <si>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</si>
  <si>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</si>
  <si>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</si>
  <si>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</si>
  <si>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</si>
  <si>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</si>
  <si>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</si>
  <si>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</si>
  <si>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</si>
  <si>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</si>
  <si>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</si>
  <si>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</si>
  <si>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</si>
  <si>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</si>
  <si>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</si>
  <si>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</si>
  <si>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</si>
  <si>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</si>
  <si>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</si>
  <si>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</si>
  <si>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</si>
  <si>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</si>
  <si>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</si>
  <si>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</si>
  <si>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</si>
  <si>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</si>
  <si>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</si>
  <si>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</si>
  <si>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</si>
  <si>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</si>
  <si>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</si>
  <si>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</si>
  <si>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</si>
  <si>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</si>
  <si>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</si>
  <si>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</si>
  <si>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</si>
  <si>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</si>
  <si>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</si>
  <si>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</si>
  <si>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</si>
  <si>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</si>
  <si>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</si>
  <si>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</si>
  <si>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</si>
  <si>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</si>
  <si>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</si>
  <si>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</si>
  <si>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</si>
  <si>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</si>
  <si>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</si>
  <si>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</si>
  <si>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</si>
  <si>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</si>
  <si>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</si>
  <si>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</si>
  <si>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</si>
  <si>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</si>
  <si>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</si>
  <si>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</si>
  <si>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</si>
  <si>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</si>
  <si>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</si>
  <si>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</si>
  <si>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</si>
  <si>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</si>
  <si>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</si>
  <si>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</si>
  <si>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</si>
  <si>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</si>
  <si>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</si>
  <si>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</si>
  <si>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</si>
  <si>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</si>
  <si>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</si>
  <si>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</si>
  <si>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</si>
  <si>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</si>
  <si>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</si>
  <si>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</si>
  <si>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</si>
  <si>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</si>
  <si>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</si>
  <si>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</si>
  <si>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</si>
  <si>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</si>
  <si>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</si>
  <si>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</si>
  <si>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</si>
  <si>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</si>
  <si>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</si>
  <si>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</si>
  <si>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</si>
  <si>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</si>
  <si>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</si>
  <si>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</si>
  <si>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</si>
  <si>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</si>
  <si>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</si>
  <si>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</si>
  <si>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</si>
  <si>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</si>
  <si>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</si>
  <si>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</si>
  <si>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</si>
  <si>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</si>
  <si>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</si>
  <si>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</si>
  <si>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</si>
  <si>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</si>
  <si>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</si>
  <si>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</si>
  <si>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</si>
  <si>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</si>
  <si>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</si>
  <si>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</si>
  <si>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</si>
  <si>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</si>
  <si>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</si>
  <si>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</si>
  <si>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</si>
  <si>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</si>
  <si>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</si>
  <si>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</si>
  <si>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</si>
  <si>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</si>
  <si>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</si>
  <si>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</si>
  <si>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</si>
  <si>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</si>
  <si>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</si>
  <si>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</si>
  <si>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</si>
  <si>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</si>
  <si>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</si>
  <si>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</si>
  <si>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</si>
  <si>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</si>
  <si>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</si>
  <si>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</si>
  <si>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</si>
  <si>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</si>
  <si>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</si>
  <si>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</si>
  <si>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</si>
  <si>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</si>
  <si>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</si>
  <si>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</si>
  <si>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</si>
  <si>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</si>
  <si>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</si>
  <si>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</si>
  <si>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</si>
  <si>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</si>
  <si>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</si>
  <si>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</si>
  <si>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</si>
  <si>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</si>
  <si>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</si>
  <si>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</si>
  <si>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</si>
  <si>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</si>
  <si>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</si>
  <si>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</si>
  <si>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</si>
  <si>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</si>
  <si>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</si>
  <si>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</si>
  <si>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</si>
  <si>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</si>
  <si>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</si>
  <si>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</si>
  <si>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</si>
  <si>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</si>
  <si>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</si>
  <si>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</si>
  <si>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</si>
  <si>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</si>
  <si>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</si>
  <si>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</si>
  <si>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</si>
  <si>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</si>
  <si>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</si>
  <si>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</si>
  <si>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</si>
  <si>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</si>
  <si>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</si>
  <si>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</si>
  <si>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</si>
  <si>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</si>
  <si>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</si>
  <si>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</si>
  <si>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</si>
  <si>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</si>
  <si>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</si>
  <si>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</si>
  <si>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</si>
  <si>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</si>
  <si>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</si>
  <si>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</si>
  <si>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</si>
  <si>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</si>
  <si>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</si>
  <si>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</si>
  <si>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</si>
  <si>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</si>
  <si>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</si>
  <si>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</si>
  <si>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</si>
  <si>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</si>
  <si>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</si>
  <si>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</si>
  <si>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</si>
  <si>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</si>
  <si>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</si>
  <si>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</si>
  <si>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</si>
  <si>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</si>
  <si>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</si>
  <si>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</si>
  <si>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</si>
  <si>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</si>
  <si>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</si>
  <si>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</si>
  <si>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</si>
  <si>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</si>
  <si>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</si>
  <si>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</si>
  <si>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</si>
  <si>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</si>
  <si>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</si>
  <si>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</si>
  <si>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</si>
  <si>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</si>
  <si>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</si>
  <si>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</si>
  <si>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</si>
  <si>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</si>
  <si>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</si>
  <si>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</si>
  <si>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</si>
  <si>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</si>
  <si>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</si>
  <si>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</si>
  <si>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</si>
  <si>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</si>
  <si>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</si>
  <si>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</si>
  <si>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</si>
  <si>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</si>
  <si>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</si>
  <si>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</si>
  <si>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</si>
  <si>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</si>
  <si>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</si>
  <si>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</si>
  <si>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</si>
  <si>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</si>
  <si>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</si>
  <si>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</si>
  <si>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</si>
  <si>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</si>
  <si>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</si>
  <si>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</si>
  <si>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</si>
  <si>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</si>
  <si>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</si>
  <si>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</si>
  <si>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</si>
  <si>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</si>
  <si>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</si>
  <si>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</si>
  <si>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</si>
  <si>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</si>
  <si>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</si>
  <si>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</si>
  <si>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</si>
  <si>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</si>
  <si>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</si>
  <si>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</si>
  <si>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</si>
  <si>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</si>
  <si>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</si>
  <si>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</si>
  <si>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</si>
  <si>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</si>
  <si>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</si>
  <si>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</si>
  <si>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</si>
  <si>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</si>
  <si>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</si>
  <si>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</si>
  <si>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</si>
  <si>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</si>
  <si>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</si>
  <si>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</si>
  <si>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</si>
  <si>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</si>
  <si>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</si>
  <si>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</si>
  <si>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</si>
  <si>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</si>
  <si>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</si>
  <si>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</si>
  <si>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</si>
  <si>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</si>
  <si>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</si>
  <si>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</si>
  <si>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</si>
  <si>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</si>
  <si>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</si>
  <si>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</si>
  <si>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</si>
  <si>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</si>
  <si>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</si>
  <si>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</si>
  <si>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</si>
  <si>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</si>
  <si>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</si>
  <si>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</si>
  <si>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</si>
  <si>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</si>
  <si>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</si>
  <si>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</si>
  <si>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</si>
  <si>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</si>
  <si>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</si>
  <si>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</si>
  <si>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</si>
  <si>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</si>
  <si>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</si>
  <si>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</si>
  <si>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</si>
  <si>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</si>
  <si>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</si>
  <si>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</si>
  <si>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</si>
  <si>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</si>
  <si>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</si>
  <si>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</si>
  <si>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</si>
  <si>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</si>
  <si>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</si>
  <si>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</si>
  <si>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</si>
  <si>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</si>
  <si>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</si>
  <si>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</si>
  <si>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</si>
  <si>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</si>
  <si>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</si>
  <si>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</si>
  <si>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</si>
  <si>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</si>
  <si>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</si>
  <si>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</si>
  <si>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</si>
  <si>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</si>
  <si>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</si>
  <si>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</si>
  <si>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</si>
  <si>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</si>
  <si>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</si>
  <si>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</si>
  <si>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</si>
  <si>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</si>
  <si>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</si>
  <si>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</si>
  <si>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</si>
  <si>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</si>
  <si>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</si>
  <si>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</si>
  <si>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</si>
  <si>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</si>
  <si>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</si>
  <si>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</si>
  <si>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</si>
  <si>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</si>
  <si>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</si>
  <si>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</si>
  <si>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</si>
  <si>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</si>
  <si>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</si>
  <si>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</si>
  <si>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</si>
  <si>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</si>
  <si>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</si>
  <si>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</si>
  <si>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</si>
  <si>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</si>
  <si>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</si>
  <si>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</si>
  <si>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</si>
  <si>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</si>
  <si>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</si>
  <si>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</si>
  <si>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</si>
  <si>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</si>
  <si>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</si>
  <si>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</si>
  <si>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</si>
  <si>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</si>
  <si>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</si>
  <si>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</si>
  <si>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</si>
  <si>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</si>
  <si>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</si>
  <si>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</si>
  <si>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</si>
  <si>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</si>
  <si>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</si>
  <si>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</si>
  <si>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</si>
  <si>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</si>
  <si>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</si>
  <si>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</si>
  <si>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</si>
  <si>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</si>
  <si>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</si>
  <si>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</si>
  <si>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</si>
  <si>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</si>
  <si>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</si>
  <si>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</si>
  <si>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</si>
  <si>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</si>
  <si>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</si>
  <si>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</si>
  <si>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</si>
  <si>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</si>
  <si>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</si>
  <si>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</si>
  <si>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</si>
  <si>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</si>
  <si>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</si>
  <si>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</si>
  <si>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</si>
  <si>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</si>
  <si>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</si>
  <si>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</si>
  <si>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</si>
  <si>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</si>
  <si>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</si>
  <si>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</si>
  <si>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</si>
  <si>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</si>
  <si>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</si>
  <si>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</si>
  <si>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</si>
  <si>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</si>
  <si>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</si>
  <si>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</si>
  <si>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</si>
  <si>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</si>
  <si>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</si>
  <si>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</si>
  <si>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</si>
  <si>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</si>
  <si>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</si>
  <si>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</si>
  <si>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</si>
  <si>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</si>
  <si>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</si>
  <si>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</si>
  <si>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</si>
  <si>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</si>
  <si>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</si>
  <si>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</si>
  <si>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</si>
  <si>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</si>
  <si>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</si>
  <si>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</si>
  <si>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</si>
  <si>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</si>
  <si>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</si>
  <si>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</si>
  <si>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</si>
  <si>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</si>
  <si>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</si>
  <si>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</si>
  <si>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</si>
  <si>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</si>
  <si>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</si>
  <si>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</si>
  <si>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</si>
  <si>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</si>
  <si>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</si>
  <si>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</si>
  <si>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</si>
  <si>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</si>
  <si>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</si>
  <si>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</si>
  <si>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</si>
  <si>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</si>
  <si>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</si>
  <si>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</si>
  <si>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</si>
  <si>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</si>
  <si>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</si>
  <si>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</si>
  <si>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</si>
  <si>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</si>
  <si>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</si>
  <si>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</si>
  <si>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</si>
  <si>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</si>
  <si>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</si>
  <si>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</si>
  <si>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</si>
  <si>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</si>
  <si>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</si>
  <si>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</si>
  <si>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</si>
  <si>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</si>
  <si>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</si>
  <si>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</si>
  <si>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</si>
  <si>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</si>
  <si>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</si>
  <si>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</si>
  <si>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</si>
  <si>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</si>
  <si>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</si>
  <si>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</si>
  <si>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</si>
  <si>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</si>
  <si>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</si>
  <si>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</si>
  <si>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</si>
  <si>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</si>
  <si>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</si>
  <si>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</si>
  <si>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</si>
  <si>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</si>
  <si>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</si>
  <si>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</si>
  <si>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</si>
  <si>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</si>
  <si>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</si>
  <si>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</si>
  <si>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</si>
  <si>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</si>
  <si>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</si>
  <si>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</si>
  <si>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</si>
  <si>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</si>
  <si>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</si>
  <si>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</si>
  <si>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</si>
  <si>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</si>
  <si>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</si>
  <si>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</si>
  <si>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</si>
  <si>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</si>
  <si>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</si>
  <si>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</si>
  <si>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</si>
  <si>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</si>
  <si>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</si>
  <si>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</si>
  <si>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</si>
  <si>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</si>
  <si>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</si>
  <si>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</si>
  <si>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</si>
  <si>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</si>
  <si>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</si>
  <si>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</si>
  <si>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</si>
  <si>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</si>
  <si>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</si>
  <si>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</si>
  <si>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</si>
  <si>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</si>
  <si>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</si>
  <si>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</si>
  <si>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</si>
  <si>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</si>
  <si>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</si>
  <si>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</si>
  <si>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</si>
  <si>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</si>
  <si>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</si>
  <si>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</si>
  <si>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</si>
  <si>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</si>
  <si>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</si>
  <si>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</si>
  <si>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</si>
  <si>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</si>
  <si>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</si>
  <si>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</si>
  <si>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</si>
  <si>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</si>
  <si>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</si>
  <si>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</si>
  <si>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</si>
  <si>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</si>
  <si>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</si>
  <si>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</si>
  <si>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</si>
  <si>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</si>
  <si>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</si>
  <si>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</si>
  <si>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</si>
  <si>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</si>
  <si>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</si>
  <si>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</si>
  <si>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</si>
  <si>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</si>
  <si>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</si>
  <si>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</si>
  <si>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</si>
  <si>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</si>
  <si>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</si>
  <si>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</si>
  <si>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</si>
  <si>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</si>
  <si>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</si>
  <si>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</si>
  <si>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</si>
  <si>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</si>
  <si>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</si>
  <si>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</si>
  <si>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</si>
  <si>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</si>
  <si>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</si>
  <si>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</si>
  <si>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</si>
  <si>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</si>
  <si>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</si>
  <si>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</si>
  <si>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</si>
  <si>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</si>
  <si>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</si>
  <si>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</si>
  <si>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</si>
  <si>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</si>
  <si>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</si>
  <si>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</si>
  <si>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</si>
  <si>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</si>
  <si>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</si>
  <si>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</si>
  <si>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</si>
  <si>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</si>
  <si>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</si>
  <si>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</si>
  <si>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</si>
  <si>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</si>
  <si>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</si>
  <si>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</si>
  <si>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</si>
  <si>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</si>
  <si>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</si>
  <si>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</si>
  <si>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</si>
  <si>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</si>
  <si>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</si>
  <si>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</si>
  <si>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</si>
  <si>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</si>
  <si>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</si>
  <si>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</si>
  <si>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</si>
  <si>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</si>
  <si>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</si>
  <si>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</si>
  <si>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</si>
  <si>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</si>
  <si>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</si>
  <si>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</si>
  <si>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</si>
  <si>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</si>
  <si>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</si>
  <si>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</si>
  <si>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</si>
  <si>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</si>
  <si>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</si>
  <si>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</si>
  <si>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</si>
  <si>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</si>
  <si>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</si>
  <si>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</si>
  <si>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</si>
  <si>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</si>
  <si>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</si>
  <si>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</si>
  <si>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</si>
  <si>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</si>
  <si>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</si>
  <si>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</si>
  <si>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</si>
  <si>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</si>
  <si>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</si>
  <si>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</si>
  <si>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</si>
  <si>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</si>
  <si>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</si>
  <si>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</si>
  <si>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</si>
  <si>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</si>
  <si>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</si>
  <si>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</si>
  <si>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</si>
  <si>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</si>
  <si>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</si>
  <si>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</si>
  <si>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</si>
  <si>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</si>
  <si>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</si>
  <si>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</si>
  <si>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</si>
  <si>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</si>
  <si>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</si>
  <si>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</si>
  <si>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</si>
  <si>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</si>
  <si>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</si>
  <si>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</si>
  <si>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</si>
  <si>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</si>
  <si>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</si>
  <si>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</si>
  <si>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</si>
  <si>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</si>
  <si>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</si>
  <si>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</si>
  <si>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</si>
  <si>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</si>
  <si>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</si>
  <si>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</si>
  <si>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</si>
  <si>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</si>
  <si>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</si>
  <si>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</si>
  <si>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</si>
  <si>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</si>
  <si>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</si>
  <si>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</si>
  <si>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</si>
  <si>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</si>
  <si>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</si>
  <si>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</si>
  <si>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</si>
  <si>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</si>
  <si>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</si>
  <si>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</si>
  <si>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</si>
  <si>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</si>
  <si>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</si>
  <si>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</si>
  <si>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</si>
  <si>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</si>
  <si>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</si>
  <si>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</si>
  <si>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</si>
  <si>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</si>
  <si>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</si>
  <si>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</si>
  <si>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</si>
  <si>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</si>
  <si>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</si>
  <si>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</si>
  <si>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</si>
  <si>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</si>
  <si>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</si>
  <si>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</si>
  <si>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</si>
  <si>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</si>
  <si>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</si>
  <si>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</si>
  <si>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</si>
  <si>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</si>
  <si>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</si>
  <si>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</si>
  <si>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</si>
  <si>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</si>
  <si>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</si>
  <si>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</si>
  <si>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</si>
  <si>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</si>
  <si>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</si>
  <si>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</si>
  <si>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</si>
  <si>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</si>
  <si>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</si>
  <si>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</si>
  <si>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</si>
  <si>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</si>
  <si>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</si>
  <si>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</si>
  <si>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</si>
  <si>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</si>
  <si>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</si>
  <si>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</si>
  <si>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</si>
  <si>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</si>
  <si>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</si>
  <si>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</si>
  <si>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</si>
  <si>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</si>
  <si>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</si>
  <si>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</si>
  <si>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</si>
  <si>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</si>
  <si>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</si>
  <si>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</si>
  <si>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</si>
  <si>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</si>
  <si>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</si>
  <si>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</si>
  <si>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</si>
  <si>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</si>
  <si>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</si>
  <si>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</si>
  <si>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</si>
  <si>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</si>
  <si>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</si>
  <si>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</si>
  <si>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</si>
  <si>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</si>
  <si>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</si>
  <si>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</si>
  <si>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</si>
  <si>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</si>
  <si>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</si>
  <si>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</si>
  <si>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</si>
  <si>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</si>
  <si>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</si>
  <si>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</si>
  <si>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</si>
  <si>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</si>
  <si>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</si>
  <si>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</si>
  <si>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</si>
  <si>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</si>
  <si>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</si>
  <si>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</si>
  <si>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</si>
  <si>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</si>
  <si>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</si>
  <si>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</si>
  <si>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</si>
  <si>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</si>
  <si>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</si>
  <si>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</si>
  <si>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</si>
  <si>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</si>
  <si>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</si>
  <si>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</si>
  <si>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</si>
  <si>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</si>
  <si>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</si>
  <si>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</si>
  <si>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</si>
  <si>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</si>
  <si>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</si>
  <si>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</si>
  <si>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</si>
  <si>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</si>
  <si>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</si>
  <si>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</si>
  <si>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</si>
  <si>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</si>
  <si>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</si>
  <si>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</si>
  <si>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</si>
  <si>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</si>
  <si>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</si>
  <si>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</si>
  <si>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</si>
  <si>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</si>
  <si>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t>
  </si>
  <si>
    <t xml:space="preserve">  - {SamplingFeatureObj:  *SamplingFeatureID00009, RelationshipTypeCV:  "isChildOf", RelatedFeatureObj: *SamplingFeatureID00002, SpatialOffsetObj:  }</t>
  </si>
  <si>
    <t xml:space="preserve">  - {SamplingFeatureObj:  *SamplingFeatureID00010, RelationshipTypeCV:  "isChildOf", RelatedFeatureObj: *SamplingFeatureID00003, SpatialOffsetObj:  }</t>
  </si>
  <si>
    <t xml:space="preserve">  - {SamplingFeatureObj:  *SamplingFeatureID00011, RelationshipTypeCV:  "isChildOf", RelatedFeatureObj: *SamplingFeatureID00001, SpatialOffsetObj:  }</t>
  </si>
  <si>
    <t xml:space="preserve">  - {SamplingFeatureObj:  *SamplingFeatureID00012, RelationshipTypeCV:  "isChildOf", RelatedFeatureObj: *SamplingFeatureID00002, SpatialOffsetObj:  }</t>
  </si>
  <si>
    <t xml:space="preserve">  - {SamplingFeatureObj:  *SamplingFeatureID00013, RelationshipTypeCV:  "isChildOf", RelatedFeatureObj: *SamplingFeatureID00003, SpatialOffsetObj:  }</t>
  </si>
  <si>
    <t xml:space="preserve">  - {SamplingFeatureObj:  *SamplingFeatureID00014, RelationshipTypeCV:  "isChildOf", RelatedFeatureObj: *SamplingFeatureID00004, SpatialOffsetObj:  }</t>
  </si>
  <si>
    <t xml:space="preserve">  - {SamplingFeatureObj:  *SamplingFeatureID00015, RelationshipTypeCV:  "isChildOf", RelatedFeatureObj: *SamplingFeatureID00004, SpatialOffsetObj:  }</t>
  </si>
  <si>
    <t xml:space="preserve">  - {SamplingFeatureObj:  *SamplingFeatureID00016, RelationshipTypeCV:  "isChildOf", RelatedFeatureObj: *SamplingFeatureID00004, SpatialOffsetObj:  }</t>
  </si>
  <si>
    <t xml:space="preserve">  - {SamplingFeatureObj:  *SamplingFeatureID00017, RelationshipTypeCV:  "isChildOf", RelatedFeatureObj: *SamplingFeatureID00004, SpatialOffsetObj:  }</t>
  </si>
  <si>
    <t xml:space="preserve">  - {SamplingFeatureObj:  *SamplingFeatureID00018, RelationshipTypeCV:  "isChildOf", RelatedFeatureObj: *SamplingFeatureID00004, SpatialOffsetObj:  }</t>
  </si>
  <si>
    <t xml:space="preserve">  - {SamplingFeatureObj:  *SamplingFeatureID00019, RelationshipTypeCV:  "isChildOf", RelatedFeatureObj: *SamplingFeatureID00004, SpatialOffsetObj:  }</t>
  </si>
  <si>
    <t xml:space="preserve">  - {SamplingFeatureObj:  *SamplingFeatureID00020, RelationshipTypeCV:  "isChildOf", RelatedFeatureObj: *SamplingFeatureID00004, SpatialOffsetObj:  }</t>
  </si>
  <si>
    <t xml:space="preserve">  - {SamplingFeatureObj:  *SamplingFeatureID00021, RelationshipTypeCV:  "isChildOf", RelatedFeatureObj: *SamplingFeatureID00004, SpatialOffsetObj:  }</t>
  </si>
  <si>
    <t xml:space="preserve">  - {SamplingFeatureObj:  *SamplingFeatureID00022, RelationshipTypeCV:  "isChildOf", RelatedFeatureObj: *SamplingFeatureID00004, SpatialOffsetObj:  }</t>
  </si>
  <si>
    <t xml:space="preserve">  - {SamplingFeatureObj:  *SamplingFeatureID00023, RelationshipTypeCV:  "isChildOf", RelatedFeatureObj: *SamplingFeatureID00004, SpatialOffsetObj:  }</t>
  </si>
  <si>
    <t xml:space="preserve">  - {SamplingFeatureObj:  *SamplingFeatureID00024, RelationshipTypeCV:  "isChildOf", RelatedFeatureObj: *SamplingFeatureID00001, SpatialOffsetObj:  }</t>
  </si>
  <si>
    <t xml:space="preserve">  - {SamplingFeatureObj:  *SamplingFeatureID00025, RelationshipTypeCV:  "isChildOf", RelatedFeatureObj: *SamplingFeatureID00004, SpatialOffsetObj:  }</t>
  </si>
  <si>
    <t xml:space="preserve">  - {SamplingFeatureObj:  *SamplingFeatureID00026, RelationshipTypeCV:  "isChildOf", RelatedFeatureObj: *SamplingFeatureID00004, SpatialOffsetObj:  }</t>
  </si>
  <si>
    <t xml:space="preserve">  - {SamplingFeatureObj:  *SamplingFeatureID00027, RelationshipTypeCV:  "isChildOf", RelatedFeatureObj: *SamplingFeatureID00004, SpatialOffsetObj:  }</t>
  </si>
  <si>
    <t xml:space="preserve">  - {SamplingFeatureObj:  *SamplingFeatureID00028, RelationshipTypeCV:  "isChildOf", RelatedFeatureObj: *SamplingFeatureID00004, SpatialOffsetObj:  }</t>
  </si>
  <si>
    <t xml:space="preserve">  - {SamplingFeatureObj:  *SamplingFeatureID00029, RelationshipTypeCV:  "isChildOf", RelatedFeatureObj: *SamplingFeatureID00004, SpatialOffsetObj:  }</t>
  </si>
  <si>
    <t xml:space="preserve">  - {SamplingFeatureObj:  *SamplingFeatureID00030, RelationshipTypeCV:  "isChildOf", RelatedFeatureObj: *SamplingFeatureID00004, SpatialOffsetObj:  }</t>
  </si>
  <si>
    <t xml:space="preserve">  - {SamplingFeatureObj:  *SamplingFeatureID00031, RelationshipTypeCV:  "isChildOf", RelatedFeatureObj: *SamplingFeatureID00004, SpatialOffsetObj:  }</t>
  </si>
  <si>
    <t xml:space="preserve">  - {SamplingFeatureObj:  *SamplingFeatureID00032, RelationshipTypeCV:  "isChildOf", RelatedFeatureObj: *SamplingFeatureID00004, SpatialOffsetObj:  }</t>
  </si>
  <si>
    <t xml:space="preserve">  - {SamplingFeatureObj:  *SamplingFeatureID00033, RelationshipTypeCV:  "isChildOf", RelatedFeatureObj: *SamplingFeatureID00004, SpatialOffsetObj:  }</t>
  </si>
  <si>
    <t xml:space="preserve">  - {SamplingFeatureObj:  *SamplingFeatureID00034, RelationshipTypeCV:  "isChildOf", RelatedFeatureObj: *SamplingFeatureID00004, SpatialOffsetObj:  }</t>
  </si>
  <si>
    <t xml:space="preserve">  - {SamplingFeatureObj:  *SamplingFeatureID00035, RelationshipTypeCV:  "isChildOf", RelatedFeatureObj: *SamplingFeatureID00004, SpatialOffsetObj:  }</t>
  </si>
  <si>
    <t xml:space="preserve">  - {SamplingFeatureObj:  *SamplingFeatureID00036, RelationshipTypeCV:  "isChildOf", RelatedFeatureObj: *SamplingFeatureID00004, SpatialOffsetObj:  }</t>
  </si>
  <si>
    <t xml:space="preserve">  - {SamplingFeatureObj:  *SamplingFeatureID00037, RelationshipTypeCV:  "isChildOf", RelatedFeatureObj: *SamplingFeatureID00002, SpatialOffsetObj:  }</t>
  </si>
  <si>
    <t xml:space="preserve">  - {SamplingFeatureObj:  *SamplingFeatureID00038, RelationshipTypeCV:  "isChildOf", RelatedFeatureObj: *SamplingFeatureID00003, SpatialOffsetObj:  }</t>
  </si>
  <si>
    <t xml:space="preserve">  - {SamplingFeatureObj:  *SamplingFeatureID00039, RelationshipTypeCV:  "isChildOf", RelatedFeatureObj: *SamplingFeatureID00001, SpatialOffsetObj:  }</t>
  </si>
  <si>
    <t xml:space="preserve">  - {SamplingFeatureObj:  *SamplingFeatureID00040, RelationshipTypeCV:  "isChildOf", RelatedFeatureObj: *SamplingFeatureID00002, SpatialOffsetObj:  }</t>
  </si>
  <si>
    <t xml:space="preserve">  - {SamplingFeatureObj:  *SamplingFeatureID00041, RelationshipTypeCV:  "isChildOf", RelatedFeatureObj: *SamplingFeatureID00003, SpatialOffsetObj:  }</t>
  </si>
  <si>
    <t xml:space="preserve">  - {SamplingFeatureObj:  *SamplingFeatureID00042, RelationshipTypeCV:  "isChildOf", RelatedFeatureObj: *SamplingFeatureID00004, SpatialOffsetObj:  }</t>
  </si>
  <si>
    <t xml:space="preserve">  - {SamplingFeatureObj:  *SamplingFeatureID00043, RelationshipTypeCV:  "isChildOf", RelatedFeatureObj: *SamplingFeatureID00004, SpatialOffsetObj:  }</t>
  </si>
  <si>
    <t xml:space="preserve">  - {SamplingFeatureObj:  *SamplingFeatureID00044, RelationshipTypeCV:  "isChildOf", RelatedFeatureObj: *SamplingFeatureID00004, SpatialOffsetObj:  }</t>
  </si>
  <si>
    <t xml:space="preserve">  - {SamplingFeatureObj:  *SamplingFeatureID00045, RelationshipTypeCV:  "isChildOf", RelatedFeatureObj: *SamplingFeatureID00004, SpatialOffsetObj:  }</t>
  </si>
  <si>
    <t xml:space="preserve">  - {SamplingFeatureObj:  *SamplingFeatureID00046, RelationshipTypeCV:  "isChildOf", RelatedFeatureObj: *SamplingFeatureID00004, SpatialOffsetObj:  }</t>
  </si>
  <si>
    <t xml:space="preserve">  - {SamplingFeatureObj:  *SamplingFeatureID00047, RelationshipTypeCV:  "isChildOf", RelatedFeatureObj: *SamplingFeatureID00004, SpatialOffsetObj:  }</t>
  </si>
  <si>
    <t xml:space="preserve">  - {SamplingFeatureObj:  *SamplingFeatureID00048, RelationshipTypeCV:  "isChildOf", RelatedFeatureObj: *SamplingFeatureID00004, SpatialOffsetObj:  }</t>
  </si>
  <si>
    <t xml:space="preserve">  - {SamplingFeatureObj:  *SamplingFeatureID00049, RelationshipTypeCV:  "isChildOf", RelatedFeatureObj: *SamplingFeatureID00004, SpatialOffsetObj:  }</t>
  </si>
  <si>
    <t xml:space="preserve">  - {SamplingFeatureObj:  *SamplingFeatureID00050, RelationshipTypeCV:  "isChildOf", RelatedFeatureObj: *SamplingFeatureID00004, SpatialOffsetObj:  }</t>
  </si>
  <si>
    <t xml:space="preserve">  - {SamplingFeatureObj:  *SamplingFeatureID00051, RelationshipTypeCV:  "isChildOf", RelatedFeatureObj: *SamplingFeatureID00004, SpatialOffsetObj:  }</t>
  </si>
  <si>
    <t xml:space="preserve">  - {SamplingFeatureObj:  *SamplingFeatureID00052, RelationshipTypeCV:  "isChildOf", RelatedFeatureObj: *SamplingFeatureID00004, SpatialOffsetObj:  }</t>
  </si>
  <si>
    <t xml:space="preserve">  - {SamplingFeatureObj:  *SamplingFeatureID00053, RelationshipTypeCV:  "isChildOf", RelatedFeatureObj: *SamplingFeatureID00004, SpatialOffsetObj:  }</t>
  </si>
  <si>
    <t xml:space="preserve">  - {SamplingFeatureObj:  *SamplingFeatureID00054, RelationshipTypeCV:  "isChildOf", RelatedFeatureObj: *SamplingFeatureID00004, SpatialOffsetObj:  }</t>
  </si>
  <si>
    <t xml:space="preserve">  - {SamplingFeatureObj:  *SamplingFeatureID00055, RelationshipTypeCV:  "isChildOf", RelatedFeatureObj: *SamplingFeatureID00001, SpatialOffsetObj:  }</t>
  </si>
  <si>
    <t xml:space="preserve">  - {SamplingFeatureObj:  *SamplingFeatureID00056, RelationshipTypeCV:  "isChildOf", RelatedFeatureObj: *SamplingFeatureID00001, SpatialOffsetObj:  }</t>
  </si>
  <si>
    <t xml:space="preserve">  - {SamplingFeatureObj:  *SamplingFeatureID00057, RelationshipTypeCV:  "isChildOf", RelatedFeatureObj: *SamplingFeatureID00003, SpatialOffsetObj:  }</t>
  </si>
  <si>
    <t xml:space="preserve">  - {SamplingFeatureObj:  *SamplingFeatureID00058, RelationshipTypeCV:  "isChildOf", RelatedFeatureObj: *SamplingFeatureID00004, SpatialOffsetObj:  }</t>
  </si>
  <si>
    <t xml:space="preserve">  - {SamplingFeatureObj:  *SamplingFeatureID00059, RelationshipTypeCV:  "isChildOf", RelatedFeatureObj: *SamplingFeatureID00004, SpatialOffsetObj:  }</t>
  </si>
  <si>
    <t xml:space="preserve">  - {SamplingFeatureObj:  *SamplingFeatureID00060, RelationshipTypeCV:  "isChildOf", RelatedFeatureObj: *SamplingFeatureID00004, SpatialOffsetObj:  }</t>
  </si>
  <si>
    <t xml:space="preserve">  - {SamplingFeatureObj:  *SamplingFeatureID00061, RelationshipTypeCV:  "isChildOf", RelatedFeatureObj: *SamplingFeatureID00004, SpatialOffsetObj:  }</t>
  </si>
  <si>
    <t xml:space="preserve">  - {SamplingFeatureObj:  *SamplingFeatureID00062, RelationshipTypeCV:  "isChildOf", RelatedFeatureObj: *SamplingFeatureID00004, SpatialOffsetObj:  }</t>
  </si>
  <si>
    <t xml:space="preserve">  - {SamplingFeatureObj:  *SamplingFeatureID00063, RelationshipTypeCV:  "isChildOf", RelatedFeatureObj: *SamplingFeatureID00004, SpatialOffsetObj:  }</t>
  </si>
  <si>
    <t xml:space="preserve">  - {SamplingFeatureObj:  *SamplingFeatureID00064, RelationshipTypeCV:  "isChildOf", RelatedFeatureObj: *SamplingFeatureID00004, SpatialOffsetObj:  }</t>
  </si>
  <si>
    <t xml:space="preserve">  - {SamplingFeatureObj:  *SamplingFeatureID00065, RelationshipTypeCV:  "isChildOf", RelatedFeatureObj: *SamplingFeatureID00004, SpatialOffsetObj:  }</t>
  </si>
  <si>
    <t xml:space="preserve">  - {SamplingFeatureObj:  *SamplingFeatureID00066, RelationshipTypeCV:  "isChildOf", RelatedFeatureObj: *SamplingFeatureID00004, SpatialOffsetObj:  }</t>
  </si>
  <si>
    <t xml:space="preserve">  - {SamplingFeatureObj:  *SamplingFeatureID00067, RelationshipTypeCV:  "isChildOf", RelatedFeatureObj: *SamplingFeatureID00004, SpatialOffsetObj:  }</t>
  </si>
  <si>
    <t xml:space="preserve">  - {SamplingFeatureObj:  *SamplingFeatureID00068, RelationshipTypeCV:  "isChildOf", RelatedFeatureObj: *SamplingFeatureID00004, SpatialOffsetObj:  }</t>
  </si>
  <si>
    <t xml:space="preserve">  - {SamplingFeatureObj:  *SamplingFeatureID00069, RelationshipTypeCV:  "isChildOf", RelatedFeatureObj: *SamplingFeatureID00004, SpatialOffsetObj:  }</t>
  </si>
  <si>
    <t xml:space="preserve">  - {SamplingFeatureObj:  *SamplingFeatureID00070, RelationshipTypeCV:  "isChildOf", RelatedFeatureObj: *SamplingFeatureID00004, SpatialOffsetObj:  }</t>
  </si>
  <si>
    <t xml:space="preserve">  - {SamplingFeatureObj:  *SamplingFeatureID00071, RelationshipTypeCV:  "isChildOf", RelatedFeatureObj: *SamplingFeatureID00004, SpatialOffsetObj:  }</t>
  </si>
  <si>
    <t xml:space="preserve">  - {SamplingFeatureObj:  *SamplingFeatureID00072, RelationshipTypeCV:  "isChildOf", RelatedFeatureObj: *SamplingFeatureID00004, SpatialOffsetObj:  }</t>
  </si>
  <si>
    <t xml:space="preserve">  - {SamplingFeatureObj:  *SamplingFeatureID00073, RelationshipTypeCV:  "isChildOf", RelatedFeatureObj: *SamplingFeatureID00004, SpatialOffsetObj:  }</t>
  </si>
  <si>
    <t xml:space="preserve">  - {SamplingFeatureObj:  *SamplingFeatureID00074, RelationshipTypeCV:  "isChildOf", RelatedFeatureObj: *SamplingFeatureID00004, SpatialOffsetObj:  }</t>
  </si>
  <si>
    <t xml:space="preserve">  - {SamplingFeatureObj:  *SamplingFeatureID00075, RelationshipTypeCV:  "isChildOf", RelatedFeatureObj: *SamplingFeatureID00004, SpatialOffsetObj:  }</t>
  </si>
  <si>
    <t xml:space="preserve">  - {SamplingFeatureObj:  *SamplingFeatureID00076, RelationshipTypeCV:  "isChildOf", RelatedFeatureObj: *SamplingFeatureID00004, SpatialOffsetObj:  }</t>
  </si>
  <si>
    <t xml:space="preserve">  - {SamplingFeatureObj:  *SamplingFeatureID00077, RelationshipTypeCV:  "isChildOf", RelatedFeatureObj: *SamplingFeatureID00004, SpatialOffsetObj:  }</t>
  </si>
  <si>
    <t xml:space="preserve">  - {SamplingFeatureObj:  *SamplingFeatureID00078, RelationshipTypeCV:  "isChildOf", RelatedFeatureObj: *SamplingFeatureID00004, SpatialOffsetObj:  }</t>
  </si>
  <si>
    <t xml:space="preserve">  - {SamplingFeatureObj:  *SamplingFeatureID00079, RelationshipTypeCV:  "isChildOf", RelatedFeatureObj: *SamplingFeatureID00001, SpatialOffsetObj:  }</t>
  </si>
  <si>
    <t xml:space="preserve">  - {SamplingFeatureObj:  *SamplingFeatureID00080, RelationshipTypeCV:  "isChildOf", RelatedFeatureObj: *SamplingFeatureID00007, SpatialOffsetObj:  }</t>
  </si>
  <si>
    <t xml:space="preserve">  - {SamplingFeatureObj:  *SamplingFeatureID00081, RelationshipTypeCV:  "isChildOf", RelatedFeatureObj: *SamplingFeatureID00006, SpatialOffsetObj:  }</t>
  </si>
  <si>
    <t xml:space="preserve">  - {SamplingFeatureObj:  *SamplingFeatureID00082, RelationshipTypeCV:  "isChildOf", RelatedFeatureObj: *SamplingFeatureID00001, SpatialOffsetObj:  }</t>
  </si>
  <si>
    <t xml:space="preserve">  - {SamplingFeatureObj:  *SamplingFeatureID00083, RelationshipTypeCV:  "isChildOf", RelatedFeatureObj: *SamplingFeatureID00007, SpatialOffsetObj:  }</t>
  </si>
  <si>
    <t xml:space="preserve">  - {SamplingFeatureObj:  *SamplingFeatureID00084, RelationshipTypeCV:  "isChildOf", RelatedFeatureObj: *SamplingFeatureID00001, SpatialOffsetObj:  }</t>
  </si>
  <si>
    <t xml:space="preserve">  - {SamplingFeatureObj:  *SamplingFeatureID00085, RelationshipTypeCV:  "isChildOf", RelatedFeatureObj: *SamplingFeatureID00006, SpatialOffsetObj:  }</t>
  </si>
  <si>
    <t xml:space="preserve">  - {SamplingFeatureObj:  *SamplingFeatureID00086, RelationshipTypeCV:  "isChildOf", RelatedFeatureObj: *SamplingFeatureID00007, SpatialOffsetObj:  }</t>
  </si>
  <si>
    <t xml:space="preserve">  - {SamplingFeatureObj:  *SamplingFeatureID00087, RelationshipTypeCV:  "isChildOf", RelatedFeatureObj: *SamplingFeatureID00001, SpatialOffsetObj:  }</t>
  </si>
  <si>
    <t xml:space="preserve">  - {SamplingFeatureObj:  *SamplingFeatureID00088, RelationshipTypeCV:  "isChildOf", RelatedFeatureObj: *SamplingFeatureID00006, SpatialOffsetObj:  }</t>
  </si>
  <si>
    <t xml:space="preserve">  - {SamplingFeatureObj:  *SamplingFeatureID00089, RelationshipTypeCV:  "isChildOf", RelatedFeatureObj: *SamplingFeatureID00002, SpatialOffsetObj:  }</t>
  </si>
  <si>
    <t xml:space="preserve">  - {SamplingFeatureObj:  *SamplingFeatureID00090, RelationshipTypeCV:  "isChildOf", RelatedFeatureObj: *SamplingFeatureID00003, SpatialOffsetObj:  }</t>
  </si>
  <si>
    <t xml:space="preserve">  - {SamplingFeatureObj:  *SamplingFeatureID00091, RelationshipTypeCV:  "isChildOf", RelatedFeatureObj: *SamplingFeatureID00007, SpatialOffsetObj:  }</t>
  </si>
  <si>
    <t xml:space="preserve">  - {SamplingFeatureObj:  *SamplingFeatureID00092, RelationshipTypeCV:  "isChildOf", RelatedFeatureObj: *SamplingFeatureID00001, SpatialOffsetObj:  }</t>
  </si>
  <si>
    <t xml:space="preserve">  - {SamplingFeatureObj:  *SamplingFeatureID00093, RelationshipTypeCV:  "isChildOf", RelatedFeatureObj: *SamplingFeatureID00006, SpatialOffsetObj:  }</t>
  </si>
  <si>
    <t xml:space="preserve">  - {SamplingFeatureObj:  *SamplingFeatureID00094, RelationshipTypeCV:  "isChildOf", RelatedFeatureObj: *SamplingFeatureID00004, SpatialOffsetObj:  }</t>
  </si>
  <si>
    <t xml:space="preserve">  - {SamplingFeatureObj:  *SamplingFeatureID00095, RelationshipTypeCV:  "isChildOf", RelatedFeatureObj: *SamplingFeatureID00004, SpatialOffsetObj:  }</t>
  </si>
  <si>
    <t xml:space="preserve">  - {SamplingFeatureObj:  *SamplingFeatureID00096, RelationshipTypeCV:  "isChildOf", RelatedFeatureObj: *SamplingFeatureID00004, SpatialOffsetObj:  }</t>
  </si>
  <si>
    <t xml:space="preserve">  - {SamplingFeatureObj:  *SamplingFeatureID00097, RelationshipTypeCV:  "isChildOf", RelatedFeatureObj: *SamplingFeatureID00004, SpatialOffsetObj:  }</t>
  </si>
  <si>
    <t xml:space="preserve">  - {SamplingFeatureObj:  *SamplingFeatureID00098, RelationshipTypeCV:  "isChildOf", RelatedFeatureObj: *SamplingFeatureID00004, SpatialOffsetObj:  }</t>
  </si>
  <si>
    <t xml:space="preserve">  - {SamplingFeatureObj:  *SamplingFeatureID00099, RelationshipTypeCV:  "isChildOf", RelatedFeatureObj: *SamplingFeatureID00004, SpatialOffsetObj:  }</t>
  </si>
  <si>
    <t xml:space="preserve">  - {SamplingFeatureObj:  *SamplingFeatureID00100, RelationshipTypeCV:  "isChildOf", RelatedFeatureObj: *SamplingFeatureID00004, SpatialOffsetObj:  }</t>
  </si>
  <si>
    <t xml:space="preserve">  - {SamplingFeatureObj:  *SamplingFeatureID00101, RelationshipTypeCV:  "isChildOf", RelatedFeatureObj: *SamplingFeatureID00004, SpatialOffsetObj:  }</t>
  </si>
  <si>
    <t xml:space="preserve">  - {SamplingFeatureObj:  *SamplingFeatureID00102, RelationshipTypeCV:  "isChildOf", RelatedFeatureObj: *SamplingFeatureID00004, SpatialOffsetObj:  }</t>
  </si>
  <si>
    <t xml:space="preserve">  - {SamplingFeatureObj:  *SamplingFeatureID00103, RelationshipTypeCV:  "isChildOf", RelatedFeatureObj: *SamplingFeatureID00004, SpatialOffsetObj:  }</t>
  </si>
  <si>
    <t xml:space="preserve">  - {SamplingFeatureObj:  *SamplingFeatureID00104, RelationshipTypeCV:  "isChildOf", RelatedFeatureObj: *SamplingFeatureID00001, SpatialOffsetObj:  }</t>
  </si>
  <si>
    <t xml:space="preserve">  - {SamplingFeatureObj:  *SamplingFeatureID00105, RelationshipTypeCV:  "isChildOf", RelatedFeatureObj: *SamplingFeatureID00007, SpatialOffsetObj:  }</t>
  </si>
  <si>
    <t xml:space="preserve">  - {SamplingFeatureObj:  *SamplingFeatureID00106, RelationshipTypeCV:  "isChildOf", RelatedFeatureObj: *SamplingFeatureID00006, SpatialOffsetObj:  }</t>
  </si>
  <si>
    <t xml:space="preserve">  - {SamplingFeatureObj:  *SamplingFeatureID00107, RelationshipTypeCV:  "isChildOf", RelatedFeatureObj: *SamplingFeatureID00001, SpatialOffsetObj:  }</t>
  </si>
  <si>
    <t xml:space="preserve">  - {SamplingFeatureObj:  *SamplingFeatureID00108, RelationshipTypeCV:  "isChildOf", RelatedFeatureObj: *SamplingFeatureID00006, SpatialOffsetObj:  }</t>
  </si>
  <si>
    <t xml:space="preserve">  - {SamplingFeatureObj:  *SamplingFeatureID00109, RelationshipTypeCV:  "isChildOf", RelatedFeatureObj: *SamplingFeatureID00007, SpatialOffsetObj:  }</t>
  </si>
  <si>
    <t xml:space="preserve">  - {SamplingFeatureObj:  *SamplingFeatureID00110, RelationshipTypeCV:  "isChildOf", RelatedFeatureObj: *SamplingFeatureID00005, SpatialOffsetObj:  }</t>
  </si>
  <si>
    <t xml:space="preserve">  - {SamplingFeatureObj:  *SamplingFeatureID00111, RelationshipTypeCV:  "isChildOf", RelatedFeatureObj: *SamplingFeatureID00004, SpatialOffsetObj:  }</t>
  </si>
  <si>
    <t xml:space="preserve">  - {SamplingFeatureObj:  *SamplingFeatureID00112, RelationshipTypeCV:  "isChildOf", RelatedFeatureObj: *SamplingFeatureID00005, SpatialOffsetObj:  }</t>
  </si>
  <si>
    <t xml:space="preserve">  - {SamplingFeatureObj:  *SamplingFeatureID00113, RelationshipTypeCV:  "isChildOf", RelatedFeatureObj: *SamplingFeatureID00004, SpatialOffsetObj:  }</t>
  </si>
  <si>
    <t xml:space="preserve">  - {SamplingFeatureObj:  *SamplingFeatureID00114, RelationshipTypeCV:  "isChildOf", RelatedFeatureObj: *SamplingFeatureID00004, SpatialOffsetObj:  }</t>
  </si>
  <si>
    <t xml:space="preserve">  - {SamplingFeatureObj:  *SamplingFeatureID00115, RelationshipTypeCV:  "isChildOf", RelatedFeatureObj: *SamplingFeatureID00005, SpatialOffsetObj:  }</t>
  </si>
  <si>
    <t xml:space="preserve">  - {SamplingFeatureObj:  *SamplingFeatureID00116, RelationshipTypeCV:  "isChildOf", RelatedFeatureObj: *SamplingFeatureID00004, SpatialOffsetObj:  }</t>
  </si>
  <si>
    <t xml:space="preserve">  - {SamplingFeatureObj:  *SamplingFeatureID00117, RelationshipTypeCV:  "isChildOf", RelatedFeatureObj: *SamplingFeatureID00005, SpatialOffsetObj:  }</t>
  </si>
  <si>
    <t xml:space="preserve">  - {SamplingFeatureObj:  *SamplingFeatureID00118, RelationshipTypeCV:  "isChildOf", RelatedFeatureObj: *SamplingFeatureID00004, SpatialOffsetObj:  }</t>
  </si>
  <si>
    <t xml:space="preserve">  - {SamplingFeatureObj:  *SamplingFeatureID00119, RelationshipTypeCV:  "isChildOf", RelatedFeatureObj: *SamplingFeatureID00004, SpatialOffsetObj:  }</t>
  </si>
  <si>
    <t xml:space="preserve">  - {SamplingFeatureObj:  *SamplingFeatureID00120, RelationshipTypeCV:  "isChildOf", RelatedFeatureObj: *SamplingFeatureID00004, SpatialOffsetObj:  }</t>
  </si>
  <si>
    <t xml:space="preserve">  - {SamplingFeatureObj:  *SamplingFeatureID00121, RelationshipTypeCV:  "isChildOf", RelatedFeatureObj: *SamplingFeatureID00004, SpatialOffsetObj:  }</t>
  </si>
  <si>
    <t xml:space="preserve">  - {SamplingFeatureObj:  *SamplingFeatureID00122, RelationshipTypeCV:  "isChildOf", RelatedFeatureObj: *SamplingFeatureID00005, SpatialOffsetObj:  }</t>
  </si>
  <si>
    <t xml:space="preserve">  - {SamplingFeatureObj:  *SamplingFeatureID00123, RelationshipTypeCV:  "isChildOf", RelatedFeatureObj: *SamplingFeatureID00004, SpatialOffsetObj:  }</t>
  </si>
  <si>
    <t xml:space="preserve">  - {SamplingFeatureObj:  *SamplingFeatureID00124, RelationshipTypeCV:  "isChildOf", RelatedFeatureObj: *SamplingFeatureID00005, SpatialOffsetObj:  }</t>
  </si>
  <si>
    <t xml:space="preserve">  - {SamplingFeatureObj:  *SamplingFeatureID00125, RelationshipTypeCV:  "isChildOf", RelatedFeatureObj: *SamplingFeatureID00004, SpatialOffsetObj:  }</t>
  </si>
  <si>
    <t xml:space="preserve">  - {SamplingFeatureObj:  *SamplingFeatureID00126, RelationshipTypeCV:  "isChildOf", RelatedFeatureObj: *SamplingFeatureID00002, SpatialOffsetObj:  }</t>
  </si>
  <si>
    <t xml:space="preserve">  - {SamplingFeatureObj:  *SamplingFeatureID00127, RelationshipTypeCV:  "isChildOf", RelatedFeatureObj: *SamplingFeatureID00003, SpatialOffsetObj:  }</t>
  </si>
  <si>
    <t xml:space="preserve">  - {SamplingFeatureObj:  *SamplingFeatureID00128, RelationshipTypeCV:  "isChildOf", RelatedFeatureObj: *SamplingFeatureID00001, SpatialOffsetObj:  }</t>
  </si>
  <si>
    <t xml:space="preserve">  - {SamplingFeatureObj:  *SamplingFeatureID00129, RelationshipTypeCV:  "isChildOf", RelatedFeatureObj: *SamplingFeatureID00007, SpatialOffsetObj:  }</t>
  </si>
  <si>
    <t xml:space="preserve">  - {SamplingFeatureObj:  *SamplingFeatureID00130, RelationshipTypeCV:  "isChildOf", RelatedFeatureObj: *SamplingFeatureID00006, SpatialOffsetObj:  }</t>
  </si>
  <si>
    <t xml:space="preserve">  - {SamplingFeatureObj:  *SamplingFeatureID00131, RelationshipTypeCV:  "isChildOf", RelatedFeatureObj: *SamplingFeatureID00004, SpatialOffsetObj:  }</t>
  </si>
  <si>
    <t xml:space="preserve">  - {SamplingFeatureObj:  *SamplingFeatureID00132, RelationshipTypeCV:  "isChildOf", RelatedFeatureObj: *SamplingFeatureID00004, SpatialOffsetObj:  }</t>
  </si>
  <si>
    <t xml:space="preserve">  - {SamplingFeatureObj:  *SamplingFeatureID00133, RelationshipTypeCV:  "isChildOf", RelatedFeatureObj: *SamplingFeatureID00004, SpatialOffsetObj:  }</t>
  </si>
  <si>
    <t xml:space="preserve">  - {SamplingFeatureObj:  *SamplingFeatureID00134, RelationshipTypeCV:  "isChildOf", RelatedFeatureObj: *SamplingFeatureID00001, SpatialOffsetObj:  }</t>
  </si>
  <si>
    <t xml:space="preserve">  - {SamplingFeatureObj:  *SamplingFeatureID00135, RelationshipTypeCV:  "isChildOf", RelatedFeatureObj: *SamplingFeatureID00006, SpatialOffsetObj:  }</t>
  </si>
  <si>
    <t xml:space="preserve">  - {SamplingFeatureObj:  *SamplingFeatureID00136, RelationshipTypeCV:  "isChildOf", RelatedFeatureObj: *SamplingFeatureID00007, SpatialOffsetObj:  }</t>
  </si>
  <si>
    <t xml:space="preserve">  - {SamplingFeatureObj:  *SamplingFeatureID00137, RelationshipTypeCV:  "isChildOf", RelatedFeatureObj: *SamplingFeatureID00001, SpatialOffsetObj:  }</t>
  </si>
  <si>
    <t xml:space="preserve">  - {SamplingFeatureObj:  *SamplingFeatureID00138, RelationshipTypeCV:  "isChildOf", RelatedFeatureObj: *SamplingFeatureID00006, SpatialOffsetObj:  }</t>
  </si>
  <si>
    <t xml:space="preserve">  - {SamplingFeatureObj:  *SamplingFeatureID00139, RelationshipTypeCV:  "isChildOf", RelatedFeatureObj: *SamplingFeatureID00007, SpatialOffsetObj:  }</t>
  </si>
  <si>
    <t xml:space="preserve">  - {SamplingFeatureObj:  *SamplingFeatureID00140, RelationshipTypeCV:  "isChildOf", RelatedFeatureObj: *SamplingFeatureID00002, SpatialOffsetObj:  }</t>
  </si>
  <si>
    <t xml:space="preserve">  - {SamplingFeatureObj:  *SamplingFeatureID00141, RelationshipTypeCV:  "isChildOf", RelatedFeatureObj: *SamplingFeatureID00003, SpatialOffsetObj:  }</t>
  </si>
  <si>
    <t xml:space="preserve">  - {SamplingFeatureObj:  *SamplingFeatureID00142, RelationshipTypeCV:  "isChildOf", RelatedFeatureObj: *SamplingFeatureID00004, SpatialOffsetObj:  }</t>
  </si>
  <si>
    <t xml:space="preserve">  - {SamplingFeatureObj:  *SamplingFeatureID00143, RelationshipTypeCV:  "isChildOf", RelatedFeatureObj: *SamplingFeatureID00004, SpatialOffsetObj:  }</t>
  </si>
  <si>
    <t xml:space="preserve">  - {SamplingFeatureObj:  *SamplingFeatureID00144, RelationshipTypeCV:  "isChildOf", RelatedFeatureObj: *SamplingFeatureID00004, SpatialOffsetObj:  }</t>
  </si>
  <si>
    <t xml:space="preserve">  - {SamplingFeatureObj:  *SamplingFeatureID00145, RelationshipTypeCV:  "isChildOf", RelatedFeatureObj: *SamplingFeatureID00004, SpatialOffsetObj:  }</t>
  </si>
  <si>
    <t xml:space="preserve">  - {SamplingFeatureObj:  *SamplingFeatureID00146, RelationshipTypeCV:  "isChildOf", RelatedFeatureObj: *SamplingFeatureID00004, SpatialOffsetObj:  }</t>
  </si>
  <si>
    <t xml:space="preserve">  - {SamplingFeatureObj:  *SamplingFeatureID00147, RelationshipTypeCV:  "isChildOf", RelatedFeatureObj: *SamplingFeatureID00004, SpatialOffsetObj:  }</t>
  </si>
  <si>
    <t xml:space="preserve">  - {SamplingFeatureObj:  *SamplingFeatureID00148, RelationshipTypeCV:  "isChildOf", RelatedFeatureObj: *SamplingFeatureID00004, SpatialOffsetObj:  }</t>
  </si>
  <si>
    <t xml:space="preserve">  - {SamplingFeatureObj:  *SamplingFeatureID00149, RelationshipTypeCV:  "isChildOf", RelatedFeatureObj: *SamplingFeatureID00004, SpatialOffsetObj:  }</t>
  </si>
  <si>
    <t xml:space="preserve">  - {SamplingFeatureObj:  *SamplingFeatureID00150, RelationshipTypeCV:  "isChildOf", RelatedFeatureObj: *SamplingFeatureID00004, SpatialOffsetObj:  }</t>
  </si>
  <si>
    <t xml:space="preserve">  - {SamplingFeatureObj:  *SamplingFeatureID00151, RelationshipTypeCV:  "isChildOf", RelatedFeatureObj: *SamplingFeatureID00004, SpatialOffsetObj:  }</t>
  </si>
  <si>
    <t xml:space="preserve">  - {SamplingFeatureObj:  *SamplingFeatureID00152, RelationshipTypeCV:  "isChildOf", RelatedFeatureObj: *SamplingFeatureID00001, SpatialOffsetObj:  }</t>
  </si>
  <si>
    <t xml:space="preserve">  - {SamplingFeatureObj:  *SamplingFeatureID00153, RelationshipTypeCV:  "isChildOf", RelatedFeatureObj: *SamplingFeatureID00007, SpatialOffsetObj:  }</t>
  </si>
  <si>
    <t xml:space="preserve">  - {SamplingFeatureObj:  *SamplingFeatureID00154, RelationshipTypeCV:  "isChildOf", RelatedFeatureObj: *SamplingFeatureID00006, SpatialOffsetObj:  }</t>
  </si>
  <si>
    <t xml:space="preserve">  - {SamplingFeatureObj:  *SamplingFeatureID00155, RelationshipTypeCV:  "isChildOf", RelatedFeatureObj: *SamplingFeatureID00001, SpatialOffsetObj:  }</t>
  </si>
  <si>
    <t xml:space="preserve">  - {SamplingFeatureObj:  *SamplingFeatureID00156, RelationshipTypeCV:  "isChildOf", RelatedFeatureObj: *SamplingFeatureID00007, SpatialOffsetObj:  }</t>
  </si>
  <si>
    <t xml:space="preserve">  - {SamplingFeatureObj:  *SamplingFeatureID00157, RelationshipTypeCV:  "isChildOf", RelatedFeatureObj: *SamplingFeatureID00006, SpatialOffsetObj:  }</t>
  </si>
  <si>
    <t xml:space="preserve">  - {SamplingFeatureObj:  *SamplingFeatureID00158, RelationshipTypeCV:  "isChildOf", RelatedFeatureObj: *SamplingFeatureID00003, SpatialOffsetObj:  }</t>
  </si>
  <si>
    <t xml:space="preserve">  - {SamplingFeatureObj:  *SamplingFeatureID00159, RelationshipTypeCV:  "isChildOf", RelatedFeatureObj: *SamplingFeatureID00001, SpatialOffsetObj:  }</t>
  </si>
  <si>
    <t xml:space="preserve">  - {SamplingFeatureObj:  *SamplingFeatureID00160, RelationshipTypeCV:  "isChildOf", RelatedFeatureObj: *SamplingFeatureID00007, SpatialOffsetObj:  }</t>
  </si>
  <si>
    <t xml:space="preserve">  - {SamplingFeatureObj:  *SamplingFeatureID00161, RelationshipTypeCV:  "isChildOf", RelatedFeatureObj: *SamplingFeatureID00006, SpatialOffsetObj:  }</t>
  </si>
  <si>
    <t xml:space="preserve">  - {SamplingFeatureObj:  *SamplingFeatureID00162, RelationshipTypeCV:  "isChildOf", RelatedFeatureObj: *SamplingFeatureID00003, SpatialOffsetObj:  }</t>
  </si>
  <si>
    <t xml:space="preserve">  - {SamplingFeatureObj:  *SamplingFeatureID00163, RelationshipTypeCV:  "isChildOf", RelatedFeatureObj: *SamplingFeatureID00007, SpatialOffsetObj:  }</t>
  </si>
  <si>
    <t xml:space="preserve">  - {SamplingFeatureObj:  *SamplingFeatureID00164, RelationshipTypeCV:  "isChildOf", RelatedFeatureObj: *SamplingFeatureID00006, SpatialOffsetObj:  }</t>
  </si>
  <si>
    <t xml:space="preserve">  - {SamplingFeatureObj:  *SamplingFeatureID00165, RelationshipTypeCV:  "isChildOf", RelatedFeatureObj: *SamplingFeatureID00001, SpatialOffsetObj:  }</t>
  </si>
  <si>
    <t xml:space="preserve">  - {SamplingFeatureObj:  *SamplingFeatureID00166, RelationshipTypeCV:  "isChildOf", RelatedFeatureObj: *SamplingFeatureID00003, SpatialOffsetObj:  }</t>
  </si>
  <si>
    <t xml:space="preserve">  - {SamplingFeatureObj:  *SamplingFeatureID00167, RelationshipTypeCV:  "isChildOf", RelatedFeatureObj: *SamplingFeatureID00001, SpatialOffsetObj:  }</t>
  </si>
  <si>
    <t xml:space="preserve">  - {SamplingFeatureObj:  *SamplingFeatureID00168, RelationshipTypeCV:  "isChildOf", RelatedFeatureObj: *SamplingFeatureID00006, SpatialOffsetObj:  }</t>
  </si>
  <si>
    <t xml:space="preserve">  - {SamplingFeatureObj:  *SamplingFeatureID00169, RelationshipTypeCV:  "isChildOf", RelatedFeatureObj: *SamplingFeatureID00007, SpatialOffsetObj:  }</t>
  </si>
  <si>
    <t xml:space="preserve">  - {SamplingFeatureObj:  *SamplingFeatureID00170, RelationshipTypeCV:  "isChildOf", RelatedFeatureObj: *SamplingFeatureID00004, SpatialOffsetObj:  }</t>
  </si>
  <si>
    <t xml:space="preserve">  - {SamplingFeatureObj:  *SamplingFeatureID00171, RelationshipTypeCV:  "isChildOf", RelatedFeatureObj: *SamplingFeatureID00004, SpatialOffsetObj:  }</t>
  </si>
  <si>
    <t xml:space="preserve">  - {SamplingFeatureObj:  *SamplingFeatureID00172, RelationshipTypeCV:  "isChildOf", RelatedFeatureObj: *SamplingFeatureID00004, SpatialOffsetObj:  }</t>
  </si>
  <si>
    <t xml:space="preserve">  - {SamplingFeatureObj:  *SamplingFeatureID00173, RelationshipTypeCV:  "isChildOf", RelatedFeatureObj: *SamplingFeatureID00004, SpatialOffsetObj:  }</t>
  </si>
  <si>
    <t xml:space="preserve">  - {SamplingFeatureObj:  *SamplingFeatureID00174, RelationshipTypeCV:  "isChildOf", RelatedFeatureObj: *SamplingFeatureID00004, SpatialOffsetObj:  }</t>
  </si>
  <si>
    <t xml:space="preserve">  - {SamplingFeatureObj:  *SamplingFeatureID00175, RelationshipTypeCV:  "isChildOf", RelatedFeatureObj: *SamplingFeatureID00004, SpatialOffsetObj:  }</t>
  </si>
  <si>
    <t xml:space="preserve">  - {SamplingFeatureObj:  *SamplingFeatureID00176, RelationshipTypeCV:  "isChildOf", RelatedFeatureObj: *SamplingFeatureID00004, SpatialOffsetObj:  }</t>
  </si>
  <si>
    <t xml:space="preserve">  - {SamplingFeatureObj:  *SamplingFeatureID00177, RelationshipTypeCV:  "isChildOf", RelatedFeatureObj: *SamplingFeatureID00004, SpatialOffsetObj:  }</t>
  </si>
  <si>
    <t xml:space="preserve">  - {SamplingFeatureObj:  *SamplingFeatureID00178, RelationshipTypeCV:  "isChildOf", RelatedFeatureObj: *SamplingFeatureID00004, SpatialOffsetObj:  }</t>
  </si>
  <si>
    <t xml:space="preserve">  - {SamplingFeatureObj:  *SamplingFeatureID00179, RelationshipTypeCV:  "isChildOf", RelatedFeatureObj: *SamplingFeatureID00004, SpatialOffsetObj:  }</t>
  </si>
  <si>
    <t xml:space="preserve">  - {SamplingFeatureObj:  *SamplingFeatureID00180, RelationshipTypeCV:  "isChildOf", RelatedFeatureObj: *SamplingFeatureID00004, SpatialOffsetObj:  }</t>
  </si>
  <si>
    <t xml:space="preserve">  - {SamplingFeatureObj:  *SamplingFeatureID00181, RelationshipTypeCV:  "isChildOf", RelatedFeatureObj: *SamplingFeatureID00004, SpatialOffsetObj:  }</t>
  </si>
  <si>
    <t xml:space="preserve">  - {SamplingFeatureObj:  *SamplingFeatureID00182, RelationshipTypeCV:  "isChildOf", RelatedFeatureObj: *SamplingFeatureID00001, SpatialOffsetObj:  }</t>
  </si>
  <si>
    <t xml:space="preserve">  - {SamplingFeatureObj:  *SamplingFeatureID00183, RelationshipTypeCV:  "isChildOf", RelatedFeatureObj: *SamplingFeatureID00007, SpatialOffsetObj:  }</t>
  </si>
  <si>
    <t xml:space="preserve">  - {SamplingFeatureObj:  *SamplingFeatureID00184, RelationshipTypeCV:  "isChildOf", RelatedFeatureObj: *SamplingFeatureID00006, SpatialOffsetObj:  }</t>
  </si>
  <si>
    <t xml:space="preserve">  - {SamplingFeatureObj:  *SamplingFeatureID00185, RelationshipTypeCV:  "isChildOf", RelatedFeatureObj: *SamplingFeatureID00003, SpatialOffsetObj:  }</t>
  </si>
  <si>
    <t xml:space="preserve">  - {SamplingFeatureObj:  *SamplingFeatureID00186, RelationshipTypeCV:  "isChildOf", RelatedFeatureObj: *SamplingFeatureID00007, SpatialOffsetObj:  }</t>
  </si>
  <si>
    <t xml:space="preserve">  - {SamplingFeatureObj:  *SamplingFeatureID00187, RelationshipTypeCV:  "isChildOf", RelatedFeatureObj: *SamplingFeatureID00001, SpatialOffsetObj:  }</t>
  </si>
  <si>
    <t xml:space="preserve">  - {SamplingFeatureObj:  *SamplingFeatureID00188, RelationshipTypeCV:  "isChildOf", RelatedFeatureObj: *SamplingFeatureID00006, SpatialOffsetObj:  }</t>
  </si>
  <si>
    <t xml:space="preserve">  - {SamplingFeatureObj:  *SamplingFeatureID00189, RelationshipTypeCV:  "isChildOf", RelatedFeatureObj: *SamplingFeatureID00002, SpatialOffsetObj:  }</t>
  </si>
  <si>
    <t xml:space="preserve">  - {SamplingFeatureObj:  *SamplingFeatureID00190, RelationshipTypeCV:  "isChildOf", RelatedFeatureObj: *SamplingFeatureID00003, SpatialOffsetObj:  }</t>
  </si>
  <si>
    <t xml:space="preserve">  - {SamplingFeatureObj:  *SamplingFeatureID00191, RelationshipTypeCV:  "isChildOf", RelatedFeatureObj: *SamplingFeatureID00001, SpatialOffsetObj:  }</t>
  </si>
  <si>
    <t xml:space="preserve">  - {SamplingFeatureObj:  *SamplingFeatureID00192, RelationshipTypeCV:  "isChildOf", RelatedFeatureObj: *SamplingFeatureID00006, SpatialOffsetObj:  }</t>
  </si>
  <si>
    <t xml:space="preserve">  - {SamplingFeatureObj:  *SamplingFeatureID00193, RelationshipTypeCV:  "isChildOf", RelatedFeatureObj: *SamplingFeatureID00007, SpatialOffsetObj:  }</t>
  </si>
  <si>
    <t xml:space="preserve">  - {SamplingFeatureObj:  *SamplingFeatureID00194, RelationshipTypeCV:  "isChildOf", RelatedFeatureObj: *SamplingFeatureID00002, SpatialOffsetObj:  }</t>
  </si>
  <si>
    <t xml:space="preserve">  - {SamplingFeatureObj:  *SamplingFeatureID00195, RelationshipTypeCV:  "isChildOf", RelatedFeatureObj: *SamplingFeatureID00003, SpatialOffsetObj:  }</t>
  </si>
  <si>
    <t xml:space="preserve">  - {SamplingFeatureObj:  *SamplingFeatureID00196, RelationshipTypeCV:  "isChildOf", RelatedFeatureObj: *SamplingFeatureID00001, SpatialOffsetObj:  }</t>
  </si>
  <si>
    <t xml:space="preserve">  - {SamplingFeatureObj:  *SamplingFeatureID00197, RelationshipTypeCV:  "isChildOf", RelatedFeatureObj: *SamplingFeatureID00007, SpatialOffsetObj:  }</t>
  </si>
  <si>
    <t xml:space="preserve">  - {SamplingFeatureObj:  *SamplingFeatureID00198, RelationshipTypeCV:  "isChildOf", RelatedFeatureObj: *SamplingFeatureID00006, SpatialOffsetObj:  }</t>
  </si>
  <si>
    <t xml:space="preserve">  - {SamplingFeatureObj:  *SamplingFeatureID00199, RelationshipTypeCV:  "isChildOf", RelatedFeatureObj: *SamplingFeatureID00002, SpatialOffsetObj:  }</t>
  </si>
  <si>
    <t xml:space="preserve">  - {SamplingFeatureObj:  *SamplingFeatureID00200, RelationshipTypeCV:  "isChildOf", RelatedFeatureObj: *SamplingFeatureID00003, SpatialOffsetObj:  }</t>
  </si>
  <si>
    <t xml:space="preserve">  - {SamplingFeatureObj:  *SamplingFeatureID00201, RelationshipTypeCV:  "isChildOf", RelatedFeatureObj: *SamplingFeatureID00001, SpatialOffsetObj:  }</t>
  </si>
  <si>
    <t xml:space="preserve">  - {SamplingFeatureObj:  *SamplingFeatureID00202, RelationshipTypeCV:  "isChildOf", RelatedFeatureObj: *SamplingFeatureID00007, SpatialOffsetObj:  }</t>
  </si>
  <si>
    <t xml:space="preserve">  - {SamplingFeatureObj:  *SamplingFeatureID00203, RelationshipTypeCV:  "isChildOf", RelatedFeatureObj: *SamplingFeatureID00006, SpatialOffsetObj:  }</t>
  </si>
  <si>
    <t xml:space="preserve">  - {SamplingFeatureObj:  *SamplingFeatureID00204, RelationshipTypeCV:  "isChildOf", RelatedFeatureObj: *SamplingFeatureID00001, SpatialOffsetObj:  }</t>
  </si>
  <si>
    <t xml:space="preserve">  - {SamplingFeatureObj:  *SamplingFeatureID00205, RelationshipTypeCV:  "isChildOf", RelatedFeatureObj: *SamplingFeatureID00007, SpatialOffsetObj:  }</t>
  </si>
  <si>
    <t xml:space="preserve">  - {SamplingFeatureObj:  *SamplingFeatureID00206, RelationshipTypeCV:  "isChildOf", RelatedFeatureObj: *SamplingFeatureID00006, SpatialOffsetObj:  }</t>
  </si>
  <si>
    <t xml:space="preserve">  - {SamplingFeatureObj:  *SamplingFeatureID00207, RelationshipTypeCV:  "isChildOf", RelatedFeatureObj: *SamplingFeatureID00001, SpatialOffsetObj:  }</t>
  </si>
  <si>
    <t xml:space="preserve">  - {SamplingFeatureObj:  *SamplingFeatureID00208, RelationshipTypeCV:  "isChildOf", RelatedFeatureObj: *SamplingFeatureID00007, SpatialOffsetObj:  }</t>
  </si>
  <si>
    <t xml:space="preserve">  - {SamplingFeatureObj:  *SamplingFeatureID00209, RelationshipTypeCV:  "isChildOf", RelatedFeatureObj: *SamplingFeatureID00006, SpatialOffsetObj:  }</t>
  </si>
  <si>
    <t xml:space="preserve">  - {SamplingFeatureObj:  *SamplingFeatureID00210, RelationshipTypeCV:  "isChildOf", RelatedFeatureObj: *SamplingFeatureID00002, SpatialOffsetObj:  }</t>
  </si>
  <si>
    <t xml:space="preserve">  - {SamplingFeatureObj:  *SamplingFeatureID00211, RelationshipTypeCV:  "isChildOf", RelatedFeatureObj: *SamplingFeatureID00003, SpatialOffsetObj:  }</t>
  </si>
  <si>
    <t xml:space="preserve">  - {SamplingFeatureObj:  *SamplingFeatureID00212, RelationshipTypeCV:  "isChildOf", RelatedFeatureObj: *SamplingFeatureID00004, SpatialOffsetObj:  }</t>
  </si>
  <si>
    <t xml:space="preserve">  - {SamplingFeatureObj:  *SamplingFeatureID00213, RelationshipTypeCV:  "isChildOf", RelatedFeatureObj: *SamplingFeatureID00004, SpatialOffsetObj:  }</t>
  </si>
  <si>
    <t xml:space="preserve">  - {SamplingFeatureObj:  *SamplingFeatureID00214, RelationshipTypeCV:  "isChildOf", RelatedFeatureObj: *SamplingFeatureID00004, SpatialOffsetObj:  }</t>
  </si>
  <si>
    <t xml:space="preserve">  - {SamplingFeatureObj:  *SamplingFeatureID00215, RelationshipTypeCV:  "isChildOf", RelatedFeatureObj: *SamplingFeatureID00004, SpatialOffsetObj:  }</t>
  </si>
  <si>
    <t xml:space="preserve">  - {SamplingFeatureObj:  *SamplingFeatureID00216, RelationshipTypeCV:  "isChildOf", RelatedFeatureObj: *SamplingFeatureID00004, SpatialOffsetObj:  }</t>
  </si>
  <si>
    <t xml:space="preserve">  - {SamplingFeatureObj:  *SamplingFeatureID00217, RelationshipTypeCV:  "isChildOf", RelatedFeatureObj: *SamplingFeatureID00004, SpatialOffsetObj:  }</t>
  </si>
  <si>
    <t xml:space="preserve">  - {SamplingFeatureObj:  *SamplingFeatureID00218, RelationshipTypeCV:  "isChildOf", RelatedFeatureObj: *SamplingFeatureID00004, SpatialOffsetObj:  }</t>
  </si>
  <si>
    <t xml:space="preserve">  - {SamplingFeatureObj:  *SamplingFeatureID00219, RelationshipTypeCV:  "isChildOf", RelatedFeatureObj: *SamplingFeatureID00004, SpatialOffsetObj:  }</t>
  </si>
  <si>
    <t xml:space="preserve">  - {SamplingFeatureObj:  *SamplingFeatureID00220, RelationshipTypeCV:  "isChildOf", RelatedFeatureObj: *SamplingFeatureID00004, SpatialOffsetObj:  }</t>
  </si>
  <si>
    <t xml:space="preserve">  - {SamplingFeatureObj:  *SamplingFeatureID00221, RelationshipTypeCV:  "isChildOf", RelatedFeatureObj: *SamplingFeatureID00004, SpatialOffsetObj:  }</t>
  </si>
  <si>
    <t xml:space="preserve">  - {SamplingFeatureObj:  *SamplingFeatureID00222, RelationshipTypeCV:  "isChildOf", RelatedFeatureObj: *SamplingFeatureID00001, SpatialOffsetObj:  }</t>
  </si>
  <si>
    <t xml:space="preserve">  - {SamplingFeatureObj:  *SamplingFeatureID00223, RelationshipTypeCV:  "isChildOf", RelatedFeatureObj: *SamplingFeatureID00007, SpatialOffsetObj:  }</t>
  </si>
  <si>
    <t xml:space="preserve">  - {SamplingFeatureObj:  *SamplingFeatureID00224, RelationshipTypeCV:  "isChildOf", RelatedFeatureObj: *SamplingFeatureID00006, SpatialOffsetObj:  }</t>
  </si>
  <si>
    <t xml:space="preserve">  - {SamplingFeatureObj:  *SamplingFeatureID00225, RelationshipTypeCV:  "isChildOf", RelatedFeatureObj: *SamplingFeatureID00001, SpatialOffsetObj:  }</t>
  </si>
  <si>
    <t xml:space="preserve">  - {SamplingFeatureObj:  *SamplingFeatureID00226, RelationshipTypeCV:  "isChildOf", RelatedFeatureObj: *SamplingFeatureID00006, SpatialOffsetObj:  }</t>
  </si>
  <si>
    <t xml:space="preserve">  - {SamplingFeatureObj:  *SamplingFeatureID00227, RelationshipTypeCV:  "isChildOf", RelatedFeatureObj: *SamplingFeatureID00007, SpatialOffsetObj:  }</t>
  </si>
  <si>
    <t xml:space="preserve">  - {SamplingFeatureObj:  *SamplingFeatureID00228, RelationshipTypeCV:  "isChildOf", RelatedFeatureObj: *SamplingFeatureID00004, SpatialOffsetObj:  }</t>
  </si>
  <si>
    <t xml:space="preserve">  - {SamplingFeatureObj:  *SamplingFeatureID00229, RelationshipTypeCV:  "isChildOf", RelatedFeatureObj: *SamplingFeatureID00004, SpatialOffsetObj:  }</t>
  </si>
  <si>
    <t xml:space="preserve">  - {SamplingFeatureObj:  *SamplingFeatureID00230, RelationshipTypeCV:  "isChildOf", RelatedFeatureObj: *SamplingFeatureID00004, SpatialOffsetObj:  }</t>
  </si>
  <si>
    <t xml:space="preserve">  - {SamplingFeatureObj:  *SamplingFeatureID00231, RelationshipTypeCV:  "isChildOf", RelatedFeatureObj: *SamplingFeatureID00004, SpatialOffsetObj:  }</t>
  </si>
  <si>
    <t xml:space="preserve">  - {SamplingFeatureObj:  *SamplingFeatureID00232, RelationshipTypeCV:  "isChildOf", RelatedFeatureObj: *SamplingFeatureID00004, SpatialOffsetObj:  }</t>
  </si>
  <si>
    <t xml:space="preserve">  - {SamplingFeatureObj:  *SamplingFeatureID00233, RelationshipTypeCV:  "isChildOf", RelatedFeatureObj: *SamplingFeatureID00004, SpatialOffsetObj:  }</t>
  </si>
  <si>
    <t xml:space="preserve">  - {SamplingFeatureObj:  *SamplingFeatureID00234, RelationshipTypeCV:  "isChildOf", RelatedFeatureObj: *SamplingFeatureID00004, SpatialOffsetObj:  }</t>
  </si>
  <si>
    <t xml:space="preserve">  - {SamplingFeatureObj:  *SamplingFeatureID00235, RelationshipTypeCV:  "isChildOf", RelatedFeatureObj: *SamplingFeatureID00004, SpatialOffsetObj:  }</t>
  </si>
  <si>
    <t xml:space="preserve">  - {SamplingFeatureObj:  *SamplingFeatureID00236, RelationshipTypeCV:  "isChildOf", RelatedFeatureObj: *SamplingFeatureID00004, SpatialOffsetObj:  }</t>
  </si>
  <si>
    <t xml:space="preserve">  - {SamplingFeatureObj:  *SamplingFeatureID00237, RelationshipTypeCV:  "isChildOf", RelatedFeatureObj: *SamplingFeatureID00004, SpatialOffsetObj:  }</t>
  </si>
  <si>
    <t xml:space="preserve">  - {SamplingFeatureObj:  *SamplingFeatureID00238, RelationshipTypeCV:  "isChildOf", RelatedFeatureObj: *SamplingFeatureID00004, SpatialOffsetObj:  }</t>
  </si>
  <si>
    <t xml:space="preserve">  - {SamplingFeatureObj:  *SamplingFeatureID00239, RelationshipTypeCV:  "isChildOf", RelatedFeatureObj: *SamplingFeatureID00004, SpatialOffsetObj:  }</t>
  </si>
  <si>
    <t xml:space="preserve">  - {SamplingFeatureObj:  *SamplingFeatureID00240, RelationshipTypeCV:  "isChildOf", RelatedFeatureObj: *SamplingFeatureID00004, SpatialOffsetObj:  }</t>
  </si>
  <si>
    <t xml:space="preserve">  - {SamplingFeatureObj:  *SamplingFeatureID00241, RelationshipTypeCV:  "isChildOf", RelatedFeatureObj: *SamplingFeatureID00004, SpatialOffsetObj:  }</t>
  </si>
  <si>
    <t xml:space="preserve">  - {SamplingFeatureObj:  *SamplingFeatureID00242, RelationshipTypeCV:  "isChildOf", RelatedFeatureObj: *SamplingFeatureID00001, SpatialOffsetObj:  }</t>
  </si>
  <si>
    <t xml:space="preserve">  - {SamplingFeatureObj:  *SamplingFeatureID00243, RelationshipTypeCV:  "isChildOf", RelatedFeatureObj: *SamplingFeatureID00007, SpatialOffsetObj:  }</t>
  </si>
  <si>
    <t xml:space="preserve">  - {SamplingFeatureObj:  *SamplingFeatureID00244, RelationshipTypeCV:  "isChildOf", RelatedFeatureObj: *SamplingFeatureID00006, SpatialOffsetObj:  }</t>
  </si>
  <si>
    <t xml:space="preserve">  - {SamplingFeatureObj:  *SamplingFeatureID00245, RelationshipTypeCV:  "isChildOf", RelatedFeatureObj: *SamplingFeatureID00002, SpatialOffsetObj:  }</t>
  </si>
  <si>
    <t xml:space="preserve">  - {SamplingFeatureObj:  *SamplingFeatureID00246, RelationshipTypeCV:  "isChildOf", RelatedFeatureObj: *SamplingFeatureID00003, SpatialOffsetObj:  }</t>
  </si>
  <si>
    <t xml:space="preserve">  - {SamplingFeatureObj:  *SamplingFeatureID00247, RelationshipTypeCV:  "isChildOf", RelatedFeatureObj: *SamplingFeatureID00001, SpatialOffsetObj:  }</t>
  </si>
  <si>
    <t xml:space="preserve">  - {SamplingFeatureObj:  *SamplingFeatureID00248, RelationshipTypeCV:  "isChildOf", RelatedFeatureObj: *SamplingFeatureID00007, SpatialOffsetObj:  }</t>
  </si>
  <si>
    <t xml:space="preserve">  - {SamplingFeatureObj:  *SamplingFeatureID00249, RelationshipTypeCV:  "isChildOf", RelatedFeatureObj: *SamplingFeatureID00006, SpatialOffsetObj:  }</t>
  </si>
  <si>
    <t xml:space="preserve">  - {SamplingFeatureObj:  *SamplingFeatureID00250, RelationshipTypeCV:  "isChildOf", RelatedFeatureObj: *SamplingFeatureID00001, SpatialOffsetObj:  }</t>
  </si>
  <si>
    <t xml:space="preserve">  - {SamplingFeatureObj:  *SamplingFeatureID00251, RelationshipTypeCV:  "isChildOf", RelatedFeatureObj: *SamplingFeatureID00007, SpatialOffsetObj:  }</t>
  </si>
  <si>
    <t xml:space="preserve">  - {SamplingFeatureObj:  *SamplingFeatureID00252, RelationshipTypeCV:  "isChildOf", RelatedFeatureObj: *SamplingFeatureID00006, SpatialOffsetObj:  }</t>
  </si>
  <si>
    <t xml:space="preserve">  - {SamplingFeatureObj:  *SamplingFeatureID00253, RelationshipTypeCV:  "isChildOf", RelatedFeatureObj: *SamplingFeatureID00001, SpatialOffsetObj:  }</t>
  </si>
  <si>
    <t xml:space="preserve">  - {SamplingFeatureObj:  *SamplingFeatureID00254, RelationshipTypeCV:  "isChildOf", RelatedFeatureObj: *SamplingFeatureID00006, SpatialOffsetObj:  }</t>
  </si>
  <si>
    <t xml:space="preserve">  - {SamplingFeatureObj:  *SamplingFeatureID00255, RelationshipTypeCV:  "isChildOf", RelatedFeatureObj: *SamplingFeatureID00007, SpatialOffsetObj:  }</t>
  </si>
  <si>
    <t xml:space="preserve">  - {SamplingFeatureObj:  *SamplingFeatureID00256, RelationshipTypeCV:  "isChildOf", RelatedFeatureObj: *SamplingFeatureID00004, SpatialOffsetObj:  }</t>
  </si>
  <si>
    <t xml:space="preserve">  - {SamplingFeatureObj:  *SamplingFeatureID00257, RelationshipTypeCV:  "isChildOf", RelatedFeatureObj: *SamplingFeatureID00004, SpatialOffsetObj:  }</t>
  </si>
  <si>
    <t xml:space="preserve">  - {SamplingFeatureObj:  *SamplingFeatureID00258, RelationshipTypeCV:  "isChildOf", RelatedFeatureObj: *SamplingFeatureID00004, SpatialOffsetObj:  }</t>
  </si>
  <si>
    <t xml:space="preserve">  - {SamplingFeatureObj:  *SamplingFeatureID00259, RelationshipTypeCV:  "isChildOf", RelatedFeatureObj: *SamplingFeatureID00004, SpatialOffsetObj:  }</t>
  </si>
  <si>
    <t xml:space="preserve">  - {SamplingFeatureObj:  *SamplingFeatureID00260, RelationshipTypeCV:  "isChildOf", RelatedFeatureObj: *SamplingFeatureID00004, SpatialOffsetObj:  }</t>
  </si>
  <si>
    <t xml:space="preserve">  - {SamplingFeatureObj:  *SamplingFeatureID00261, RelationshipTypeCV:  "isChildOf", RelatedFeatureObj: *SamplingFeatureID00004, SpatialOffsetObj:  }</t>
  </si>
  <si>
    <t xml:space="preserve">  - {SamplingFeatureObj:  *SamplingFeatureID00262, RelationshipTypeCV:  "isChildOf", RelatedFeatureObj: *SamplingFeatureID00004, SpatialOffsetObj:  }</t>
  </si>
  <si>
    <t xml:space="preserve">  - {SamplingFeatureObj:  *SamplingFeatureID00263, RelationshipTypeCV:  "isChildOf", RelatedFeatureObj: *SamplingFeatureID00004, SpatialOffsetObj:  }</t>
  </si>
  <si>
    <t xml:space="preserve">  - {SamplingFeatureObj:  *SamplingFeatureID00264, RelationshipTypeCV:  "isChildOf", RelatedFeatureObj: *SamplingFeatureID00004, SpatialOffsetObj:  }</t>
  </si>
  <si>
    <t xml:space="preserve">  - {SamplingFeatureObj:  *SamplingFeatureID00265, RelationshipTypeCV:  "isChildOf", RelatedFeatureObj: *SamplingFeatureID00004, SpatialOffsetObj:  }</t>
  </si>
  <si>
    <t xml:space="preserve">  - {SamplingFeatureObj:  *SamplingFeatureID00266, RelationshipTypeCV:  "isChildOf", RelatedFeatureObj: *SamplingFeatureID00004, SpatialOffsetObj:  }</t>
  </si>
  <si>
    <t xml:space="preserve">  - {SamplingFeatureObj:  *SamplingFeatureID00267, RelationshipTypeCV:  "isChildOf", RelatedFeatureObj: *SamplingFeatureID00004, SpatialOffsetObj:  }</t>
  </si>
  <si>
    <t xml:space="preserve">  - {SamplingFeatureObj:  *SamplingFeatureID00268, RelationshipTypeCV:  "isChildOf", RelatedFeatureObj: *SamplingFeatureID00004, SpatialOffsetObj:  }</t>
  </si>
  <si>
    <t xml:space="preserve">  - {SamplingFeatureObj:  *SamplingFeatureID00269, RelationshipTypeCV:  "isChildOf", RelatedFeatureObj: *SamplingFeatureID00004, SpatialOffsetObj:  }</t>
  </si>
  <si>
    <t xml:space="preserve">  - {SamplingFeatureObj:  *SamplingFeatureID00270, RelationshipTypeCV:  "isChildOf", RelatedFeatureObj: *SamplingFeatureID00004, SpatialOffsetObj:  }</t>
  </si>
  <si>
    <t xml:space="preserve">  - {SamplingFeatureObj:  *SamplingFeatureID00271, RelationshipTypeCV:  "isChildOf", RelatedFeatureObj: *SamplingFeatureID00004, SpatialOffsetObj:  }</t>
  </si>
  <si>
    <t xml:space="preserve">  - {SamplingFeatureObj:  *SamplingFeatureID00272, RelationshipTypeCV:  "isChildOf", RelatedFeatureObj: *SamplingFeatureID00004, SpatialOffsetObj:  }</t>
  </si>
  <si>
    <t xml:space="preserve">  - {SamplingFeatureObj:  *SamplingFeatureID00273, RelationshipTypeCV:  "isChildOf", RelatedFeatureObj: *SamplingFeatureID00004, SpatialOffsetObj:  }</t>
  </si>
  <si>
    <t xml:space="preserve">  - {SamplingFeatureObj:  *SamplingFeatureID00274, RelationshipTypeCV:  "isChildOf", RelatedFeatureObj: *SamplingFeatureID00004, SpatialOffsetObj:  }</t>
  </si>
  <si>
    <t xml:space="preserve">  - {SamplingFeatureObj:  *SamplingFeatureID00275, RelationshipTypeCV:  "isChildOf", RelatedFeatureObj: *SamplingFeatureID00004, SpatialOffsetObj:  }</t>
  </si>
  <si>
    <t xml:space="preserve">  - {SamplingFeatureObj:  *SamplingFeatureID00276, RelationshipTypeCV:  "isChildOf", RelatedFeatureObj: *SamplingFeatureID00004, SpatialOffsetObj:  }</t>
  </si>
  <si>
    <t xml:space="preserve">  - {SamplingFeatureObj:  *SamplingFeatureID00277, RelationshipTypeCV:  "isChildOf", RelatedFeatureObj: *SamplingFeatureID00002, SpatialOffsetObj:  }</t>
  </si>
  <si>
    <t xml:space="preserve">  - {SamplingFeatureObj:  *SamplingFeatureID00278, RelationshipTypeCV:  "isChildOf", RelatedFeatureObj: *SamplingFeatureID00003, SpatialOffsetObj:  }</t>
  </si>
  <si>
    <t xml:space="preserve">  - {SamplingFeatureObj:  *SamplingFeatureID00279, RelationshipTypeCV:  "isChildOf", RelatedFeatureObj: *SamplingFeatureID00001, SpatialOffsetObj:  }</t>
  </si>
  <si>
    <t xml:space="preserve">  - {SamplingFeatureObj:  *SamplingFeatureID00280, RelationshipTypeCV:  "isChildOf", RelatedFeatureObj: *SamplingFeatureID00006, SpatialOffsetObj:  }</t>
  </si>
  <si>
    <t xml:space="preserve">  - {SamplingFeatureObj:  *SamplingFeatureID00281, RelationshipTypeCV:  "isChildOf", RelatedFeatureObj: *SamplingFeatureID00007, SpatialOffsetObj:  }</t>
  </si>
  <si>
    <t xml:space="preserve">  - {SamplingFeatureObj:  *SamplingFeatureID00282, RelationshipTypeCV:  "isChildOf", RelatedFeatureObj: *SamplingFeatureID00001, SpatialOffsetObj:  }</t>
  </si>
  <si>
    <t xml:space="preserve">  - {SamplingFeatureObj:  *SamplingFeatureID00283, RelationshipTypeCV:  "isChildOf", RelatedFeatureObj: *SamplingFeatureID00006, SpatialOffsetObj:  }</t>
  </si>
  <si>
    <t xml:space="preserve">  - {SamplingFeatureObj:  *SamplingFeatureID00284, RelationshipTypeCV:  "isChildOf", RelatedFeatureObj: *SamplingFeatureID00007, SpatialOffsetObj:  }</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</si>
  <si>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</si>
  <si>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</si>
  <si>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</si>
  <si>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</si>
  <si>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</si>
  <si>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</si>
  <si>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</si>
  <si>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</si>
  <si>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</si>
  <si>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</si>
  <si>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</si>
  <si>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</si>
  <si>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</si>
  <si>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</si>
  <si>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</si>
  <si>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</si>
  <si>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</si>
  <si>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</si>
  <si>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</si>
  <si>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</si>
  <si>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</si>
  <si>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</si>
  <si>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</si>
  <si>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</si>
  <si>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</si>
  <si>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</si>
  <si>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</si>
  <si>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</si>
  <si>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</si>
  <si>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</si>
  <si>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</si>
  <si>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</si>
  <si>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</si>
  <si>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</si>
  <si>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</si>
  <si>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</si>
  <si>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</si>
  <si>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</si>
  <si>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</si>
  <si>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</si>
  <si>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</si>
  <si>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</si>
  <si>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</si>
  <si>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</si>
  <si>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</si>
  <si>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</si>
  <si>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</si>
  <si>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</si>
  <si>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</si>
  <si>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</si>
  <si>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</si>
  <si>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</si>
  <si>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</si>
  <si>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</si>
  <si>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</si>
  <si>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</si>
  <si>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</si>
  <si>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</si>
  <si>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</si>
  <si>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</si>
  <si>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</si>
  <si>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</si>
  <si>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</si>
  <si>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</si>
  <si>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</si>
  <si>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</si>
  <si>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</si>
  <si>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</si>
  <si>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</si>
  <si>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</si>
  <si>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</si>
  <si>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</si>
  <si>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</si>
  <si>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</si>
  <si>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</si>
  <si>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</si>
  <si>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</si>
  <si>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</si>
  <si>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</si>
  <si>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</si>
  <si>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</si>
  <si>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</si>
  <si>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</si>
  <si>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</si>
  <si>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</si>
  <si>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</si>
  <si>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</si>
  <si>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</si>
  <si>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</si>
  <si>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</si>
  <si>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</si>
  <si>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</si>
  <si>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</si>
  <si>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</si>
  <si>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</si>
  <si>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</si>
  <si>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</si>
  <si>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</si>
  <si>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</si>
  <si>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</si>
  <si>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</si>
  <si>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</si>
  <si>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</si>
  <si>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</si>
  <si>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</si>
  <si>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</si>
  <si>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</si>
  <si>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</si>
  <si>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</si>
  <si>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</si>
  <si>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</si>
  <si>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</si>
  <si>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</si>
  <si>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</si>
  <si>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</si>
  <si>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</si>
  <si>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</si>
  <si>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</si>
  <si>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</si>
  <si>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</si>
  <si>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</si>
  <si>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</si>
  <si>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</si>
  <si>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</si>
  <si>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</si>
  <si>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</si>
  <si>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</si>
  <si>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</si>
  <si>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</si>
  <si>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</si>
  <si>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</si>
  <si>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</si>
  <si>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</si>
  <si>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</si>
  <si>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</si>
  <si>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</si>
  <si>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</si>
  <si>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</si>
  <si>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</si>
  <si>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</si>
  <si>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</si>
  <si>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</si>
  <si>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</si>
  <si>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</si>
  <si>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</si>
  <si>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</si>
  <si>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</si>
  <si>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</si>
  <si>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</si>
  <si>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</si>
  <si>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</si>
  <si>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</si>
  <si>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</si>
  <si>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</si>
  <si>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</si>
  <si>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</si>
  <si>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</si>
  <si>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</si>
  <si>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</si>
  <si>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</si>
  <si>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</si>
  <si>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</si>
  <si>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</si>
  <si>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</si>
  <si>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</si>
  <si>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</si>
  <si>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</si>
  <si>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</si>
  <si>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</si>
  <si>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</si>
  <si>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</si>
  <si>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</si>
  <si>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</si>
  <si>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</si>
  <si>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</si>
  <si>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</si>
  <si>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</si>
  <si>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</si>
  <si>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</si>
  <si>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</si>
  <si>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</si>
  <si>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</si>
  <si>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</si>
  <si>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</si>
  <si>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</si>
  <si>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</si>
  <si>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</si>
  <si>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</si>
  <si>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</si>
  <si>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</si>
  <si>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</si>
  <si>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</si>
  <si>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</si>
  <si>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</si>
  <si>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</si>
  <si>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</si>
  <si>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</si>
  <si>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</si>
  <si>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</si>
  <si>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</si>
  <si>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</si>
  <si>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</si>
  <si>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</si>
  <si>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</si>
  <si>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</si>
  <si>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</si>
  <si>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</si>
  <si>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</si>
  <si>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</si>
  <si>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</si>
  <si>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</si>
  <si>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</si>
  <si>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</si>
  <si>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</si>
  <si>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</si>
  <si>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</si>
  <si>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</si>
  <si>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</si>
  <si>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</si>
  <si>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</si>
  <si>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</si>
  <si>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</si>
  <si>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</si>
  <si>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</si>
  <si>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</si>
  <si>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</si>
  <si>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</si>
  <si>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</si>
  <si>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</si>
  <si>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</si>
  <si>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</si>
  <si>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</si>
  <si>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</si>
  <si>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</si>
  <si>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</si>
  <si>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</si>
  <si>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</si>
  <si>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</si>
  <si>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</si>
  <si>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</si>
  <si>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</si>
  <si>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</si>
  <si>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</si>
  <si>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</si>
  <si>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</si>
  <si>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</si>
  <si>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</si>
  <si>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</si>
  <si>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</si>
  <si>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</si>
  <si>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</si>
  <si>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</si>
  <si>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</si>
  <si>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</si>
  <si>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</si>
  <si>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</si>
  <si>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</si>
  <si>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</si>
  <si>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</si>
  <si>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</si>
  <si>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</si>
  <si>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</si>
  <si>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</si>
  <si>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</si>
  <si>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</si>
  <si>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</si>
  <si>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</si>
  <si>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</si>
  <si>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</si>
  <si>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</si>
  <si>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</si>
  <si>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</si>
  <si>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</si>
  <si>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</si>
  <si>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</si>
  <si>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</si>
  <si>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</si>
  <si>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</si>
  <si>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</si>
  <si>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</si>
  <si>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</si>
  <si>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</si>
  <si>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</si>
  <si>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</si>
  <si>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</si>
  <si>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</si>
  <si>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</si>
  <si>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</si>
  <si>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</si>
  <si>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</si>
  <si>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</si>
  <si>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</si>
  <si>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</si>
  <si>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</si>
  <si>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</si>
  <si>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</si>
  <si>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</si>
  <si>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</si>
  <si>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</si>
  <si>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</si>
  <si>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</si>
  <si>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</si>
  <si>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</si>
  <si>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</si>
  <si>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</si>
  <si>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</si>
  <si>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</si>
  <si>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</si>
  <si>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</si>
  <si>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</si>
  <si>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</si>
  <si>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</si>
  <si>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</si>
  <si>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</si>
  <si>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</si>
  <si>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</si>
  <si>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</si>
  <si>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</si>
  <si>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</si>
  <si>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</si>
  <si>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</si>
  <si>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</si>
  <si>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</si>
  <si>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</si>
  <si>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</si>
  <si>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</si>
  <si>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</si>
  <si>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</si>
  <si>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</si>
  <si>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</si>
  <si>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</si>
  <si>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</si>
  <si>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</si>
  <si>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</si>
  <si>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</si>
  <si>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</si>
  <si>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</si>
  <si>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</si>
  <si>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</si>
  <si>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</si>
  <si>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</si>
  <si>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</si>
  <si>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</si>
  <si>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</si>
  <si>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</si>
  <si>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</si>
  <si>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</si>
  <si>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</si>
  <si>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</si>
  <si>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</si>
  <si>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</si>
  <si>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</si>
  <si>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</si>
  <si>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</si>
  <si>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</si>
  <si>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</si>
  <si>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</si>
  <si>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</si>
  <si>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</si>
  <si>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</si>
  <si>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</si>
  <si>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</si>
  <si>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</si>
  <si>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</si>
  <si>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</si>
  <si>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</si>
  <si>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</si>
  <si>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</si>
  <si>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</si>
  <si>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</si>
  <si>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</si>
  <si>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</si>
  <si>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</si>
  <si>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</si>
  <si>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</si>
  <si>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</si>
  <si>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</si>
  <si>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</si>
  <si>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</si>
  <si>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</si>
  <si>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</si>
  <si>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</si>
  <si>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</si>
  <si>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</si>
  <si>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</si>
  <si>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</si>
  <si>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</si>
  <si>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</si>
  <si>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</si>
  <si>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</si>
  <si>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</si>
  <si>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</si>
  <si>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</si>
  <si>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</si>
  <si>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</si>
  <si>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</si>
  <si>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</si>
  <si>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</si>
  <si>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</si>
  <si>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</si>
  <si>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</si>
  <si>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</si>
  <si>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</si>
  <si>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</si>
  <si>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</si>
  <si>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</si>
  <si>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</si>
  <si>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</si>
  <si>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</si>
  <si>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</si>
  <si>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</si>
  <si>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</si>
  <si>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</si>
  <si>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</si>
  <si>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</si>
  <si>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</si>
  <si>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</si>
  <si>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</si>
  <si>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</si>
  <si>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</si>
  <si>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</si>
  <si>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</si>
  <si>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</si>
  <si>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</si>
  <si>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</si>
  <si>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</si>
  <si>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</si>
  <si>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</si>
  <si>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</si>
  <si>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</si>
  <si>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</si>
  <si>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</si>
  <si>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</si>
  <si>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</si>
  <si>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</si>
  <si>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</si>
  <si>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</si>
  <si>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</si>
  <si>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</si>
  <si>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</si>
  <si>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</si>
  <si>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</si>
  <si>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</si>
  <si>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</si>
  <si>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</si>
  <si>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</si>
  <si>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</si>
  <si>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</si>
  <si>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</si>
  <si>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</si>
  <si>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</si>
  <si>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</si>
  <si>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</si>
  <si>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</si>
  <si>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</si>
  <si>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</si>
  <si>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</si>
  <si>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</si>
  <si>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</si>
  <si>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</si>
  <si>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</si>
  <si>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</si>
  <si>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</si>
  <si>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</si>
  <si>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</si>
  <si>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</si>
  <si>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</si>
  <si>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</si>
  <si>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</si>
  <si>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</si>
  <si>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</si>
  <si>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</si>
  <si>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</si>
  <si>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</si>
  <si>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</si>
  <si>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</si>
  <si>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</si>
  <si>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</si>
  <si>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</si>
  <si>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</si>
  <si>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</si>
  <si>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</si>
  <si>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</si>
  <si>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</si>
  <si>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</si>
  <si>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</si>
  <si>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</si>
  <si>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</si>
  <si>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</si>
  <si>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</si>
  <si>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</si>
  <si>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</si>
  <si>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</si>
  <si>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</si>
  <si>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</si>
  <si>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</si>
  <si>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</si>
  <si>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</si>
  <si>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</si>
  <si>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</si>
  <si>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</si>
  <si>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</si>
  <si>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</si>
  <si>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</si>
  <si>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</si>
  <si>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</si>
  <si>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</si>
  <si>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</si>
  <si>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</si>
  <si>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</si>
  <si>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</si>
  <si>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</si>
  <si>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</si>
  <si>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</si>
  <si>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</si>
  <si>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</si>
  <si>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</si>
  <si>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</si>
  <si>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</si>
  <si>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</si>
  <si>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</si>
  <si>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</si>
  <si>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</si>
  <si>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</si>
  <si>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</si>
  <si>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</si>
  <si>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</si>
  <si>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</si>
  <si>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</si>
  <si>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</si>
  <si>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</si>
  <si>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</si>
  <si>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</si>
  <si>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</si>
  <si>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</si>
  <si>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</si>
  <si>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</si>
  <si>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</si>
  <si>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</si>
  <si>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</si>
  <si>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</si>
  <si>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</si>
  <si>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</si>
  <si>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</si>
  <si>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</si>
  <si>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</si>
  <si>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</si>
  <si>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</si>
  <si>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</si>
  <si>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</si>
  <si>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</si>
  <si>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</si>
  <si>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</si>
  <si>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</si>
  <si>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</si>
  <si>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</si>
  <si>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</si>
  <si>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</si>
  <si>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</si>
  <si>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</si>
  <si>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</si>
  <si>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</si>
  <si>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</si>
  <si>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</si>
  <si>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</si>
  <si>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</si>
  <si>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</si>
  <si>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</si>
  <si>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</si>
  <si>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</si>
  <si>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</si>
  <si>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</si>
  <si>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</si>
  <si>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</si>
  <si>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</si>
  <si>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</si>
  <si>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</si>
  <si>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</si>
  <si>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</si>
  <si>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</si>
  <si>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</si>
  <si>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</si>
  <si>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</si>
  <si>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</si>
  <si>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</si>
  <si>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</si>
  <si>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</si>
  <si>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</si>
  <si>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</si>
  <si>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</si>
  <si>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</si>
  <si>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</si>
  <si>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</si>
  <si>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</si>
  <si>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</si>
  <si>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</si>
  <si>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</si>
  <si>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</si>
  <si>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</si>
  <si>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</si>
  <si>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</si>
  <si>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</si>
  <si>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</si>
  <si>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</si>
  <si>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</si>
  <si>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</si>
  <si>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</si>
  <si>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</si>
  <si>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</si>
  <si>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</si>
  <si>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</si>
  <si>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</si>
  <si>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</si>
  <si>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</si>
  <si>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</si>
  <si>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</si>
  <si>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</si>
  <si>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</si>
  <si>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</si>
  <si>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</si>
  <si>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</si>
  <si>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</si>
  <si>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</si>
  <si>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</si>
  <si>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</si>
  <si>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</si>
  <si>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</si>
  <si>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</si>
  <si>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</si>
  <si>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</si>
  <si>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</si>
  <si>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</si>
  <si>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</si>
  <si>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</si>
  <si>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</si>
  <si>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</si>
  <si>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</si>
  <si>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</si>
  <si>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</si>
  <si>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</si>
  <si>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</si>
  <si>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</si>
  <si>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</si>
  <si>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</si>
  <si>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</si>
  <si>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</si>
  <si>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</si>
  <si>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</si>
  <si>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</si>
  <si>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</si>
  <si>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</si>
  <si>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</si>
  <si>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</si>
  <si>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</si>
  <si>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</si>
  <si>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</si>
  <si>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</si>
  <si>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</si>
  <si>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</si>
  <si>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</si>
  <si>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</si>
  <si>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</si>
  <si>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</si>
  <si>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</si>
  <si>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</si>
  <si>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</si>
  <si>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</si>
  <si>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</si>
  <si>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</si>
  <si>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</si>
  <si>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</si>
  <si>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</si>
  <si>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</si>
  <si>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</si>
  <si>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</si>
  <si>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</si>
  <si>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</si>
  <si>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</si>
  <si>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</si>
  <si>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</si>
  <si>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</si>
  <si>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</si>
  <si>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</si>
  <si>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</si>
  <si>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</si>
  <si>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</si>
  <si>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</si>
  <si>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</si>
  <si>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</si>
  <si>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</si>
  <si>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</si>
  <si>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</si>
  <si>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</si>
  <si>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</si>
  <si>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</si>
  <si>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</si>
  <si>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</si>
  <si>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</si>
  <si>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</si>
  <si>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</si>
  <si>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</si>
  <si>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</si>
  <si>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</si>
  <si>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</si>
  <si>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</si>
  <si>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</si>
  <si>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</si>
  <si>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</si>
  <si>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</si>
  <si>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</si>
  <si>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</si>
  <si>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</si>
  <si>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</si>
  <si>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</si>
  <si>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</si>
  <si>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</si>
  <si>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</si>
  <si>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</si>
  <si>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</si>
  <si>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</si>
  <si>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</si>
  <si>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</si>
  <si>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</si>
  <si>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</si>
  <si>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</si>
  <si>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</si>
  <si>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</si>
  <si>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</si>
  <si>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</si>
  <si>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</si>
  <si>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</si>
  <si>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</si>
  <si>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</si>
  <si>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</si>
  <si>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</si>
  <si>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</si>
  <si>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</si>
  <si>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</si>
  <si>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</si>
  <si>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</si>
  <si>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</si>
  <si>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</si>
  <si>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</si>
  <si>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</si>
  <si>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</si>
  <si>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</si>
  <si>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</si>
  <si>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</si>
  <si>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</si>
  <si>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</si>
  <si>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</si>
  <si>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</si>
  <si>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</si>
  <si>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</si>
  <si>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</si>
  <si>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</si>
  <si>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</si>
  <si>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</si>
  <si>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</si>
  <si>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</si>
  <si>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</si>
  <si>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</si>
  <si>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</si>
  <si>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</si>
  <si>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</si>
  <si>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</si>
  <si>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</si>
  <si>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</si>
  <si>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</si>
  <si>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</si>
  <si>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</si>
  <si>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</si>
  <si>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</si>
  <si>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</si>
  <si>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</si>
  <si>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</si>
  <si>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</si>
  <si>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</si>
  <si>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</si>
  <si>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</si>
  <si>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</si>
  <si>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</si>
  <si>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</si>
  <si>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</si>
  <si>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</si>
  <si>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</si>
  <si>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</si>
  <si>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</si>
  <si>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</si>
  <si>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</si>
  <si>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</si>
  <si>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</si>
  <si>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</si>
  <si>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</si>
  <si>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</si>
  <si>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</si>
  <si>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</si>
  <si>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</si>
  <si>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</si>
  <si>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</si>
  <si>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</si>
  <si>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</si>
  <si>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</si>
  <si>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</si>
  <si>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</si>
  <si>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</si>
  <si>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</si>
  <si>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</si>
  <si>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</si>
  <si>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</si>
  <si>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</si>
  <si>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</si>
  <si>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</si>
  <si>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</si>
  <si>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</si>
  <si>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</si>
  <si>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</si>
  <si>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</si>
  <si>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</si>
  <si>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</si>
  <si>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</si>
  <si>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</si>
  <si>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</si>
  <si>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</si>
  <si>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</si>
  <si>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</si>
  <si>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</si>
  <si>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</si>
  <si>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</si>
  <si>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</si>
  <si>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</si>
  <si>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</si>
  <si>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</si>
  <si>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</si>
  <si>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</si>
  <si>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</si>
  <si>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</si>
  <si>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</si>
  <si>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</si>
  <si>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</si>
  <si>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</si>
  <si>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</si>
  <si>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</si>
  <si>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</si>
  <si>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</si>
  <si>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</si>
  <si>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</si>
  <si>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</si>
  <si>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</si>
  <si>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</si>
  <si>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</si>
  <si>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</si>
  <si>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</si>
  <si>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</si>
  <si>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</si>
  <si>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</si>
  <si>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</si>
  <si>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</si>
  <si>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</si>
  <si>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</si>
  <si>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</si>
  <si>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</si>
  <si>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</si>
  <si>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</si>
  <si>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</si>
  <si>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</si>
  <si>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</si>
  <si>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</si>
  <si>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</si>
  <si>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</si>
  <si>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</si>
  <si>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</si>
  <si>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</si>
  <si>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</si>
  <si>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</si>
  <si>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</si>
  <si>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</si>
  <si>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</si>
  <si>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</si>
  <si>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</si>
  <si>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</si>
  <si>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</si>
  <si>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</si>
  <si>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</si>
  <si>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</si>
  <si>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</si>
  <si>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</si>
  <si>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</si>
  <si>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</si>
  <si>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</si>
  <si>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</si>
  <si>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</si>
  <si>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</si>
  <si>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</si>
  <si>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</si>
  <si>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</si>
  <si>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</si>
  <si>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</si>
  <si>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</si>
  <si>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</si>
  <si>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</si>
  <si>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</si>
  <si>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</si>
  <si>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</si>
  <si>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</si>
  <si>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</si>
  <si>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</si>
  <si>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</si>
  <si>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</si>
  <si>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</si>
  <si>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</si>
  <si>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</si>
  <si>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</si>
  <si>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</si>
  <si>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</si>
  <si>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</si>
  <si>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</si>
  <si>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</si>
  <si>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</si>
  <si>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</si>
  <si>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</si>
  <si>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</si>
  <si>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</si>
  <si>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</si>
  <si>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</si>
  <si>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</si>
  <si>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</si>
  <si>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</si>
  <si>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</si>
  <si>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</si>
  <si>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</si>
  <si>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</si>
  <si>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</si>
  <si>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</si>
  <si>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</si>
  <si>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</si>
  <si>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</si>
  <si>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</si>
  <si>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</si>
  <si>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</si>
  <si>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</si>
  <si>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</si>
  <si>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</si>
  <si>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</si>
  <si>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</si>
  <si>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</si>
  <si>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</si>
  <si>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</si>
  <si>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</si>
  <si>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</si>
  <si>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</si>
  <si>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</si>
  <si>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</si>
  <si>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</si>
  <si>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</si>
  <si>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</si>
  <si>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</si>
  <si>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</si>
  <si>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</si>
  <si>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</si>
  <si>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</si>
  <si>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</si>
  <si>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</si>
  <si>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</si>
  <si>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</si>
  <si>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</si>
  <si>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</si>
  <si>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</si>
  <si>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</si>
  <si>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</si>
  <si>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</si>
  <si>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</si>
  <si>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</si>
  <si>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</si>
  <si>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</si>
  <si>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</si>
  <si>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</si>
  <si>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</si>
  <si>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</si>
  <si>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</si>
  <si>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</si>
  <si>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</si>
  <si>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</si>
  <si>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</si>
  <si>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</si>
  <si>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</si>
  <si>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</si>
  <si>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</si>
  <si>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</si>
  <si>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</si>
  <si>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</si>
  <si>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</si>
  <si>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</si>
  <si>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</si>
  <si>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</si>
  <si>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</si>
  <si>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</si>
  <si>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</si>
  <si>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</si>
  <si>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</si>
  <si>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</si>
  <si>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</si>
  <si>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</si>
  <si>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</si>
  <si>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</si>
  <si>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</si>
  <si>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</si>
  <si>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</si>
  <si>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</si>
  <si>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</si>
  <si>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</si>
  <si>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</si>
  <si>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</si>
  <si>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</si>
  <si>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</si>
  <si>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</si>
  <si>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</si>
  <si>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</si>
  <si>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</si>
  <si>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</si>
  <si>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</si>
  <si>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</si>
  <si>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</si>
  <si>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</si>
  <si>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</si>
  <si>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</si>
  <si>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</si>
  <si>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</si>
  <si>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</si>
  <si>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</si>
  <si>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</si>
  <si>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</si>
  <si>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</si>
  <si>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</si>
  <si>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</si>
  <si>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</si>
  <si>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</si>
  <si>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</si>
  <si>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</si>
  <si>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</si>
  <si>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</si>
  <si>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</si>
  <si>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</si>
  <si>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</si>
  <si>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</si>
  <si>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</si>
  <si>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</si>
  <si>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</si>
  <si>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</si>
  <si>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</si>
  <si>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</si>
  <si>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</si>
  <si>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</si>
  <si>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</si>
  <si>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</si>
  <si>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</si>
  <si>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</si>
  <si>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</si>
  <si>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</si>
  <si>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</si>
  <si>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</si>
  <si>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</si>
  <si>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</si>
  <si>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</si>
  <si>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</si>
  <si>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</si>
  <si>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</si>
  <si>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</si>
  <si>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</si>
  <si>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</si>
  <si>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</si>
  <si>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</si>
  <si>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</si>
  <si>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</si>
  <si>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</si>
  <si>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</si>
  <si>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</si>
  <si>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</si>
  <si>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</si>
  <si>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</si>
  <si>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</si>
  <si>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</si>
  <si>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</si>
  <si>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</si>
  <si>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</si>
  <si>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</si>
  <si>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</si>
  <si>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</si>
  <si>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</si>
  <si>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</si>
  <si>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</si>
  <si>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</si>
  <si>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</si>
  <si>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</si>
  <si>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</si>
  <si>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</si>
  <si>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</si>
  <si>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</si>
  <si>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</si>
  <si>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</si>
  <si>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</si>
  <si>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</si>
  <si>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</si>
  <si>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</si>
  <si>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</si>
  <si>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</si>
  <si>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</si>
  <si>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</si>
  <si>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</si>
  <si>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</si>
  <si>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</si>
  <si>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</si>
  <si>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</si>
  <si>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</si>
  <si>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</si>
  <si>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</si>
  <si>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</si>
  <si>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</si>
  <si>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</si>
  <si>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</si>
  <si>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</si>
  <si>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</si>
  <si>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</si>
  <si>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</si>
  <si>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</si>
  <si>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</si>
  <si>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</si>
  <si>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</si>
  <si>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</si>
  <si>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</si>
  <si>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</si>
  <si>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</si>
  <si>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</si>
  <si>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</si>
  <si>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</si>
  <si>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</si>
  <si>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</si>
  <si>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</si>
  <si>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</si>
  <si>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</si>
  <si>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</si>
  <si>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</si>
  <si>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</si>
  <si>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</si>
  <si>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</si>
  <si>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</si>
  <si>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</si>
  <si>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</si>
  <si>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</si>
  <si>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</si>
  <si>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</si>
  <si>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</si>
  <si>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</si>
  <si>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</si>
  <si>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</si>
  <si>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</si>
  <si>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</si>
  <si>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</si>
  <si>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</si>
  <si>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</si>
  <si>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</si>
  <si>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</si>
  <si>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</si>
  <si>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</si>
  <si>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</si>
  <si>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</si>
  <si>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</si>
  <si>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</si>
  <si>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</si>
  <si>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</si>
  <si>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</si>
  <si>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</si>
  <si>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</si>
  <si>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</si>
  <si>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</si>
  <si>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</si>
  <si>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</si>
  <si>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</si>
  <si>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</si>
  <si>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</si>
  <si>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</si>
  <si>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</si>
  <si>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</si>
  <si>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</si>
  <si>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</si>
  <si>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</si>
  <si>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</si>
  <si>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</si>
  <si>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</si>
  <si>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</si>
  <si>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</si>
  <si>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</si>
  <si>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</si>
  <si>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</si>
  <si>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</si>
  <si>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</si>
  <si>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</si>
  <si>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</si>
  <si>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</si>
  <si>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</si>
  <si>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</si>
  <si>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</si>
  <si>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</si>
  <si>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</si>
  <si>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</si>
  <si>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</si>
  <si>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</si>
  <si>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</si>
  <si>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</si>
  <si>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</si>
  <si>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</si>
  <si>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</si>
  <si>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</si>
  <si>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</si>
  <si>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</si>
  <si>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</si>
  <si>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</si>
  <si>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</si>
  <si>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</si>
  <si>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</si>
  <si>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</si>
  <si>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</si>
  <si>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</si>
  <si>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</si>
  <si>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</si>
  <si>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</si>
  <si>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</si>
  <si>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</si>
  <si>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</si>
  <si>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</si>
  <si>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</si>
  <si>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</si>
  <si>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</si>
  <si>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</si>
  <si>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</si>
  <si>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</si>
  <si>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</si>
  <si>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</si>
  <si>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</si>
  <si>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</si>
  <si>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</si>
  <si>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</si>
  <si>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</si>
  <si>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</si>
  <si>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</si>
  <si>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</si>
  <si>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</si>
  <si>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</si>
  <si>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</si>
  <si>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</si>
  <si>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</si>
  <si>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</si>
  <si>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</si>
  <si>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</si>
  <si>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</si>
  <si>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</si>
  <si>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</si>
  <si>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</si>
  <si>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</si>
  <si>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</si>
  <si>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</si>
  <si>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</si>
  <si>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</si>
  <si>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</si>
  <si>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</si>
  <si>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</si>
  <si>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</si>
  <si>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</si>
  <si>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</si>
  <si>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</si>
  <si>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</si>
  <si>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</si>
  <si>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</si>
  <si>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</si>
  <si>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</si>
  <si>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</si>
  <si>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</si>
  <si>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</si>
  <si>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</si>
  <si>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</si>
  <si>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</si>
  <si>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</si>
  <si>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</si>
  <si>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</si>
  <si>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</si>
  <si>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</si>
  <si>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</si>
  <si>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</si>
  <si>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</si>
  <si>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</si>
  <si>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</si>
  <si>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</si>
  <si>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</si>
  <si>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</si>
  <si>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</si>
  <si>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</si>
  <si>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</si>
  <si>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</si>
  <si>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</si>
  <si>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</si>
  <si>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</si>
  <si>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</si>
  <si>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</si>
  <si>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</si>
  <si>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</si>
  <si>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</si>
  <si>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</si>
  <si>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</si>
  <si>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</si>
  <si>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</si>
  <si>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</si>
  <si>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</si>
  <si>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</si>
  <si>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</si>
  <si>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</si>
  <si>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</si>
  <si>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</si>
  <si>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</si>
  <si>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</si>
  <si>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</si>
  <si>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</si>
  <si>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</si>
  <si>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</si>
  <si>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</si>
  <si>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</si>
  <si>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</si>
  <si>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</si>
  <si>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</si>
  <si>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</si>
  <si>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</si>
  <si>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</si>
  <si>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</si>
  <si>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</si>
  <si>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</si>
  <si>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</si>
  <si>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</si>
  <si>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</si>
  <si>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</si>
  <si>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</si>
  <si>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</si>
  <si>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</si>
  <si>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</si>
  <si>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</si>
  <si>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</si>
  <si>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</si>
  <si>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</si>
  <si>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</si>
  <si>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</si>
  <si>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</si>
  <si>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</si>
  <si>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</si>
  <si>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</si>
  <si>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</si>
  <si>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</si>
  <si>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</si>
  <si>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</si>
  <si>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</si>
  <si>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</si>
  <si>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</si>
  <si>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</si>
  <si>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</si>
  <si>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</si>
  <si>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</si>
  <si>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</si>
  <si>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</si>
  <si>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</si>
  <si>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</si>
  <si>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</si>
  <si>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</si>
  <si>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</si>
  <si>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</si>
  <si>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</si>
  <si>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</si>
  <si>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</si>
  <si>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</si>
  <si>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</si>
  <si>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</si>
  <si>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</si>
  <si>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</si>
  <si>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</si>
  <si>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</si>
  <si>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</si>
  <si>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</si>
  <si>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</si>
  <si>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</si>
  <si>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</si>
  <si>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</si>
  <si>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</si>
  <si>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</si>
  <si>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</si>
  <si>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</si>
  <si>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</si>
  <si>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</si>
  <si>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</si>
  <si>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</si>
  <si>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</si>
  <si>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</si>
  <si>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</si>
  <si>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</si>
  <si>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</si>
  <si>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</si>
  <si>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</si>
  <si>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</si>
  <si>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</si>
  <si>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</si>
  <si>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</si>
  <si>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</si>
  <si>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</si>
  <si>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</si>
  <si>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</si>
  <si>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</si>
  <si>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</si>
  <si>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</si>
  <si>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</si>
  <si>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</si>
  <si>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</si>
  <si>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</si>
  <si>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</si>
  <si>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</si>
  <si>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</si>
  <si>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</si>
  <si>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</si>
  <si>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</si>
  <si>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</si>
  <si>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</si>
  <si>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</si>
  <si>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</si>
  <si>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</si>
  <si>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</si>
  <si>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</si>
  <si>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</si>
  <si>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</si>
  <si>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</si>
  <si>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</si>
  <si>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</si>
  <si>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</si>
  <si>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</si>
  <si>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</si>
  <si>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</si>
  <si>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</si>
  <si>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</si>
  <si>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</si>
  <si>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</si>
  <si>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</si>
  <si>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</si>
  <si>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</si>
  <si>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</si>
  <si>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</si>
  <si>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</si>
  <si>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</si>
  <si>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</si>
  <si>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</si>
  <si>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</si>
  <si>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</si>
  <si>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</si>
  <si>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</si>
  <si>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</si>
  <si>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</si>
  <si>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</si>
  <si>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</si>
  <si>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</si>
  <si>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</si>
  <si>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</si>
  <si>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</si>
  <si>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</si>
  <si>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</si>
  <si>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</si>
  <si>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</si>
  <si>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</si>
  <si>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</si>
  <si>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</si>
  <si>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</si>
  <si>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</si>
  <si>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</si>
  <si>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</si>
  <si>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</si>
  <si>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</si>
  <si>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</si>
  <si>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</si>
  <si>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</si>
  <si>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</si>
  <si>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</si>
  <si>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</si>
  <si>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</si>
  <si>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</si>
  <si>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</si>
  <si>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</si>
  <si>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</si>
  <si>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</si>
  <si>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</si>
  <si>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</si>
  <si>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</si>
  <si>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</si>
  <si>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</si>
  <si>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</si>
  <si>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</si>
  <si>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</si>
  <si>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</si>
  <si>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</si>
  <si>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</si>
  <si>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</si>
  <si>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</si>
  <si>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</si>
  <si>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</si>
  <si>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</si>
  <si>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</si>
  <si>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</si>
  <si>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</si>
  <si>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</si>
  <si>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</si>
  <si>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</si>
  <si>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</si>
  <si>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</si>
  <si>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</si>
  <si>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</si>
  <si>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</si>
  <si>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</si>
  <si>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</si>
  <si>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</si>
  <si>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</si>
  <si>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</si>
  <si>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</si>
  <si>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</si>
  <si>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</si>
  <si>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</si>
  <si>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</si>
  <si>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</si>
  <si>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</si>
  <si>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</si>
  <si>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</si>
  <si>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</si>
  <si>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</si>
  <si>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</si>
  <si>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</si>
  <si>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</si>
  <si>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</si>
  <si>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</si>
  <si>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</si>
  <si>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</si>
  <si>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</si>
  <si>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</si>
  <si>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</si>
  <si>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</si>
  <si>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</si>
  <si>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</si>
  <si>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</si>
  <si>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</si>
  <si>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</si>
  <si>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</si>
  <si>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</si>
  <si>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</si>
  <si>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</si>
  <si>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</si>
  <si>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</si>
  <si>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</si>
  <si>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</si>
  <si>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</si>
  <si>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</si>
  <si>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</si>
  <si>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</si>
  <si>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</si>
  <si>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</si>
  <si>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</si>
  <si>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</si>
  <si>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</si>
  <si>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</si>
  <si>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</si>
  <si>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</si>
  <si>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</si>
  <si>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</si>
  <si>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</si>
  <si>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</si>
  <si>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</si>
  <si>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</si>
  <si>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</si>
  <si>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</si>
  <si>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</si>
  <si>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</si>
  <si>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</si>
  <si>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</si>
  <si>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</si>
  <si>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</si>
  <si>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</si>
  <si>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</si>
  <si>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</si>
  <si>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</si>
  <si>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</si>
  <si>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</si>
  <si>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</si>
  <si>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</si>
  <si>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</si>
  <si>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</si>
  <si>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</si>
  <si>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</si>
  <si>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</si>
  <si>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</si>
  <si>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</si>
  <si>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</si>
  <si>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</si>
  <si>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</si>
  <si>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</si>
  <si>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</si>
  <si>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</si>
  <si>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</si>
  <si>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</si>
  <si>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</si>
  <si>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</si>
  <si>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</si>
  <si>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</si>
  <si>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</si>
  <si>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</si>
  <si>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</si>
  <si>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</si>
  <si>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</si>
  <si>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</si>
  <si>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</si>
  <si>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</si>
  <si>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</si>
  <si>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</si>
  <si>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</si>
  <si>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</si>
  <si>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</si>
  <si>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</si>
  <si>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</si>
  <si>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</si>
  <si>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</si>
  <si>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</si>
  <si>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</si>
  <si>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</si>
  <si>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</si>
  <si>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</si>
  <si>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</si>
  <si>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</si>
  <si>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</si>
  <si>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</si>
  <si>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</si>
  <si>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</si>
  <si>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</si>
  <si>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</si>
  <si>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</si>
  <si>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</si>
  <si>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</si>
  <si>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</si>
  <si>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</si>
  <si>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</si>
  <si>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</si>
  <si>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</si>
  <si>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</si>
  <si>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</si>
  <si>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</si>
  <si>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</si>
  <si>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</si>
  <si>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</si>
  <si>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</si>
  <si>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</si>
  <si>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</si>
  <si>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</si>
  <si>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</si>
  <si>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</si>
  <si>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</si>
  <si>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</si>
  <si>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</si>
  <si>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</si>
  <si>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</si>
  <si>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</si>
  <si>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</si>
  <si>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</si>
  <si>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</si>
  <si>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</si>
  <si>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</si>
  <si>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</si>
  <si>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</si>
  <si>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</si>
  <si>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</si>
  <si>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</si>
  <si>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</si>
  <si>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</si>
  <si>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</si>
  <si>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</si>
  <si>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</si>
  <si>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</si>
  <si>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</si>
  <si>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</si>
  <si>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</si>
  <si>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</si>
  <si>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</si>
  <si>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</si>
  <si>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</si>
  <si>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</si>
  <si>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</si>
  <si>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</si>
  <si>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</si>
  <si>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</si>
  <si>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</si>
  <si>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</si>
  <si>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</si>
  <si>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</si>
  <si>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</si>
  <si>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</si>
  <si>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</si>
  <si>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</si>
  <si>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</si>
  <si>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</si>
  <si>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</si>
  <si>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</si>
  <si>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</si>
  <si>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</si>
  <si>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</si>
  <si>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</si>
  <si>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</si>
  <si>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</si>
  <si>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</si>
  <si>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</si>
  <si>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</si>
  <si>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</si>
  <si>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</si>
  <si>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</si>
  <si>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</si>
  <si>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</si>
  <si>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</si>
  <si>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</si>
  <si>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</si>
  <si>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</si>
  <si>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</si>
  <si>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</si>
  <si>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</si>
  <si>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</si>
  <si>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</si>
  <si>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</si>
  <si>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</si>
  <si>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</si>
  <si>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</si>
  <si>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</si>
  <si>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</si>
  <si>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</si>
  <si>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</si>
  <si>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</si>
  <si>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</si>
  <si>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</si>
  <si>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</si>
  <si>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</si>
  <si>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</si>
  <si>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</si>
  <si>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</si>
  <si>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</si>
  <si>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</si>
  <si>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</si>
  <si>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</si>
  <si>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</si>
  <si>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</si>
  <si>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</si>
  <si>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</si>
  <si>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</si>
  <si>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</si>
  <si>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</si>
  <si>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</si>
  <si>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</si>
  <si>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</si>
  <si>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</si>
  <si>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</si>
  <si>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</si>
  <si>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</si>
  <si>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</si>
  <si>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</si>
  <si>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</si>
  <si>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</si>
  <si>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</si>
  <si>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</si>
  <si>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</si>
  <si>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</si>
  <si>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</si>
  <si>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</si>
  <si>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</si>
  <si>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</si>
  <si>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</si>
  <si>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</si>
  <si>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</si>
  <si>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</si>
  <si>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</si>
  <si>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</si>
  <si>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</si>
  <si>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</si>
  <si>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</si>
  <si>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</si>
  <si>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</si>
  <si>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</si>
  <si>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</si>
  <si>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</si>
  <si>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</si>
  <si>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</si>
  <si>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</si>
  <si>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</si>
  <si>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</si>
  <si>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</si>
  <si>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</si>
  <si>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</si>
  <si>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</si>
  <si>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</si>
  <si>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</si>
  <si>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</si>
  <si>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</si>
  <si>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</si>
  <si>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</si>
  <si>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</si>
  <si>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</si>
  <si>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</si>
  <si>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</si>
  <si>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</si>
  <si>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</si>
  <si>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</si>
  <si>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</si>
  <si>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</si>
  <si>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</si>
  <si>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</si>
  <si>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</si>
  <si>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</si>
  <si>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</si>
  <si>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</si>
  <si>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</si>
  <si>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</si>
  <si>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</si>
  <si>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</si>
  <si>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</si>
  <si>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</si>
  <si>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</si>
  <si>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</si>
  <si>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</si>
  <si>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</si>
  <si>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</si>
  <si>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</si>
  <si>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</si>
  <si>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</si>
  <si>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</si>
  <si>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</si>
  <si>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</si>
  <si>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</si>
  <si>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</si>
  <si>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</si>
  <si>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</si>
  <si>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</si>
  <si>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</si>
  <si>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</si>
  <si>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</si>
  <si>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</si>
  <si>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</si>
  <si>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</si>
  <si>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</si>
  <si>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</si>
  <si>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</si>
  <si>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</si>
  <si>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</si>
  <si>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</si>
  <si>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</si>
  <si>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</si>
  <si>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</si>
  <si>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</si>
  <si>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</si>
  <si>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</si>
  <si>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</si>
  <si>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</si>
  <si>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</si>
  <si>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</si>
  <si>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</si>
  <si>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</si>
  <si>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</si>
  <si>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</si>
  <si>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</si>
  <si>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</si>
  <si>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</si>
  <si>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</si>
  <si>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</si>
  <si>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</si>
  <si>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</si>
  <si>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</si>
  <si>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</si>
  <si>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</si>
  <si>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</si>
  <si>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</si>
  <si>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</si>
  <si>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</si>
  <si>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</si>
  <si>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</si>
  <si>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</si>
  <si>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</si>
  <si>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</si>
  <si>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</si>
  <si>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</si>
  <si>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</si>
  <si>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</si>
  <si>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</si>
  <si>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</si>
  <si>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</si>
  <si>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</si>
  <si>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</si>
  <si>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</si>
  <si>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</si>
  <si>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</si>
  <si>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</si>
  <si>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</si>
  <si>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</si>
  <si>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</si>
  <si>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</si>
  <si>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</si>
  <si>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</si>
  <si>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</si>
  <si>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</si>
  <si>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</si>
  <si>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</si>
  <si>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</si>
  <si>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</si>
  <si>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</si>
  <si>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</si>
  <si>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</si>
  <si>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</si>
  <si>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</si>
  <si>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</si>
  <si>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</si>
  <si>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</si>
  <si>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</si>
  <si>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</si>
  <si>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</si>
  <si>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</si>
  <si>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</si>
  <si>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</si>
  <si>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</si>
  <si>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</si>
  <si>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</si>
  <si>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</si>
  <si>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</si>
  <si>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</si>
  <si>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</si>
  <si>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</si>
  <si>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</si>
  <si>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</si>
  <si>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</si>
  <si>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</si>
  <si>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</si>
  <si>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</si>
  <si>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</si>
  <si>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</si>
  <si>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</si>
  <si>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</si>
  <si>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</si>
  <si>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</si>
  <si>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</si>
  <si>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</si>
  <si>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</si>
  <si>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</si>
  <si>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</si>
  <si>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</si>
  <si>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</si>
  <si>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</si>
  <si>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</si>
  <si>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</si>
  <si>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</si>
  <si>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</si>
  <si>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</si>
  <si>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</si>
  <si>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</si>
  <si>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</si>
  <si>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</si>
  <si>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</si>
  <si>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</si>
  <si>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</si>
  <si>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</si>
  <si>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</si>
  <si>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</si>
  <si>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</si>
  <si>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</si>
  <si>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</si>
  <si>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</si>
  <si>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</si>
  <si>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</si>
  <si>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</si>
  <si>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</si>
  <si>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</si>
  <si>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</si>
  <si>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</si>
  <si>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</si>
  <si>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</si>
  <si>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</si>
  <si>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</si>
  <si>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</si>
  <si>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</si>
  <si>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</si>
  <si>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</si>
  <si>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</si>
  <si>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</si>
  <si>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</si>
  <si>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</si>
  <si>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</si>
  <si>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</si>
  <si>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</si>
  <si>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</si>
  <si>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</si>
  <si>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</si>
  <si>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</si>
  <si>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</si>
  <si>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</si>
  <si>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</si>
  <si>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</si>
  <si>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</si>
  <si>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</si>
  <si>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</si>
  <si>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</si>
  <si>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</si>
  <si>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</si>
  <si>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</si>
  <si>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</si>
  <si>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</si>
  <si>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</si>
  <si>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</si>
  <si>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</si>
  <si>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</si>
  <si>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</si>
  <si>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</si>
  <si>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</si>
  <si>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</si>
  <si>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</si>
  <si>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</si>
  <si>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</si>
  <si>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</si>
  <si>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</si>
  <si>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</si>
  <si>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</si>
  <si>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</si>
  <si>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</si>
  <si>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</si>
  <si>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</si>
  <si>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</si>
  <si>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</si>
  <si>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</si>
  <si>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</si>
  <si>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</si>
  <si>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</si>
  <si>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</si>
  <si>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</si>
  <si>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</si>
  <si>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</si>
  <si>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</si>
  <si>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</si>
  <si>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</si>
  <si>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</si>
  <si>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</si>
  <si>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</si>
  <si>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</si>
  <si>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</si>
  <si>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</si>
  <si>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</si>
  <si>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</si>
  <si>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</si>
  <si>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</si>
  <si>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</si>
  <si>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</si>
  <si>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</si>
  <si>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</si>
  <si>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</si>
  <si>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</si>
  <si>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</si>
  <si>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</si>
  <si>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</si>
  <si>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</si>
  <si>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</si>
  <si>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</si>
  <si>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</si>
  <si>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</si>
  <si>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</si>
  <si>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</si>
  <si>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</si>
  <si>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</si>
  <si>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</si>
  <si>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</si>
  <si>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</si>
  <si>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</si>
  <si>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</si>
  <si>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</si>
  <si>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</si>
  <si>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</si>
  <si>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</si>
  <si>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</si>
  <si>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</si>
  <si>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</si>
  <si>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</si>
  <si>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</si>
  <si>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</si>
  <si>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</si>
  <si>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</si>
  <si>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</si>
  <si>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</si>
  <si>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</si>
  <si>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</si>
  <si>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</si>
  <si>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</si>
  <si>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</si>
  <si>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</si>
  <si>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</si>
  <si>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</si>
  <si>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</si>
  <si>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</si>
  <si>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</si>
  <si>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</si>
  <si>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</si>
  <si>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</si>
  <si>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</si>
  <si>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</si>
  <si>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</si>
  <si>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</si>
  <si>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</si>
  <si>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</si>
  <si>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</si>
  <si>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</si>
  <si>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</si>
  <si>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</si>
  <si>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</si>
  <si>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</si>
  <si>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</si>
  <si>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</si>
  <si>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</si>
  <si>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</si>
  <si>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</si>
  <si>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</si>
  <si>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</si>
  <si>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</si>
  <si>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</si>
  <si>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</si>
  <si>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</si>
  <si>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</si>
  <si>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</si>
  <si>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</si>
  <si>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</si>
  <si>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</si>
  <si>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</si>
  <si>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</si>
  <si>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</si>
  <si>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</si>
  <si>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</si>
  <si>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</si>
  <si>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</si>
  <si>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</si>
  <si>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</si>
  <si>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</si>
  <si>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</si>
  <si>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</si>
  <si>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</si>
  <si>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</si>
  <si>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</si>
  <si>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</si>
  <si>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</si>
  <si>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</si>
  <si>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</si>
  <si>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</si>
  <si>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</si>
  <si>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</si>
  <si>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</si>
  <si>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</si>
  <si>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</si>
  <si>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</si>
  <si>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</si>
  <si>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</si>
  <si>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</si>
  <si>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</si>
  <si>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</si>
  <si>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</si>
  <si>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</si>
  <si>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</si>
  <si>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</si>
  <si>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</si>
  <si>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</si>
  <si>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</si>
  <si>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</si>
  <si>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</si>
  <si>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</si>
  <si>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</si>
  <si>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</si>
  <si>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</si>
  <si>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</si>
  <si>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</si>
  <si>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</si>
  <si>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</si>
  <si>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</si>
  <si>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</si>
  <si>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</si>
  <si>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</si>
  <si>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</si>
  <si>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</si>
  <si>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</si>
  <si>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</si>
  <si>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</si>
  <si>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</si>
  <si>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</si>
  <si>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</si>
  <si>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</si>
  <si>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</si>
  <si>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</si>
  <si>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</si>
  <si>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</si>
  <si>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</si>
  <si>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</si>
  <si>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</si>
  <si>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</si>
  <si>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</si>
  <si>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</si>
  <si>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</si>
  <si>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</si>
  <si>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</si>
  <si>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</si>
  <si>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</si>
  <si>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</si>
  <si>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</si>
  <si>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</si>
  <si>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</si>
  <si>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</si>
  <si>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</si>
  <si>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</si>
  <si>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</si>
  <si>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</si>
  <si>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</si>
  <si>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</si>
  <si>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</si>
  <si>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</si>
  <si>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</si>
  <si>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</si>
  <si>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</si>
  <si>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</si>
  <si>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</si>
  <si>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</si>
  <si>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</si>
  <si>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</si>
  <si>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</si>
  <si>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</si>
  <si>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</si>
  <si>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</si>
  <si>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</si>
  <si>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</si>
  <si>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</si>
  <si>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</si>
  <si>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</si>
  <si>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</si>
  <si>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</si>
  <si>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</si>
  <si>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</si>
  <si>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</si>
  <si>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</si>
  <si>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</si>
  <si>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</si>
  <si>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</si>
  <si>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</si>
  <si>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</si>
  <si>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</si>
  <si>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</si>
  <si>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</si>
  <si>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</si>
  <si>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</si>
  <si>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</si>
  <si>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</si>
  <si>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</si>
  <si>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</si>
  <si>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</si>
  <si>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</si>
  <si>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</si>
  <si>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</si>
  <si>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</si>
  <si>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</si>
  <si>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</si>
  <si>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</si>
  <si>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</si>
  <si>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</si>
  <si>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</si>
  <si>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</si>
  <si>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</si>
  <si>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</si>
  <si>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</si>
  <si>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</si>
  <si>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</si>
  <si>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</si>
  <si>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</si>
  <si>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</si>
  <si>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</si>
  <si>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</si>
  <si>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</si>
  <si>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</si>
  <si>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</si>
  <si>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</si>
  <si>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</si>
  <si>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</si>
  <si>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</si>
  <si>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</si>
  <si>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</si>
  <si>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</si>
  <si>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</si>
  <si>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</si>
  <si>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</si>
  <si>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</si>
  <si>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</si>
  <si>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</si>
  <si>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</si>
  <si>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</si>
  <si>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</si>
  <si>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</si>
  <si>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</si>
  <si>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</si>
  <si>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</si>
  <si>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</si>
  <si>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</si>
  <si>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</si>
  <si>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</si>
  <si>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</si>
  <si>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</si>
  <si>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</si>
  <si>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</si>
  <si>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</si>
  <si>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</si>
  <si>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</si>
  <si>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</si>
  <si>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</si>
  <si>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</si>
  <si>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</si>
  <si>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</si>
  <si>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</si>
  <si>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</si>
  <si>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</si>
  <si>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</si>
  <si>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</si>
  <si>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</si>
  <si>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</si>
  <si>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</si>
  <si>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</si>
  <si>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</si>
  <si>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</si>
  <si>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</si>
  <si>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</si>
  <si>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</si>
  <si>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</si>
  <si>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</si>
  <si>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</si>
  <si>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</si>
  <si>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</si>
  <si>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</si>
  <si>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</si>
  <si>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</si>
  <si>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</si>
  <si>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</si>
  <si>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</si>
  <si>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</si>
  <si>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</si>
  <si>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</si>
  <si>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</si>
  <si>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</si>
  <si>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</si>
  <si>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</si>
  <si>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</si>
  <si>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</si>
  <si>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</si>
  <si>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</si>
  <si>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</si>
  <si>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</si>
  <si>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</si>
  <si>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</si>
  <si>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</si>
  <si>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</si>
  <si>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</si>
  <si>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</si>
  <si>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</si>
  <si>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</si>
  <si>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</si>
  <si>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</si>
  <si>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</si>
  <si>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</si>
  <si>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</si>
  <si>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</si>
  <si>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</si>
  <si>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</si>
  <si>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</si>
  <si>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</si>
  <si>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</si>
  <si>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</si>
  <si>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</si>
  <si>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</si>
  <si>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</si>
  <si>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</si>
  <si>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</si>
  <si>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</si>
  <si>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</si>
  <si>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</si>
  <si>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</si>
  <si>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</si>
  <si>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</si>
  <si>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</si>
  <si>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</si>
  <si>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</si>
  <si>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</si>
  <si>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</si>
  <si>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</si>
  <si>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</si>
  <si>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</si>
  <si>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</si>
  <si>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</si>
  <si>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</si>
  <si>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</si>
  <si>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</si>
  <si>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</si>
  <si>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</si>
  <si>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</si>
  <si>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</si>
  <si>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</si>
  <si>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</si>
  <si>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</si>
  <si>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</si>
  <si>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</si>
  <si>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</si>
  <si>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</si>
  <si>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</si>
  <si>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</si>
  <si>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</si>
  <si>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</si>
  <si>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</si>
  <si>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</si>
  <si>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</si>
  <si>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</si>
  <si>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</si>
  <si>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</si>
  <si>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</si>
  <si>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</si>
  <si>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</si>
  <si>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</si>
  <si>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</si>
  <si>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</si>
  <si>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</si>
  <si>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</si>
  <si>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</si>
  <si>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</si>
  <si>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</si>
  <si>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</si>
  <si>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</si>
  <si>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</si>
  <si>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</si>
  <si>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</si>
  <si>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</si>
  <si>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</si>
  <si>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</si>
  <si>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</si>
  <si>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</si>
  <si>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</si>
  <si>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</si>
  <si>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</si>
  <si>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</si>
  <si>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</si>
  <si>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</si>
  <si>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</si>
  <si>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</si>
  <si>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</si>
  <si>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</si>
  <si>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</si>
  <si>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</si>
  <si>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</si>
  <si>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</si>
  <si>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</si>
  <si>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</si>
  <si>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</si>
  <si>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</si>
  <si>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</si>
  <si>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</si>
  <si>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</si>
  <si>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</si>
  <si>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</si>
  <si>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</si>
  <si>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</si>
  <si>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</si>
  <si>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</si>
  <si>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</si>
  <si>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</si>
  <si>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</si>
  <si>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</si>
  <si>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</si>
  <si>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</si>
  <si>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</si>
  <si>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</si>
  <si>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</si>
  <si>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</si>
  <si>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</si>
  <si>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</si>
  <si>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</si>
  <si>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</si>
  <si>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</si>
  <si>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</si>
  <si>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</si>
  <si>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</si>
  <si>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</si>
  <si>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</si>
  <si>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</si>
  <si>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</si>
  <si>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</si>
  <si>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</si>
  <si>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</si>
  <si>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</si>
  <si>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</si>
  <si>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</si>
  <si>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</si>
  <si>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</si>
  <si>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</si>
  <si>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</si>
  <si>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</si>
  <si>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</si>
  <si>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</si>
  <si>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</si>
  <si>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</si>
  <si>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</si>
  <si>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</si>
  <si>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</si>
  <si>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</si>
  <si>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</si>
  <si>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</si>
  <si>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</si>
  <si>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</si>
  <si>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</si>
  <si>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</si>
  <si>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</si>
  <si>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</si>
  <si>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</si>
  <si>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</si>
  <si>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</si>
  <si>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</si>
  <si>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</si>
  <si>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</si>
  <si>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</si>
  <si>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</si>
  <si>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</si>
  <si>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</si>
  <si>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</si>
  <si>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</si>
  <si>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</si>
  <si>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</si>
  <si>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</si>
  <si>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</si>
  <si>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</si>
  <si>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</si>
  <si>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</si>
  <si>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</si>
  <si>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</si>
  <si>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</si>
  <si>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</si>
  <si>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</si>
  <si>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</si>
  <si>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</si>
  <si>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</si>
  <si>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</si>
  <si>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</si>
  <si>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</si>
  <si>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</si>
  <si>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</si>
  <si>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</si>
  <si>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</si>
  <si>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</si>
  <si>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</si>
  <si>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</si>
  <si>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</si>
  <si>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</si>
  <si>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</si>
  <si>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</si>
  <si>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</si>
  <si>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</si>
  <si>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</si>
  <si>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</si>
  <si>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</si>
  <si>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</si>
  <si>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</si>
  <si>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</si>
  <si>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</si>
  <si>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</si>
  <si>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</si>
  <si>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</si>
  <si>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</si>
  <si>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</si>
  <si>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</si>
  <si>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</si>
  <si>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</si>
  <si>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</si>
  <si>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</si>
  <si>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</si>
  <si>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</si>
  <si>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</si>
  <si>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</si>
  <si>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</si>
  <si>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</si>
  <si>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</si>
  <si>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</si>
  <si>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</si>
  <si>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</si>
  <si>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</si>
  <si>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</si>
  <si>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</si>
  <si>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</si>
  <si>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</si>
  <si>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</si>
  <si>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</si>
  <si>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</si>
  <si>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</si>
  <si>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</si>
  <si>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</si>
  <si>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</si>
  <si>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</si>
  <si>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</si>
  <si>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</si>
  <si>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</si>
  <si>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</si>
  <si>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</si>
  <si>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</si>
  <si>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</si>
  <si>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</si>
  <si>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</si>
  <si>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</si>
  <si>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</si>
  <si>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</si>
  <si>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</si>
  <si>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</si>
  <si>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</si>
  <si>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</si>
  <si>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</si>
  <si>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</si>
  <si>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</si>
  <si>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</si>
  <si>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</si>
  <si>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</si>
  <si>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</si>
  <si>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</si>
  <si>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</si>
  <si>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</si>
  <si>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</si>
  <si>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</si>
  <si>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</si>
  <si>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</si>
  <si>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</si>
  <si>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</si>
  <si>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</si>
  <si>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</si>
  <si>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</si>
  <si>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</si>
  <si>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</si>
  <si>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</si>
  <si>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</si>
  <si>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</si>
  <si>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</si>
  <si>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</si>
  <si>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</si>
  <si>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</si>
  <si>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</si>
  <si>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</si>
  <si>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</si>
  <si>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</si>
  <si>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</si>
  <si>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</si>
  <si>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</si>
  <si>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</si>
  <si>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</si>
  <si>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</si>
  <si>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</si>
  <si>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</si>
  <si>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</si>
  <si>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</si>
  <si>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</si>
  <si>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</si>
  <si>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</si>
  <si>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</si>
  <si>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</si>
  <si>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</si>
  <si>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</si>
  <si>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</si>
  <si>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</si>
  <si>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</si>
  <si>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</si>
  <si>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</si>
  <si>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</si>
  <si>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</si>
  <si>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</si>
  <si>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</si>
  <si>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</si>
  <si>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</si>
  <si>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</si>
  <si>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</si>
  <si>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</si>
  <si>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</si>
  <si>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</si>
  <si>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</si>
  <si>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</si>
  <si>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</si>
  <si>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</si>
  <si>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</si>
  <si>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</si>
  <si>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</si>
  <si>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</si>
  <si>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</si>
  <si>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</si>
  <si>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</si>
  <si>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</si>
  <si>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</si>
  <si>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</si>
  <si>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</si>
  <si>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</si>
  <si>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</si>
  <si>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</si>
  <si>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</si>
  <si>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</si>
  <si>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</si>
  <si>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</si>
  <si>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</si>
  <si>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</si>
  <si>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</si>
  <si>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</si>
  <si>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</si>
  <si>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</si>
  <si>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</si>
  <si>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</si>
  <si>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</si>
  <si>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</si>
  <si>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</si>
  <si>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</si>
  <si>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</si>
  <si>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</si>
  <si>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</si>
  <si>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</si>
  <si>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</si>
  <si>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</si>
  <si>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</si>
  <si>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</si>
  <si>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</si>
  <si>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</si>
  <si>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</si>
  <si>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</si>
  <si>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</si>
  <si>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</si>
  <si>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</si>
  <si>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</si>
  <si>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</si>
  <si>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</si>
  <si>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</si>
  <si>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</si>
  <si>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</si>
  <si>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</si>
  <si>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</si>
  <si>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</si>
  <si>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</si>
  <si>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</si>
  <si>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</si>
  <si>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</si>
  <si>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</si>
  <si>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</si>
  <si>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</si>
  <si>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</si>
  <si>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</si>
  <si>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</si>
  <si>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</si>
  <si>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</si>
  <si>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</si>
  <si>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</si>
  <si>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</si>
  <si>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</si>
  <si>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</si>
  <si>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</si>
  <si>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</si>
  <si>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</si>
  <si>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</si>
  <si>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</si>
  <si>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</si>
  <si>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</si>
  <si>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</si>
  <si>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</si>
  <si>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</si>
  <si>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</si>
  <si>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</si>
  <si>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</si>
  <si>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</si>
  <si>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</si>
  <si>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</si>
  <si>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</si>
  <si>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</si>
  <si>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</si>
  <si>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</si>
  <si>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</si>
  <si>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</si>
  <si>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</si>
  <si>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</si>
  <si>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</si>
  <si>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</si>
  <si>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</si>
  <si>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</si>
  <si>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</si>
  <si>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</si>
  <si>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</si>
  <si>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</si>
  <si>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</si>
  <si>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</si>
  <si>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</si>
  <si>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</si>
  <si>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</si>
  <si>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</si>
  <si>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</si>
  <si>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</si>
  <si>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</si>
  <si>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</si>
  <si>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</si>
  <si>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</si>
  <si>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</si>
  <si>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</si>
  <si>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</si>
  <si>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</si>
  <si>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</si>
  <si>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</si>
  <si>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</si>
  <si>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</si>
  <si>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</si>
  <si>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</si>
  <si>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</si>
  <si>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</si>
  <si>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</si>
  <si>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</si>
  <si>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</si>
  <si>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</si>
  <si>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</si>
  <si>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</si>
  <si>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</si>
  <si>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</si>
  <si>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</si>
  <si>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</si>
  <si>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</si>
  <si>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</si>
  <si>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</si>
  <si>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</si>
  <si>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</si>
  <si>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</si>
  <si>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</si>
  <si>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</si>
  <si>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</si>
  <si>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</si>
  <si>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</si>
  <si>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</si>
  <si>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</si>
  <si>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</si>
  <si>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</si>
  <si>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</si>
  <si>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</si>
  <si>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</si>
  <si>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</si>
  <si>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</si>
  <si>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</si>
  <si>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</si>
  <si>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</si>
  <si>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</si>
  <si>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</si>
  <si>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</si>
  <si>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</si>
  <si>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</si>
  <si>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</si>
  <si>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</si>
  <si>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</si>
  <si>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</si>
  <si>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</si>
  <si>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</si>
  <si>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</si>
  <si>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</si>
  <si>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</si>
  <si>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</si>
  <si>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</si>
  <si>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</si>
  <si>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</si>
  <si>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</si>
  <si>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</si>
  <si>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</si>
  <si>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</si>
  <si>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</si>
  <si>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</si>
  <si>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</si>
  <si>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</si>
  <si>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</si>
  <si>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</si>
  <si>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</si>
  <si>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</si>
  <si>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</si>
  <si>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</si>
  <si>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</si>
  <si>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</si>
  <si>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</si>
  <si>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</si>
  <si>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</si>
  <si>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</si>
  <si>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</si>
  <si>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</si>
  <si>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</si>
  <si>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</si>
  <si>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</si>
  <si>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</si>
  <si>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</si>
  <si>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</si>
  <si>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</si>
  <si>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</si>
  <si>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</si>
  <si>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</si>
  <si>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</si>
  <si>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</si>
  <si>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</si>
  <si>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</si>
  <si>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</si>
  <si>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</si>
  <si>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</si>
  <si>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</si>
  <si>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</si>
  <si>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</si>
  <si>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</si>
  <si>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</si>
  <si>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</si>
  <si>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</si>
  <si>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</si>
  <si>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</si>
  <si>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</si>
  <si>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</si>
  <si>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</si>
  <si>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</si>
  <si>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</si>
  <si>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</si>
  <si>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</si>
  <si>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</si>
  <si>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</si>
  <si>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</si>
  <si>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</si>
  <si>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</si>
  <si>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</si>
  <si>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</si>
  <si>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</si>
  <si>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</si>
  <si>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</si>
  <si>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</si>
  <si>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</si>
  <si>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</si>
  <si>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</si>
  <si>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</si>
  <si>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</si>
  <si>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</si>
  <si>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</si>
  <si>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</si>
  <si>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</si>
  <si>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</si>
  <si>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</si>
  <si>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</si>
  <si>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</si>
  <si>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</si>
  <si>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</si>
  <si>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</si>
  <si>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</si>
  <si>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</si>
  <si>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</si>
  <si>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</si>
  <si>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</si>
  <si>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</si>
  <si>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</si>
  <si>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</si>
  <si>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</si>
  <si>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</si>
  <si>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</si>
  <si>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</si>
  <si>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</si>
  <si>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</si>
  <si>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</si>
  <si>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</si>
  <si>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</si>
  <si>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</si>
  <si>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</si>
  <si>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</si>
  <si>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</si>
  <si>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</si>
  <si>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</si>
  <si>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</si>
  <si>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</si>
  <si>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</si>
  <si>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</si>
  <si>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</si>
  <si>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</si>
  <si>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</si>
  <si>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</si>
  <si>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</si>
  <si>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</si>
  <si>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</si>
  <si>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</si>
  <si>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</si>
  <si>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</si>
  <si>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</si>
  <si>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</si>
  <si>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</si>
  <si>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</si>
  <si>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</si>
  <si>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</si>
  <si>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</si>
  <si>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</si>
  <si>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</si>
  <si>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</si>
  <si>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</si>
  <si>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</si>
  <si>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</si>
  <si>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</si>
  <si>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</si>
  <si>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</si>
  <si>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</si>
  <si>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</si>
  <si>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</si>
  <si>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</si>
  <si>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</si>
  <si>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</si>
  <si>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</si>
  <si>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</si>
  <si>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</si>
  <si>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</si>
  <si>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</si>
  <si>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</si>
  <si>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</si>
  <si>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</si>
  <si>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</si>
  <si>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</si>
  <si>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</si>
  <si>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</si>
  <si>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</si>
  <si>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</si>
  <si>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</si>
  <si>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</si>
  <si>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</si>
  <si>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</si>
  <si>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</si>
  <si>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</si>
  <si>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</si>
  <si>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</si>
  <si>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</si>
  <si>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</si>
  <si>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</si>
  <si>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</si>
  <si>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</si>
  <si>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</si>
  <si>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</si>
  <si>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</si>
  <si>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</si>
  <si>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</si>
  <si>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</si>
  <si>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</si>
  <si>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</si>
  <si>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</si>
  <si>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</si>
  <si>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</si>
  <si>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</si>
  <si>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</si>
  <si>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</si>
  <si>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</si>
  <si>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</si>
  <si>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</si>
  <si>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</si>
  <si>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</si>
  <si>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</si>
  <si>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</si>
  <si>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</si>
  <si>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</si>
  <si>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</si>
  <si>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</si>
  <si>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</si>
  <si>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</si>
  <si>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</si>
  <si>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</si>
  <si>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</si>
  <si>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</si>
  <si>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</si>
  <si>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</si>
  <si>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</si>
  <si>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</si>
  <si>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</si>
  <si>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</si>
  <si>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</si>
  <si>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</si>
  <si>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</si>
  <si>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</si>
  <si>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</si>
  <si>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</si>
  <si>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</si>
  <si>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</si>
  <si>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</si>
  <si>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</si>
  <si>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</si>
  <si>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</si>
  <si>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</si>
  <si>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</si>
  <si>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</si>
  <si>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</si>
  <si>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</si>
  <si>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</si>
  <si>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</si>
  <si>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</si>
  <si>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</si>
  <si>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</si>
  <si>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</si>
  <si>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</si>
  <si>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</si>
  <si>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</si>
  <si>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</si>
  <si>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</si>
  <si>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</si>
  <si>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</si>
  <si>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</si>
  <si>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</si>
  <si>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</si>
  <si>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</si>
  <si>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</si>
  <si>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</si>
  <si>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</si>
  <si>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</si>
  <si>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</si>
  <si>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</si>
  <si>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</si>
  <si>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</si>
  <si>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</si>
  <si>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</si>
  <si>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</si>
  <si>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</si>
  <si>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</si>
  <si>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</si>
  <si>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</si>
  <si>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</si>
  <si>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</si>
  <si>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</si>
  <si>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</si>
  <si>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</si>
  <si>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</si>
  <si>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</si>
  <si>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</si>
  <si>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</si>
  <si>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</si>
  <si>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</si>
  <si>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</si>
  <si>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</si>
  <si>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</si>
  <si>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</si>
  <si>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</si>
  <si>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</si>
  <si>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</si>
  <si>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</si>
  <si>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</si>
  <si>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</si>
  <si>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</si>
  <si>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</si>
  <si>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</si>
  <si>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</si>
  <si>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</si>
  <si>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</si>
  <si>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</si>
  <si>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</si>
  <si>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</si>
  <si>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</si>
  <si>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</si>
  <si>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</si>
  <si>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</si>
  <si>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</si>
  <si>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</si>
  <si>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</si>
  <si>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</si>
  <si>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</si>
  <si>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</si>
  <si>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</si>
  <si>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</si>
  <si>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</si>
  <si>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</si>
  <si>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</si>
  <si>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</si>
  <si>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</si>
  <si>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</si>
  <si>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</si>
  <si>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</si>
  <si>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</si>
  <si>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</si>
  <si>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</si>
  <si>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</si>
  <si>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</si>
  <si>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</si>
  <si>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</si>
  <si>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</si>
  <si>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</si>
  <si>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</si>
  <si>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</si>
  <si>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</si>
  <si>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</si>
  <si>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</si>
  <si>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</si>
  <si>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</si>
  <si>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</si>
  <si>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</si>
  <si>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</si>
  <si>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</si>
  <si>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</si>
  <si>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</si>
  <si>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</si>
  <si>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</si>
  <si>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</si>
  <si>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</si>
  <si>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</si>
  <si>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</si>
  <si>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</si>
  <si>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</si>
  <si>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</si>
  <si>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</si>
  <si>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</si>
  <si>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</si>
  <si>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</si>
  <si>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</si>
  <si>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</si>
  <si>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</si>
  <si>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</si>
  <si>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</si>
  <si>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</si>
  <si>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</si>
  <si>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</si>
  <si>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</si>
  <si>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</si>
  <si>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</si>
  <si>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</si>
  <si>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</si>
  <si>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</si>
  <si>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</si>
  <si>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</si>
  <si>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</si>
  <si>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</si>
  <si>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</si>
  <si>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</si>
  <si>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</si>
  <si>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</si>
  <si>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</si>
  <si>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</si>
  <si>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</si>
  <si>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</si>
  <si>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</si>
  <si>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</si>
  <si>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</si>
  <si>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</si>
  <si>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</si>
  <si>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</si>
  <si>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</si>
  <si>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</si>
  <si>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</si>
  <si>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</si>
  <si>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</si>
  <si>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</si>
  <si>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</si>
  <si>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</si>
  <si>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</si>
  <si>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</si>
  <si>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</si>
  <si>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</si>
  <si>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</si>
  <si>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</si>
  <si>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</si>
  <si>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</si>
  <si>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</si>
  <si>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</si>
  <si>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</si>
  <si>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</si>
  <si>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</si>
  <si>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</si>
  <si>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</si>
  <si>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</si>
  <si>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</si>
  <si>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</si>
  <si>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</si>
  <si>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</si>
  <si>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</si>
  <si>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</si>
  <si>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</si>
  <si>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</si>
  <si>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</si>
  <si>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</si>
  <si>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</si>
  <si>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</si>
  <si>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</si>
  <si>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</si>
  <si>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</si>
  <si>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</si>
  <si>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</si>
  <si>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</si>
  <si>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</si>
  <si>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</si>
  <si>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</si>
  <si>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</si>
  <si>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</si>
  <si>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</si>
  <si>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</si>
  <si>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</si>
  <si>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</si>
  <si>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</si>
  <si>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</si>
  <si>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</si>
  <si>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</si>
  <si>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</si>
  <si>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</si>
  <si>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</si>
  <si>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</si>
  <si>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</si>
  <si>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</si>
  <si>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</si>
  <si>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</si>
  <si>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</si>
  <si>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</si>
  <si>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</si>
  <si>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</si>
  <si>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</si>
  <si>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</si>
  <si>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</si>
  <si>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</si>
  <si>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</si>
  <si>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</si>
  <si>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</si>
  <si>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</si>
  <si>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</si>
  <si>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</si>
  <si>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</si>
  <si>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</si>
  <si>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</si>
  <si>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</si>
  <si>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</si>
  <si>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</si>
  <si>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</si>
  <si>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</si>
  <si>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</si>
  <si>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</si>
  <si>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</si>
  <si>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</si>
  <si>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</si>
  <si>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</si>
  <si>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</si>
  <si>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</si>
  <si>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</si>
  <si>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</si>
  <si>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</si>
  <si>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</si>
  <si>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</si>
  <si>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</si>
  <si>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</si>
  <si>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</si>
  <si>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</si>
  <si>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</si>
  <si>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</si>
  <si>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</si>
  <si>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</si>
  <si>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</si>
  <si>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</si>
  <si>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</si>
  <si>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</si>
  <si>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</si>
  <si>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</si>
  <si>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</si>
  <si>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</si>
  <si>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</si>
  <si>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</si>
  <si>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</si>
  <si>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</si>
  <si>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</si>
  <si>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</si>
  <si>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</si>
  <si>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</si>
  <si>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</si>
  <si>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</si>
  <si>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</si>
  <si>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</si>
  <si>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</si>
  <si>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</si>
  <si>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</si>
  <si>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</si>
  <si>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</si>
  <si>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</si>
  <si>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</si>
  <si>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</si>
  <si>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</si>
  <si>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</si>
  <si>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</si>
  <si>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</si>
  <si>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</si>
  <si>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</si>
  <si>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</si>
  <si>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</si>
  <si>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</si>
  <si>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</si>
  <si>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</si>
  <si>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</si>
  <si>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</si>
  <si>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</si>
  <si>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</si>
  <si>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</si>
  <si>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</si>
  <si>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</si>
  <si>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</si>
  <si>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</si>
  <si>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</si>
  <si>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</si>
  <si>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</si>
  <si>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</si>
  <si>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</si>
  <si>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</si>
  <si>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</si>
  <si>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</si>
  <si>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</si>
  <si>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</si>
  <si>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</si>
  <si>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</si>
  <si>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</si>
  <si>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</si>
  <si>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</si>
  <si>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</si>
  <si>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</si>
  <si>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</si>
  <si>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</si>
  <si>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</si>
  <si>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</si>
  <si>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</si>
  <si>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</si>
  <si>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</si>
  <si>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</si>
  <si>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</si>
  <si>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</si>
  <si>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</si>
  <si>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</si>
  <si>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</si>
  <si>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</si>
  <si>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</si>
  <si>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</si>
  <si>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</si>
  <si>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</si>
  <si>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</si>
  <si>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</si>
  <si>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</si>
  <si>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</si>
  <si>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</si>
  <si>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</si>
  <si>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</si>
  <si>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</si>
  <si>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</si>
  <si>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</si>
  <si>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</si>
  <si>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</si>
  <si>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</si>
  <si>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</si>
  <si>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</si>
  <si>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</si>
  <si>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</si>
  <si>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</si>
  <si>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</si>
  <si>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</si>
  <si>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</si>
  <si>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</si>
  <si>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</si>
  <si>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</si>
  <si>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</si>
  <si>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</si>
  <si>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</si>
  <si>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</si>
  <si>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</si>
  <si>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</si>
  <si>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</si>
  <si>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</si>
  <si>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</si>
  <si>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</si>
  <si>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</si>
  <si>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</si>
  <si>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</si>
  <si>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</si>
  <si>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</si>
  <si>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</si>
  <si>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</si>
  <si>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</si>
  <si>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</si>
  <si>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</si>
  <si>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</si>
  <si>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</si>
  <si>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</si>
  <si>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</si>
  <si>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</si>
  <si>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</si>
  <si>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</si>
  <si>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</si>
  <si>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</si>
  <si>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</si>
  <si>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</si>
  <si>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</si>
  <si>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</si>
  <si>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</si>
  <si>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</si>
  <si>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</si>
  <si>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</si>
  <si>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</si>
  <si>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</si>
  <si>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</si>
  <si>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</si>
  <si>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</si>
  <si>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</si>
  <si>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</si>
  <si>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</si>
  <si>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</si>
  <si>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</si>
  <si>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</si>
  <si>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</si>
  <si>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</si>
  <si>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</si>
  <si>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</si>
  <si>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</si>
  <si>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</si>
  <si>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</si>
  <si>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</si>
  <si>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</si>
  <si>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</si>
  <si>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</si>
  <si>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</si>
  <si>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</si>
  <si>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</si>
  <si>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</si>
  <si>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</si>
  <si>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</si>
  <si>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</si>
  <si>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</si>
  <si>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</si>
  <si>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</si>
  <si>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</si>
  <si>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</si>
  <si>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</si>
  <si>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</si>
  <si>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</si>
  <si>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</si>
  <si>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</si>
  <si>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</si>
  <si>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</si>
  <si>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</si>
  <si>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</si>
  <si>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</si>
  <si>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</si>
  <si>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</si>
  <si>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</si>
  <si>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</si>
  <si>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</si>
  <si>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</si>
  <si>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</si>
  <si>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</si>
  <si>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</si>
  <si>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</si>
  <si>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</si>
  <si>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</si>
  <si>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</si>
  <si>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</si>
  <si>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</si>
  <si>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</si>
  <si>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</si>
  <si>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</si>
  <si>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</si>
  <si>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</si>
  <si>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</si>
  <si>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</si>
  <si>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</si>
  <si>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</si>
  <si>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</si>
  <si>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</si>
  <si>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</si>
  <si>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</si>
  <si>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</si>
  <si>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</si>
  <si>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</si>
  <si>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</si>
  <si>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</si>
  <si>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</si>
  <si>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</si>
  <si>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</si>
  <si>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</si>
  <si>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</si>
  <si>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</si>
  <si>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</si>
  <si>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</si>
  <si>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</si>
  <si>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</si>
  <si>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</si>
  <si>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</si>
  <si>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</si>
  <si>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</si>
  <si>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</si>
  <si>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</si>
  <si>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</si>
  <si>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</si>
  <si>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</si>
  <si>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</si>
  <si>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</si>
  <si>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</si>
  <si>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</si>
  <si>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</si>
  <si>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</si>
  <si>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</si>
  <si>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</si>
  <si>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</si>
  <si>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</si>
  <si>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</si>
  <si>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</si>
  <si>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</si>
  <si>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</si>
  <si>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</si>
  <si>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</si>
  <si>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</si>
  <si>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</si>
  <si>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</si>
  <si>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</si>
  <si>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</si>
  <si>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</si>
  <si>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</si>
  <si>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</si>
  <si>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</si>
  <si>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</si>
  <si>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</si>
  <si>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</si>
  <si>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</si>
  <si>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</si>
  <si>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</si>
  <si>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</si>
  <si>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</si>
  <si>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</si>
  <si>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</si>
  <si>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</si>
  <si>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</si>
  <si>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</si>
  <si>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</si>
  <si>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</si>
  <si>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</si>
  <si>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</si>
  <si>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</si>
  <si>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</si>
  <si>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</si>
  <si>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</si>
  <si>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</si>
  <si>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</si>
  <si>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</si>
  <si>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</si>
  <si>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</si>
  <si>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</si>
  <si>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</si>
  <si>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</si>
  <si>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</si>
  <si>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</si>
  <si>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</si>
  <si>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</si>
  <si>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</si>
  <si>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</si>
  <si>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</si>
  <si>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</si>
  <si>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</si>
  <si>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</si>
  <si>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</si>
  <si>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</si>
  <si>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</si>
  <si>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</si>
  <si>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</si>
  <si>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</si>
  <si>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</si>
  <si>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</si>
  <si>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</si>
  <si>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</si>
  <si>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</si>
  <si>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</si>
  <si>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</si>
  <si>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</si>
  <si>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</si>
  <si>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</si>
  <si>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</si>
  <si>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</si>
  <si>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</si>
  <si>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</si>
  <si>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</si>
  <si>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</si>
  <si>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</si>
  <si>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</si>
  <si>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</si>
  <si>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</si>
  <si>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</si>
  <si>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</si>
  <si>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</si>
  <si>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</si>
  <si>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</si>
  <si>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</si>
  <si>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</si>
  <si>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</si>
  <si>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</si>
  <si>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</si>
  <si>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</si>
  <si>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</si>
  <si>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</si>
  <si>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</si>
  <si>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</si>
  <si>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</si>
  <si>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</si>
  <si>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</si>
  <si>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</si>
  <si>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</si>
  <si>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</si>
  <si>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</si>
  <si>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</si>
  <si>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</si>
  <si>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</si>
  <si>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</si>
  <si>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</si>
  <si>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</si>
  <si>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</si>
  <si>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</si>
  <si>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</si>
  <si>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</si>
  <si>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</si>
  <si>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</si>
  <si>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</si>
  <si>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</si>
  <si>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</si>
  <si>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</si>
  <si>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</si>
  <si>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</si>
  <si>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</si>
  <si>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</si>
  <si>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</si>
  <si>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</si>
  <si>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</si>
  <si>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</si>
  <si>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</si>
  <si>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</si>
  <si>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</si>
  <si>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</si>
  <si>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</si>
  <si>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</si>
  <si>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</si>
  <si>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</si>
  <si>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</si>
  <si>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</si>
  <si>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</si>
  <si>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</si>
  <si>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</si>
  <si>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</si>
  <si>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</si>
  <si>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</si>
  <si>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</si>
  <si>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</si>
  <si>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</si>
  <si>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</si>
  <si>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</si>
  <si>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</si>
  <si>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</si>
  <si>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</si>
  <si>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</si>
  <si>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</si>
  <si>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</si>
  <si>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</si>
  <si>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</si>
  <si>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</si>
  <si>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</si>
  <si>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</si>
  <si>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</si>
  <si>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</si>
  <si>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</si>
  <si>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</si>
  <si>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</si>
  <si>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</si>
  <si>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</si>
  <si>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</si>
  <si>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</si>
  <si>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</si>
  <si>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</si>
  <si>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</si>
  <si>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</si>
  <si>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</si>
  <si>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</si>
  <si>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</si>
  <si>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</si>
  <si>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</si>
  <si>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</si>
  <si>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</si>
  <si>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</si>
  <si>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</si>
  <si>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</si>
  <si>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</si>
  <si>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</si>
  <si>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</si>
  <si>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</si>
  <si>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</si>
  <si>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</si>
  <si>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</si>
  <si>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</si>
  <si>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</si>
  <si>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</si>
  <si>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</si>
  <si>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</si>
  <si>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</si>
  <si>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</si>
  <si>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</si>
  <si>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</si>
  <si>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</si>
  <si>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</si>
  <si>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</si>
  <si>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</si>
  <si>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</si>
  <si>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</si>
  <si>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</si>
  <si>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</si>
  <si>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</si>
  <si>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</si>
  <si>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</si>
  <si>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</si>
  <si>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</si>
  <si>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</si>
  <si>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</si>
  <si>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</si>
  <si>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</si>
  <si>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</si>
  <si>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</si>
  <si>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</si>
  <si>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</si>
  <si>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</si>
  <si>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</si>
  <si>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</si>
  <si>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</si>
  <si>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</si>
  <si>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</si>
  <si>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</si>
  <si>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</si>
  <si>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</si>
  <si>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</si>
  <si>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</si>
  <si>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</si>
  <si>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</si>
  <si>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</si>
  <si>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</si>
  <si>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</si>
  <si>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</si>
  <si>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</si>
  <si>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</si>
  <si>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</si>
  <si>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</si>
  <si>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</si>
  <si>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</si>
  <si>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</si>
  <si>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</si>
  <si>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</si>
  <si>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</si>
  <si>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</si>
  <si>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</si>
  <si>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</si>
  <si>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</si>
  <si>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</si>
  <si>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</si>
  <si>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</si>
  <si>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</si>
  <si>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</si>
  <si>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</si>
  <si>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</si>
  <si>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</si>
  <si>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</si>
  <si>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</si>
  <si>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</si>
  <si>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</si>
  <si>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</si>
  <si>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</si>
  <si>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</si>
  <si>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</si>
  <si>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</si>
  <si>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</si>
  <si>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</si>
  <si>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</si>
  <si>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</si>
  <si>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</si>
  <si>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</si>
  <si>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</si>
  <si>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</si>
  <si>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</si>
  <si>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</si>
  <si>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</si>
  <si>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</si>
  <si>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</si>
  <si>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</si>
  <si>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</si>
  <si>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</si>
  <si>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</si>
  <si>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</si>
  <si>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</si>
  <si>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</si>
  <si>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</si>
  <si>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</si>
  <si>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</si>
  <si>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</si>
  <si>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</si>
  <si>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</si>
  <si>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</si>
  <si>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</si>
  <si>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</si>
  <si>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</si>
  <si>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</si>
  <si>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</si>
  <si>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</si>
  <si>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</si>
  <si>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</si>
  <si>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</si>
  <si>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</si>
  <si>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</si>
  <si>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</si>
  <si>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</si>
  <si>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</si>
  <si>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</si>
  <si>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</si>
  <si>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</si>
  <si>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</si>
  <si>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</si>
  <si>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</si>
  <si>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</si>
  <si>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</si>
  <si>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</si>
  <si>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</si>
  <si>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</si>
  <si>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</si>
  <si>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</si>
  <si>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</si>
  <si>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</si>
  <si>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</si>
  <si>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</si>
  <si>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</si>
  <si>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</si>
  <si>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</si>
  <si>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</si>
  <si>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</si>
  <si>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</si>
  <si>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</si>
  <si>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</si>
  <si>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</si>
  <si>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</si>
  <si>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</si>
  <si>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</si>
  <si>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</si>
  <si>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</si>
  <si>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</si>
  <si>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</si>
  <si>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</si>
  <si>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</si>
  <si>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</si>
  <si>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</si>
  <si>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</si>
  <si>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</si>
  <si>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</si>
  <si>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</si>
  <si>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</si>
  <si>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</si>
  <si>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</si>
  <si>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</si>
  <si>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</si>
  <si>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</si>
  <si>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</si>
  <si>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</si>
  <si>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</si>
  <si>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</si>
  <si>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</si>
  <si>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</si>
  <si>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</si>
  <si>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</si>
  <si>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</si>
  <si>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</si>
  <si>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</si>
  <si>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</si>
  <si>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</si>
  <si>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</si>
  <si>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</si>
  <si>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</si>
  <si>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</si>
  <si>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</si>
  <si>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</si>
  <si>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</si>
  <si>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</si>
  <si>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</si>
  <si>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</si>
  <si>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&amp;DatasetID00001 {DatasetUUID:  NULL,  DatasetTypeCV:  "Specimen time series",  DatasetCode:  "SWChemis_2011-2013",  DatasetTitle:  "Chemistry data from White Clay Creek from 2011-2013",  DatasetAbstract:  }</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</si>
  <si>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</si>
  <si>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</si>
  <si>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</si>
  <si>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</si>
  <si>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</si>
  <si>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</si>
  <si>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</si>
  <si>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</si>
  <si>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</si>
  <si>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</si>
  <si>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</si>
  <si>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</si>
  <si>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</si>
  <si>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</si>
  <si>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</si>
  <si>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</si>
  <si>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</si>
  <si>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</si>
  <si>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</si>
  <si>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</si>
  <si>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</si>
  <si>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</si>
  <si>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</si>
  <si>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</si>
  <si>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 ValidDateTimeUTCOffset:  , StatusCV:  ,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</si>
  <si>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 ValidDateTimeUTCOffset:  , StatusCV:  ,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</si>
  <si>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 ValidDateTimeUTCOffset:  , StatusCV:  ,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</si>
  <si>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 ValidDateTimeUTCOffset:  , StatusCV:  ,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</si>
  <si>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 ValidDateTimeUTCOffset:  , StatusCV:  ,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</si>
  <si>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 ValidDateTimeUTCOffset:  , StatusCV:  ,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</si>
  <si>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 ValidDateTimeUTCOffset:  , StatusCV:  ,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</si>
  <si>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 ValidDateTimeUTCOffset:  , StatusCV:  ,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</si>
  <si>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 ValidDateTimeUTCOffset:  , StatusCV:  ,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</si>
  <si>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 ValidDateTimeUTCOffset:  , StatusCV:  ,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</si>
  <si>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 ValidDateTimeUTCOffset:  , StatusCV:  ,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</si>
  <si>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 ValidDateTimeUTCOffset:  , StatusCV:  ,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</si>
  <si>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 ValidDateTimeUTCOffset:  , StatusCV:  ,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</si>
  <si>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 ValidDateTimeUTCOffset:  , StatusCV:  ,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</si>
  <si>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 ValidDateTimeUTCOffset:  , StatusCV:  ,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</si>
  <si>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 ValidDateTimeUTCOffset:  , StatusCV:  ,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</si>
  <si>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 ValidDateTimeUTCOffset:  , StatusCV:  ,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</si>
  <si>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 ValidDateTimeUTCOffset:  , StatusCV:  ,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</si>
  <si>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 ValidDateTimeUTCOffset:  , StatusCV:  ,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</si>
  <si>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 ValidDateTimeUTCOffset:  , StatusCV:  ,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</si>
  <si>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 ValidDateTimeUTCOffset:  , StatusCV:  ,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</si>
  <si>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 ValidDateTimeUTCOffset:  , StatusCV:  ,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</si>
  <si>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 ValidDateTimeUTCOffset:  , StatusCV:  ,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</si>
  <si>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 ValidDateTimeUTCOffset:  , StatusCV:  ,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</si>
  <si>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 ValidDateTimeUTCOffset:  , StatusCV:  ,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</si>
  <si>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 ValidDateTimeUTCOffset:  , StatusCV:  ,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</si>
  <si>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 ValidDateTimeUTCOffset:  , StatusCV:  ,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</si>
  <si>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 ValidDateTimeUTCOffset:  , StatusCV:  ,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</si>
  <si>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 ValidDateTimeUTCOffset:  , StatusCV:  ,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</si>
  <si>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 ValidDateTimeUTCOffset:  , StatusCV:  ,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</si>
  <si>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 ValidDateTimeUTCOffset:  , StatusCV:  ,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</si>
  <si>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 ValidDateTimeUTCOffset:  , StatusCV:  ,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</si>
  <si>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 ValidDateTimeUTCOffset:  , StatusCV:  ,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</si>
  <si>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 ValidDateTimeUTCOffset:  , StatusCV:  ,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</si>
  <si>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 ValidDateTimeUTCOffset:  , StatusCV:  ,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</si>
  <si>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 ValidDateTimeUTCOffset:  , StatusCV:  ,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</si>
  <si>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 ValidDateTimeUTCOffset:  , StatusCV:  ,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</si>
  <si>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 ValidDateTimeUTCOffset:  , StatusCV:  ,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</si>
  <si>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 ValidDateTimeUTCOffset:  , StatusCV:  ,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</si>
  <si>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 ValidDateTimeUTCOffset:  , StatusCV:  ,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</si>
  <si>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 ValidDateTimeUTCOffset:  , StatusCV:  ,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</si>
  <si>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 ValidDateTimeUTCOffset:  , StatusCV:  ,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</si>
  <si>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 ValidDateTimeUTCOffset:  , StatusCV:  ,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</si>
  <si>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 ValidDateTimeUTCOffset:  , StatusCV:  ,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</si>
  <si>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 ValidDateTimeUTCOffset:  , StatusCV:  ,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</si>
  <si>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 ValidDateTimeUTCOffset:  , StatusCV:  ,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</si>
  <si>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 ValidDateTimeUTCOffset:  , StatusCV:  ,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</si>
  <si>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 ValidDateTimeUTCOffset:  , StatusCV:  ,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</si>
  <si>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 ValidDateTimeUTCOffset:  , StatusCV:  ,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</si>
  <si>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 ValidDateTimeUTCOffset:  , StatusCV:  ,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</si>
  <si>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 ValidDateTimeUTCOffset:  , StatusCV:  ,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</si>
  <si>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 ValidDateTimeUTCOffset:  , StatusCV:  ,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</si>
  <si>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 ValidDateTimeUTCOffset:  , StatusCV:  ,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</si>
  <si>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 ValidDateTimeUTCOffset:  , StatusCV:  ,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</si>
  <si>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 ValidDateTimeUTCOffset:  , StatusCV:  ,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</si>
  <si>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 ValidDateTimeUTCOffset:  , StatusCV:  ,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</si>
  <si>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 ValidDateTimeUTCOffset:  , StatusCV:  ,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</si>
  <si>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 ValidDateTimeUTCOffset:  , StatusCV:  ,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</si>
  <si>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 ValidDateTimeUTCOffset:  , StatusCV:  ,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</si>
  <si>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 ValidDateTimeUTCOffset:  , StatusCV:  ,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</si>
  <si>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 ValidDateTimeUTCOffset:  , StatusCV:  ,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</si>
  <si>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 ValidDateTimeUTCOffset:  , StatusCV:  ,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</si>
  <si>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 ValidDateTimeUTCOffset:  , StatusCV:  ,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</si>
  <si>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 ValidDateTimeUTCOffset:  , StatusCV:  ,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</si>
  <si>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 ValidDateTimeUTCOffset:  , StatusCV:  ,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</si>
  <si>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 ValidDateTimeUTCOffset:  , StatusCV:  ,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</si>
  <si>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 ValidDateTimeUTCOffset:  , StatusCV:  ,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</si>
  <si>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 ValidDateTimeUTCOffset:  , StatusCV:  ,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</si>
  <si>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 ValidDateTimeUTCOffset:  , StatusCV:  ,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</si>
  <si>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 ValidDateTimeUTCOffset:  , StatusCV:  ,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</si>
  <si>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 ValidDateTimeUTCOffset:  , StatusCV:  ,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</si>
  <si>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 ValidDateTimeUTCOffset:  , StatusCV:  ,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</si>
  <si>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 ValidDateTimeUTCOffset:  , StatusCV:  ,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</si>
  <si>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 ValidDateTimeUTCOffset:  , StatusCV:  ,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</si>
  <si>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 ValidDateTimeUTCOffset:  , StatusCV:  ,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</si>
  <si>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 ValidDateTimeUTCOffset:  , StatusCV:  ,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</si>
  <si>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 ValidDateTimeUTCOffset:  , StatusCV:  ,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</si>
  <si>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 ValidDateTimeUTCOffset:  , StatusCV:  ,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</si>
  <si>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 ValidDateTimeUTCOffset:  , StatusCV:  ,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</si>
  <si>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 ValidDateTimeUTCOffset:  , StatusCV:  ,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</si>
  <si>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 ValidDateTimeUTCOffset:  , StatusCV:  ,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</si>
  <si>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 ValidDateTimeUTCOffset:  , StatusCV:  ,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</si>
  <si>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 ValidDateTimeUTCOffset:  , StatusCV:  ,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</si>
  <si>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 ValidDateTimeUTCOffset:  , StatusCV:  ,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</si>
  <si>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 ValidDateTimeUTCOffset:  , StatusCV:  ,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</si>
  <si>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 ValidDateTimeUTCOffset:  , StatusCV:  ,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</si>
  <si>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 ValidDateTimeUTCOffset:  , StatusCV:  ,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</si>
  <si>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 ValidDateTimeUTCOffset:  , StatusCV:  ,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</si>
  <si>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 ValidDateTimeUTCOffset:  , StatusCV:  ,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</si>
  <si>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 ValidDateTimeUTCOffset:  , StatusCV:  ,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</si>
  <si>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 ValidDateTimeUTCOffset:  , StatusCV:  ,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</si>
  <si>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 ValidDateTimeUTCOffset:  , StatusCV:  ,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</si>
  <si>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 ValidDateTimeUTCOffset:  , StatusCV:  ,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</si>
  <si>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 ValidDateTimeUTCOffset:  , StatusCV:  ,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</si>
  <si>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 ValidDateTimeUTCOffset:  , StatusCV:  ,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</si>
  <si>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 ValidDateTimeUTCOffset:  , StatusCV:  ,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</si>
  <si>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 ValidDateTimeUTCOffset:  , StatusCV:  ,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</si>
  <si>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 ValidDateTimeUTCOffset:  , StatusCV:  ,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</si>
  <si>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 ValidDateTimeUTCOffset:  , StatusCV:  ,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</si>
  <si>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 ValidDateTimeUTCOffset:  , StatusCV:  ,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</si>
  <si>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 ValidDateTimeUTCOffset:  , StatusCV:  ,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</si>
  <si>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 ValidDateTimeUTCOffset:  , StatusCV:  ,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</si>
  <si>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 ValidDateTimeUTCOffset:  , StatusCV:  ,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</si>
  <si>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 ValidDateTimeUTCOffset:  , StatusCV:  ,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</si>
  <si>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 ValidDateTimeUTCOffset:  , StatusCV:  ,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</si>
  <si>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 ValidDateTimeUTCOffset:  , StatusCV:  ,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</si>
  <si>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 ValidDateTimeUTCOffset:  , StatusCV:  ,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</si>
  <si>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 ValidDateTimeUTCOffset:  , StatusCV:  ,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</si>
  <si>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 ValidDateTimeUTCOffset:  , StatusCV:  ,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</si>
  <si>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 ValidDateTimeUTCOffset:  , StatusCV:  ,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</si>
  <si>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 ValidDateTimeUTCOffset:  , StatusCV:  ,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</si>
  <si>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 ValidDateTimeUTCOffset:  , StatusCV:  ,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</si>
  <si>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 ValidDateTimeUTCOffset:  , StatusCV:  ,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</si>
  <si>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 ValidDateTimeUTCOffset:  , StatusCV:  ,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</si>
  <si>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 ValidDateTimeUTCOffset:  , StatusCV:  ,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</si>
  <si>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 ValidDateTimeUTCOffset:  , StatusCV:  ,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</si>
  <si>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 ValidDateTimeUTCOffset:  , StatusCV:  ,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</si>
  <si>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 ValidDateTimeUTCOffset:  , StatusCV:  ,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</si>
  <si>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 ValidDateTimeUTCOffset:  , StatusCV:  ,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</si>
  <si>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 ValidDateTimeUTCOffset:  , StatusCV:  ,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</si>
  <si>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 ValidDateTimeUTCOffset:  , StatusCV:  ,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</si>
  <si>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 ValidDateTimeUTCOffset:  , StatusCV:  ,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</si>
  <si>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 ValidDateTimeUTCOffset:  , StatusCV:  ,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</si>
  <si>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 ValidDateTimeUTCOffset:  , StatusCV:  ,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</si>
  <si>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 ValidDateTimeUTCOffset:  , StatusCV:  ,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</si>
  <si>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 ValidDateTimeUTCOffset:  , StatusCV:  ,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</si>
  <si>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 ValidDateTimeUTCOffset:  , StatusCV:  ,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</si>
  <si>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 ValidDateTimeUTCOffset:  , StatusCV:  ,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</si>
  <si>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 ValidDateTimeUTCOffset:  , StatusCV:  ,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</si>
  <si>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 ValidDateTimeUTCOffset:  , StatusCV:  ,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</si>
  <si>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 ValidDateTimeUTCOffset:  , StatusCV:  ,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</si>
  <si>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 ValidDateTimeUTCOffset:  , StatusCV:  ,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</si>
  <si>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 ValidDateTimeUTCOffset:  , StatusCV:  ,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</si>
  <si>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 ValidDateTimeUTCOffset:  , StatusCV:  ,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</si>
  <si>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 ValidDateTimeUTCOffset:  , StatusCV:  ,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</si>
  <si>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 ValidDateTimeUTCOffset:  , StatusCV:  ,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</si>
  <si>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 ValidDateTimeUTCOffset:  , StatusCV:  ,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</si>
  <si>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 ValidDateTimeUTCOffset:  , StatusCV:  ,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</si>
  <si>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 ValidDateTimeUTCOffset:  , StatusCV:  ,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</si>
  <si>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 ValidDateTimeUTCOffset:  , StatusCV:  ,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</si>
  <si>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 ValidDateTimeUTCOffset:  , StatusCV:  ,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</si>
  <si>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 ValidDateTimeUTCOffset:  , StatusCV:  ,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</si>
  <si>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 ValidDateTimeUTCOffset:  , StatusCV:  ,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</si>
  <si>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 ValidDateTimeUTCOffset:  , StatusCV:  ,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</si>
  <si>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 ValidDateTimeUTCOffset:  , StatusCV:  ,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</si>
  <si>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 ValidDateTimeUTCOffset:  , StatusCV:  ,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</si>
  <si>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 ValidDateTimeUTCOffset:  , StatusCV:  ,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</si>
  <si>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 ValidDateTimeUTCOffset:  , StatusCV:  ,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</si>
  <si>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 ValidDateTimeUTCOffset:  , StatusCV:  ,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</si>
  <si>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 ValidDateTimeUTCOffset:  , StatusCV:  ,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</si>
  <si>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 ValidDateTimeUTCOffset:  , StatusCV:  ,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</si>
  <si>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 ValidDateTimeUTCOffset:  , StatusCV:  ,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</si>
  <si>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 ValidDateTimeUTCOffset:  , StatusCV:  ,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</si>
  <si>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 ValidDateTimeUTCOffset:  , StatusCV:  ,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</si>
  <si>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 ValidDateTimeUTCOffset:  , StatusCV:  ,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</si>
  <si>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 ValidDateTimeUTCOffset:  , StatusCV:  ,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</si>
  <si>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 ValidDateTimeUTCOffset:  , StatusCV:  ,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</si>
  <si>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 ValidDateTimeUTCOffset:  , StatusCV:  ,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</si>
  <si>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 ValidDateTimeUTCOffset:  , StatusCV:  ,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</si>
  <si>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 ValidDateTimeUTCOffset:  , StatusCV:  ,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</si>
  <si>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 ValidDateTimeUTCOffset:  , StatusCV:  ,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</si>
  <si>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 ValidDateTimeUTCOffset:  , StatusCV:  ,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</si>
  <si>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 ValidDateTimeUTCOffset:  , StatusCV:  ,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</si>
  <si>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 ValidDateTimeUTCOffset:  , StatusCV:  ,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</si>
  <si>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 ValidDateTimeUTCOffset:  , StatusCV:  ,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</si>
  <si>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 ValidDateTimeUTCOffset:  , StatusCV:  ,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</si>
  <si>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 ValidDateTimeUTCOffset:  , StatusCV:  ,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</si>
  <si>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 ValidDateTimeUTCOffset:  , StatusCV:  ,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</si>
  <si>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 ValidDateTimeUTCOffset:  , StatusCV:  ,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</si>
  <si>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 ValidDateTimeUTCOffset:  , StatusCV:  ,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</si>
  <si>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 ValidDateTimeUTCOffset:  , StatusCV:  ,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</si>
  <si>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 ValidDateTimeUTCOffset:  , StatusCV:  ,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</si>
  <si>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 ValidDateTimeUTCOffset:  , StatusCV:  ,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</si>
  <si>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 ValidDateTimeUTCOffset:  , StatusCV:  ,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</si>
  <si>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 ValidDateTimeUTCOffset:  , StatusCV:  ,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</si>
  <si>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 ValidDateTimeUTCOffset:  , StatusCV:  ,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</si>
  <si>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 ValidDateTimeUTCOffset:  , StatusCV:  ,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</si>
  <si>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 ValidDateTimeUTCOffset:  , StatusCV:  ,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</si>
  <si>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 ValidDateTimeUTCOffset:  , StatusCV:  ,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</si>
  <si>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 ValidDateTimeUTCOffset:  , StatusCV:  ,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</si>
  <si>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 ValidDateTimeUTCOffset:  , StatusCV:  ,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</si>
  <si>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 ValidDateTimeUTCOffset:  , StatusCV:  ,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</si>
  <si>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 ValidDateTimeUTCOffset:  , StatusCV:  ,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</si>
  <si>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 ValidDateTimeUTCOffset:  , StatusCV:  ,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</si>
  <si>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 ValidDateTimeUTCOffset:  , StatusCV:  ,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</si>
  <si>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 ValidDateTimeUTCOffset:  , StatusCV:  ,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</si>
  <si>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 ValidDateTimeUTCOffset:  , StatusCV:  ,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</si>
  <si>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 ValidDateTimeUTCOffset:  , StatusCV:  ,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</si>
  <si>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 ValidDateTimeUTCOffset:  , StatusCV:  ,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</si>
  <si>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 ValidDateTimeUTCOffset:  , StatusCV:  ,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</si>
  <si>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 ValidDateTimeUTCOffset:  , StatusCV:  ,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</si>
  <si>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 ValidDateTimeUTCOffset:  , StatusCV:  ,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</si>
  <si>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 ValidDateTimeUTCOffset:  , StatusCV:  ,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</si>
  <si>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 ValidDateTimeUTCOffset:  , StatusCV:  ,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</si>
  <si>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 ValidDateTimeUTCOffset:  , StatusCV:  ,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</si>
  <si>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 ValidDateTimeUTCOffset:  , StatusCV:  ,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</si>
  <si>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 ValidDateTimeUTCOffset:  , StatusCV:  ,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</si>
  <si>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 ValidDateTimeUTCOffset:  , StatusCV:  ,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</si>
  <si>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 ValidDateTimeUTCOffset:  , StatusCV:  ,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</si>
  <si>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 ValidDateTimeUTCOffset:  , StatusCV:  ,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</si>
  <si>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 ValidDateTimeUTCOffset:  , StatusCV:  ,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</si>
  <si>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 ValidDateTimeUTCOffset:  , StatusCV:  ,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</si>
  <si>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 ValidDateTimeUTCOffset:  , StatusCV:  ,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</si>
  <si>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 ValidDateTimeUTCOffset:  , StatusCV:  ,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</si>
  <si>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 ValidDateTimeUTCOffset:  , StatusCV:  ,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</si>
  <si>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 ValidDateTimeUTCOffset:  , StatusCV:  ,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</si>
  <si>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 ValidDateTimeUTCOffset:  , StatusCV:  ,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</si>
  <si>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 ValidDateTimeUTCOffset:  , StatusCV:  ,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</si>
  <si>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 ValidDateTimeUTCOffset:  , StatusCV:  ,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</si>
  <si>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 ValidDateTimeUTCOffset:  , StatusCV:  ,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</si>
  <si>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 ValidDateTimeUTCOffset:  , StatusCV:  ,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</si>
  <si>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 ValidDateTimeUTCOffset:  , StatusCV:  ,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</si>
  <si>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 ValidDateTimeUTCOffset:  , StatusCV:  ,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</si>
  <si>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 ValidDateTimeUTCOffset:  , StatusCV:  ,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</si>
  <si>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 ValidDateTimeUTCOffset:  , StatusCV:  ,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</si>
  <si>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 ValidDateTimeUTCOffset:  , StatusCV:  ,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</si>
  <si>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 ValidDateTimeUTCOffset:  , StatusCV:  ,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</si>
  <si>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 ValidDateTimeUTCOffset:  , StatusCV:  ,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</si>
  <si>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 ValidDateTimeUTCOffset:  , StatusCV:  ,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</si>
  <si>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 ValidDateTimeUTCOffset:  , StatusCV:  ,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</si>
  <si>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 ValidDateTimeUTCOffset:  , StatusCV:  ,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</si>
  <si>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 ValidDateTimeUTCOffset:  , StatusCV:  ,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</si>
  <si>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 ValidDateTimeUTCOffset:  , StatusCV:  ,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</si>
  <si>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 ValidDateTimeUTCOffset:  , StatusCV:  ,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</si>
  <si>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 ValidDateTimeUTCOffset:  , StatusCV:  ,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</si>
  <si>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 ValidDateTimeUTCOffset:  , StatusCV:  ,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</si>
  <si>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 ValidDateTimeUTCOffset:  , StatusCV:  ,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</si>
  <si>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 ValidDateTimeUTCOffset:  , StatusCV:  ,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</si>
  <si>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 ValidDateTimeUTCOffset:  , StatusCV:  ,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</si>
  <si>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 ValidDateTimeUTCOffset:  , StatusCV:  ,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</si>
  <si>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 ValidDateTimeUTCOffset:  , StatusCV:  ,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</si>
  <si>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 ValidDateTimeUTCOffset:  , StatusCV:  ,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</si>
  <si>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 ValidDateTimeUTCOffset:  , StatusCV:  ,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</si>
  <si>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 ValidDateTimeUTCOffset:  , StatusCV:  ,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</si>
  <si>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 ValidDateTimeUTCOffset:  , StatusCV:  ,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</si>
  <si>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 ValidDateTimeUTCOffset:  , StatusCV:  ,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</si>
  <si>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 ValidDateTimeUTCOffset:  , StatusCV:  ,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</si>
  <si>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 ValidDateTimeUTCOffset:  , StatusCV:  ,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</si>
  <si>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 ValidDateTimeUTCOffset:  , StatusCV:  ,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</si>
  <si>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 ValidDateTimeUTCOffset:  , StatusCV:  ,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</si>
  <si>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 ValidDateTimeUTCOffset:  , StatusCV:  ,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</si>
  <si>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 ValidDateTimeUTCOffset:  , StatusCV:  ,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</si>
  <si>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 ValidDateTimeUTCOffset:  , StatusCV:  ,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</si>
  <si>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 ValidDateTimeUTCOffset:  , StatusCV:  ,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</si>
  <si>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 ValidDateTimeUTCOffset:  , StatusCV:  ,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</si>
  <si>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 ValidDateTimeUTCOffset:  , StatusCV:  ,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</si>
  <si>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 ValidDateTimeUTCOffset:  , StatusCV:  ,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</si>
  <si>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 ValidDateTimeUTCOffset:  , StatusCV:  ,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</si>
  <si>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 ValidDateTimeUTCOffset:  , StatusCV:  ,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</si>
  <si>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 ValidDateTimeUTCOffset:  , StatusCV:  ,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</si>
  <si>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 ValidDateTimeUTCOffset:  , StatusCV:  ,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</si>
  <si>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 ValidDateTimeUTCOffset:  , StatusCV:  ,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</si>
  <si>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 ValidDateTimeUTCOffset:  , StatusCV:  ,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</si>
  <si>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 ValidDateTimeUTCOffset:  , StatusCV:  ,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</si>
  <si>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 ValidDateTimeUTCOffset:  , StatusCV:  ,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</si>
  <si>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 ValidDateTimeUTCOffset:  , StatusCV:  ,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</si>
  <si>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 ValidDateTimeUTCOffset:  , StatusCV:  ,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</si>
  <si>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 ValidDateTimeUTCOffset:  , StatusCV:  ,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</si>
  <si>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 ValidDateTimeUTCOffset:  , StatusCV:  ,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</si>
  <si>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 ValidDateTimeUTCOffset:  , StatusCV:  ,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</si>
  <si>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 ValidDateTimeUTCOffset:  , StatusCV:  ,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</si>
  <si>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 ValidDateTimeUTCOffset:  , StatusCV:  ,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</si>
  <si>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 ValidDateTimeUTCOffset:  , StatusCV:  ,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</si>
  <si>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 ValidDateTimeUTCOffset:  , StatusCV:  ,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</si>
  <si>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 ValidDateTimeUTCOffset:  , StatusCV:  ,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</si>
  <si>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 ValidDateTimeUTCOffset:  , StatusCV:  ,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</si>
  <si>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 ValidDateTimeUTCOffset:  , StatusCV:  ,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</si>
  <si>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 ValidDateTimeUTCOffset:  , StatusCV:  ,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</si>
  <si>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 ValidDateTimeUTCOffset:  , StatusCV:  ,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</si>
  <si>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 ValidDateTimeUTCOffset:  , StatusCV:  ,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</si>
  <si>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 ValidDateTimeUTCOffset:  , StatusCV:  ,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</si>
  <si>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 ValidDateTimeUTCOffset:  , StatusCV:  ,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</si>
  <si>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 ValidDateTimeUTCOffset:  , StatusCV:  ,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</si>
  <si>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 ValidDateTimeUTCOffset:  , StatusCV:  ,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</si>
  <si>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 ValidDateTimeUTCOffset:  , StatusCV:  ,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</si>
  <si>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 ValidDateTimeUTCOffset:  , StatusCV:  ,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</si>
  <si>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 ValidDateTimeUTCOffset:  , StatusCV:  ,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</si>
  <si>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 ValidDateTimeUTCOffset:  , StatusCV:  ,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</si>
  <si>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 ValidDateTimeUTCOffset:  , StatusCV:  ,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</si>
  <si>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 ValidDateTimeUTCOffset:  , StatusCV:  ,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</si>
  <si>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 ValidDateTimeUTCOffset:  , StatusCV:  ,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</si>
  <si>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 ValidDateTimeUTCOffset:  , StatusCV:  ,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</si>
  <si>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 ValidDateTimeUTCOffset:  , StatusCV:  ,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</si>
  <si>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 ValidDateTimeUTCOffset:  , StatusCV:  ,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</si>
  <si>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 ValidDateTimeUTCOffset:  , StatusCV:  ,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</si>
  <si>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 ValidDateTimeUTCOffset:  , StatusCV:  ,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</si>
  <si>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 ValidDateTimeUTCOffset:  , StatusCV:  ,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</si>
  <si>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 ValidDateTimeUTCOffset:  , StatusCV:  ,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</si>
  <si>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 ValidDateTimeUTCOffset:  , StatusCV:  ,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</si>
  <si>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 ValidDateTimeUTCOffset:  , StatusCV:  ,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</si>
  <si>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 ValidDateTimeUTCOffset:  , StatusCV:  ,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</si>
  <si>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 ValidDateTimeUTCOffset:  , StatusCV:  ,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</si>
  <si>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 ValidDateTimeUTCOffset:  , StatusCV:  ,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</si>
  <si>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 ValidDateTimeUTCOffset:  , StatusCV:  ,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</si>
  <si>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 ValidDateTimeUTCOffset:  , StatusCV:  ,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</si>
  <si>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 ValidDateTimeUTCOffset:  , StatusCV:  ,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</si>
  <si>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 ValidDateTimeUTCOffset:  , StatusCV:  ,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</si>
  <si>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 ValidDateTimeUTCOffset:  , StatusCV:  ,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</si>
  <si>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 ValidDateTimeUTCOffset:  , StatusCV:  ,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</si>
  <si>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 ValidDateTimeUTCOffset:  , StatusCV:  ,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</si>
  <si>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 ValidDateTimeUTCOffset:  , StatusCV:  ,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</si>
  <si>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 ValidDateTimeUTCOffset:  , StatusCV:  ,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</si>
  <si>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 ValidDateTimeUTCOffset:  , StatusCV:  ,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</si>
  <si>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 ValidDateTimeUTCOffset:  , StatusCV:  ,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</si>
  <si>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 ValidDateTimeUTCOffset:  , StatusCV:  ,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</si>
  <si>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 ValidDateTimeUTCOffset:  , StatusCV:  ,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</si>
  <si>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 ValidDateTimeUTCOffset:  , StatusCV:  ,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</si>
  <si>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 ValidDateTimeUTCOffset:  , StatusCV:  ,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</si>
  <si>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 ValidDateTimeUTCOffset:  , StatusCV:  ,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</si>
  <si>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 ValidDateTimeUTCOffset:  , StatusCV:  ,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</si>
  <si>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 ValidDateTimeUTCOffset:  , StatusCV:  ,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</si>
  <si>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 ValidDateTimeUTCOffset:  , StatusCV:  ,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</si>
  <si>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 ValidDateTimeUTCOffset:  , StatusCV:  ,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</si>
  <si>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 ValidDateTimeUTCOffset:  , StatusCV:  ,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</si>
  <si>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 ValidDateTimeUTCOffset:  , StatusCV:  ,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</si>
  <si>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 ValidDateTimeUTCOffset:  , StatusCV:  ,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</si>
  <si>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 ValidDateTimeUTCOffset:  , StatusCV:  ,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</si>
  <si>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 ValidDateTimeUTCOffset:  , StatusCV:  ,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</si>
  <si>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 ValidDateTimeUTCOffset:  , StatusCV:  ,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</si>
  <si>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 ValidDateTimeUTCOffset:  , StatusCV:  ,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</si>
  <si>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 ValidDateTimeUTCOffset:  , StatusCV:  ,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</si>
  <si>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 ValidDateTimeUTCOffset:  , StatusCV:  ,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</si>
  <si>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 ValidDateTimeUTCOffset:  , StatusCV:  ,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</si>
  <si>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 ValidDateTimeUTCOffset:  , StatusCV:  ,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</si>
  <si>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 ValidDateTimeUTCOffset:  , StatusCV:  ,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</si>
  <si>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 ValidDateTimeUTCOffset:  , StatusCV:  ,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</si>
  <si>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 ValidDateTimeUTCOffset:  , StatusCV:  ,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</si>
  <si>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 ValidDateTimeUTCOffset:  , StatusCV:  ,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</si>
  <si>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 ValidDateTimeUTCOffset:  , StatusCV:  ,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</si>
  <si>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 ValidDateTimeUTCOffset:  , StatusCV:  ,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</si>
  <si>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 ValidDateTimeUTCOffset:  , StatusCV:  ,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</si>
  <si>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 ValidDateTimeUTCOffset:  , StatusCV:  ,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</si>
  <si>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 ValidDateTimeUTCOffset:  , StatusCV:  ,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</si>
  <si>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 ValidDateTimeUTCOffset:  , StatusCV:  ,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</si>
  <si>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 ValidDateTimeUTCOffset:  , StatusCV:  ,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</si>
  <si>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 ValidDateTimeUTCOffset:  , StatusCV:  ,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</si>
  <si>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 ValidDateTimeUTCOffset:  , StatusCV:  ,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</si>
  <si>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 ValidDateTimeUTCOffset:  , StatusCV:  ,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</si>
  <si>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 ValidDateTimeUTCOffset:  , StatusCV:  ,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</si>
  <si>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 ValidDateTimeUTCOffset:  , StatusCV:  ,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</si>
  <si>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 ValidDateTimeUTCOffset:  , StatusCV:  ,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</si>
  <si>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 ValidDateTimeUTCOffset:  , StatusCV:  ,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</si>
  <si>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 ValidDateTimeUTCOffset:  , StatusCV:  ,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</si>
  <si>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 ValidDateTimeUTCOffset:  , StatusCV:  ,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</si>
  <si>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 ValidDateTimeUTCOffset:  , StatusCV:  ,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</si>
  <si>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 ValidDateTimeUTCOffset:  , StatusCV:  ,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</si>
  <si>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 ValidDateTimeUTCOffset:  , StatusCV:  ,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</si>
  <si>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 ValidDateTimeUTCOffset:  , StatusCV:  ,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</si>
  <si>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 ValidDateTimeUTCOffset:  , StatusCV:  ,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</si>
  <si>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 ValidDateTimeUTCOffset:  , StatusCV:  ,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</si>
  <si>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 ValidDateTimeUTCOffset:  , StatusCV:  ,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</si>
  <si>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 ValidDateTimeUTCOffset:  , StatusCV:  ,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</si>
  <si>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 ValidDateTimeUTCOffset:  , StatusCV:  ,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</si>
  <si>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 ValidDateTimeUTCOffset:  , StatusCV:  ,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</si>
  <si>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 ValidDateTimeUTCOffset:  , StatusCV:  ,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</si>
  <si>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 ValidDateTimeUTCOffset:  , StatusCV:  ,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</si>
  <si>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 ValidDateTimeUTCOffset:  , StatusCV:  ,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</si>
  <si>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 ValidDateTimeUTCOffset:  , StatusCV:  ,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</si>
  <si>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 ValidDateTimeUTCOffset:  , StatusCV:  ,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</si>
  <si>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 ValidDateTimeUTCOffset:  , StatusCV:  ,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</si>
  <si>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 ValidDateTimeUTCOffset:  , StatusCV:  ,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</si>
  <si>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 ValidDateTimeUTCOffset:  , StatusCV:  ,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</si>
  <si>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 ValidDateTimeUTCOffset:  , StatusCV:  ,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</si>
  <si>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 ValidDateTimeUTCOffset:  , StatusCV:  ,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</si>
  <si>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 ValidDateTimeUTCOffset:  , StatusCV:  ,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</si>
  <si>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 ValidDateTimeUTCOffset:  , StatusCV:  ,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</si>
  <si>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 ValidDateTimeUTCOffset:  , StatusCV:  ,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</si>
  <si>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</si>
  <si>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</si>
  <si>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 ValidDateTimeUTCOffset:  , StatusCV:  ,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</si>
  <si>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 ValidDateTimeUTCOffset:  , StatusCV:  ,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</si>
  <si>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 ValidDateTimeUTCOffset:  , StatusCV:  ,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</si>
  <si>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 ValidDateTimeUTCOffset:  , StatusCV:  ,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</si>
  <si>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 ValidDateTimeUTCOffset:  , StatusCV:  ,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</si>
  <si>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 ValidDateTimeUTCOffset:  , StatusCV:  ,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</si>
  <si>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 ValidDateTimeUTCOffset:  , StatusCV:  ,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</si>
  <si>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 ValidDateTimeUTCOffset:  , StatusCV:  ,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</si>
  <si>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 ValidDateTimeUTCOffset:  , StatusCV:  ,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</si>
  <si>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 ValidDateTimeUTCOffset:  , StatusCV:  ,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</si>
  <si>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 ValidDateTimeUTCOffset:  , StatusCV:  ,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</si>
  <si>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 ValidDateTimeUTCOffset:  , StatusCV:  ,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</si>
  <si>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 ValidDateTimeUTCOffset:  , StatusCV:  ,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</si>
  <si>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 ValidDateTimeUTCOffset:  , StatusCV:  ,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</si>
  <si>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 ValidDateTimeUTCOffset:  , StatusCV:  ,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</si>
  <si>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 ValidDateTimeUTCOffset:  , StatusCV:  ,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</si>
  <si>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 ValidDateTimeUTCOffset:  , StatusCV:  ,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</si>
  <si>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 ValidDateTimeUTCOffset:  , StatusCV:  ,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</si>
  <si>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 ValidDateTimeUTCOffset:  , StatusCV:  ,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</si>
  <si>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 ValidDateTimeUTCOffset:  , StatusCV:  ,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</si>
  <si>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 ValidDateTimeUTCOffset:  , StatusCV:  ,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</si>
  <si>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 ValidDateTimeUTCOffset:  , StatusCV:  ,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</si>
  <si>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 ValidDateTimeUTCOffset:  , StatusCV:  ,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</si>
  <si>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 ValidDateTimeUTCOffset:  , StatusCV:  ,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</si>
  <si>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 ValidDateTimeUTCOffset:  , StatusCV:  ,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</si>
  <si>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 ValidDateTimeUTCOffset:  , StatusCV:  ,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</si>
  <si>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 ValidDateTimeUTCOffset:  , StatusCV:  ,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</si>
  <si>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 ValidDateTimeUTCOffset:  , StatusCV:  ,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</si>
  <si>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 ValidDateTimeUTCOffset:  , StatusCV:  ,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</si>
  <si>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 ValidDateTimeUTCOffset:  , StatusCV:  ,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</si>
  <si>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 ValidDateTimeUTCOffset:  , StatusCV:  ,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</si>
  <si>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 ValidDateTimeUTCOffset:  , StatusCV:  ,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</si>
  <si>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 ValidDateTimeUTCOffset:  , StatusCV:  ,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</si>
  <si>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 ValidDateTimeUTCOffset:  , StatusCV:  ,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</si>
  <si>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 ValidDateTimeUTCOffset:  , StatusCV:  ,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</si>
  <si>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 ValidDateTimeUTCOffset:  , StatusCV:  ,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</si>
  <si>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 ValidDateTimeUTCOffset:  , StatusCV:  ,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</si>
  <si>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 ValidDateTimeUTCOffset:  , StatusCV:  ,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</si>
  <si>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 ValidDateTimeUTCOffset:  , StatusCV:  ,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</si>
  <si>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 ValidDateTimeUTCOffset:  , StatusCV:  ,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</si>
  <si>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 ValidDateTimeUTCOffset:  , StatusCV:  ,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</si>
  <si>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 ValidDateTimeUTCOffset:  , StatusCV:  ,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</si>
  <si>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 ValidDateTimeUTCOffset:  , StatusCV:  ,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</si>
  <si>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 ValidDateTimeUTCOffset:  , StatusCV:  ,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</si>
  <si>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 ValidDateTimeUTCOffset:  , StatusCV:  ,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</si>
  <si>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 ValidDateTimeUTCOffset:  , StatusCV:  ,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</si>
  <si>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 ValidDateTimeUTCOffset:  , StatusCV:  ,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</si>
  <si>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 ValidDateTimeUTCOffset:  , StatusCV:  ,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</si>
  <si>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 ValidDateTimeUTCOffset:  , StatusCV:  ,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</si>
  <si>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 ValidDateTimeUTCOffset:  , StatusCV:  ,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</si>
  <si>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 ValidDateTimeUTCOffset:  , StatusCV:  ,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</si>
  <si>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 ValidDateTimeUTCOffset:  , StatusCV:  ,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</si>
  <si>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 ValidDateTimeUTCOffset:  , StatusCV:  ,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</si>
  <si>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 ValidDateTimeUTCOffset:  , StatusCV:  ,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</si>
  <si>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 ValidDateTimeUTCOffset:  , StatusCV:  ,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</si>
  <si>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 ValidDateTimeUTCOffset:  , StatusCV:  ,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</si>
  <si>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 ValidDateTimeUTCOffset:  , StatusCV:  ,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</si>
  <si>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 ValidDateTimeUTCOffset:  , StatusCV:  ,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</si>
  <si>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 ValidDateTimeUTCOffset:  , StatusCV:  ,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</si>
  <si>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 ValidDateTimeUTCOffset:  , StatusCV:  ,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</si>
  <si>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 ValidDateTimeUTCOffset:  , StatusCV:  ,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</si>
  <si>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 ValidDateTimeUTCOffset:  , StatusCV:  ,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</si>
  <si>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 ValidDateTimeUTCOffset:  , StatusCV:  ,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</si>
  <si>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 ValidDateTimeUTCOffset:  , StatusCV:  ,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</si>
  <si>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 ValidDateTimeUTCOffset:  , StatusCV:  ,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</si>
  <si>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 ValidDateTimeUTCOffset:  , StatusCV:  ,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</si>
  <si>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 ValidDateTimeUTCOffset:  , StatusCV:  ,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</si>
  <si>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 ValidDateTimeUTCOffset:  , StatusCV:  ,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</si>
  <si>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 ValidDateTimeUTCOffset:  , StatusCV:  ,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</si>
  <si>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 ValidDateTimeUTCOffset:  , StatusCV:  ,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</si>
  <si>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 ValidDateTimeUTCOffset:  , StatusCV:  ,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</si>
  <si>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 ValidDateTimeUTCOffset:  , StatusCV:  ,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</si>
  <si>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 ValidDateTimeUTCOffset:  , StatusCV:  ,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</si>
  <si>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 ValidDateTimeUTCOffset:  , StatusCV:  ,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</si>
  <si>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 ValidDateTimeUTCOffset:  , StatusCV:  ,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</si>
  <si>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 ValidDateTimeUTCOffset:  , StatusCV:  ,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</si>
  <si>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 ValidDateTimeUTCOffset:  , StatusCV:  ,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</si>
  <si>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 ValidDateTimeUTCOffset:  , StatusCV:  ,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</si>
  <si>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 ValidDateTimeUTCOffset:  , StatusCV:  ,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</si>
  <si>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 ValidDateTimeUTCOffset:  , StatusCV:  ,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</si>
  <si>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 ValidDateTimeUTCOffset:  , StatusCV:  ,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</si>
  <si>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 ValidDateTimeUTCOffset:  , StatusCV:  ,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</si>
  <si>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 ValidDateTimeUTCOffset:  , StatusCV:  ,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</si>
  <si>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 ValidDateTimeUTCOffset:  , StatusCV:  ,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</si>
  <si>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 ValidDateTimeUTCOffset:  , StatusCV:  ,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</si>
  <si>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 ValidDateTimeUTCOffset:  , StatusCV:  ,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</si>
  <si>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 ValidDateTimeUTCOffset:  , StatusCV:  ,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</si>
  <si>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 ValidDateTimeUTCOffset:  , StatusCV:  ,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</si>
  <si>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 ValidDateTimeUTCOffset:  , StatusCV:  ,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</si>
  <si>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 ValidDateTimeUTCOffset:  , StatusCV:  ,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</si>
  <si>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 ValidDateTimeUTCOffset:  , StatusCV:  ,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</si>
  <si>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 ValidDateTimeUTCOffset:  , StatusCV:  ,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</si>
  <si>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 ValidDateTimeUTCOffset:  , StatusCV:  ,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</si>
  <si>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 ValidDateTimeUTCOffset:  , StatusCV:  ,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</si>
  <si>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 ValidDateTimeUTCOffset:  , StatusCV:  ,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</si>
  <si>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 ValidDateTimeUTCOffset:  , StatusCV:  ,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</si>
  <si>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 ValidDateTimeUTCOffset:  , StatusCV:  ,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</si>
  <si>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 ValidDateTimeUTCOffset:  , StatusCV:  ,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</si>
  <si>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 ValidDateTimeUTCOffset:  , StatusCV:  ,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</si>
  <si>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 ValidDateTimeUTCOffset:  , StatusCV:  ,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</si>
  <si>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 ValidDateTimeUTCOffset:  , StatusCV:  ,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</si>
  <si>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 ValidDateTimeUTCOffset:  , StatusCV:  ,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</si>
  <si>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 ValidDateTimeUTCOffset:  , StatusCV:  ,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</si>
  <si>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 ValidDateTimeUTCOffset:  , StatusCV:  ,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</si>
  <si>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 ValidDateTimeUTCOffset:  , StatusCV:  ,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</si>
  <si>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 ValidDateTimeUTCOffset:  , StatusCV:  ,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</si>
  <si>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 ValidDateTimeUTCOffset:  , StatusCV:  ,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</si>
  <si>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 ValidDateTimeUTCOffset:  , StatusCV:  ,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</si>
  <si>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 ValidDateTimeUTCOffset:  , StatusCV:  ,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</si>
  <si>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 ValidDateTimeUTCOffset:  , StatusCV:  ,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</si>
  <si>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 ValidDateTimeUTCOffset:  , StatusCV:  ,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</si>
  <si>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 ValidDateTimeUTCOffset:  , StatusCV:  ,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</si>
  <si>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</si>
  <si>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</si>
  <si>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 ValidDateTimeUTCOffset:  , StatusCV:  ,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</si>
  <si>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 ValidDateTimeUTCOffset:  , StatusCV:  ,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</si>
  <si>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 ValidDateTimeUTCOffset:  , StatusCV:  ,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</si>
  <si>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 ValidDateTimeUTCOffset:  , StatusCV:  ,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</si>
  <si>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 ValidDateTimeUTCOffset:  , StatusCV:  ,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</si>
  <si>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 ValidDateTimeUTCOffset:  , StatusCV:  ,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</si>
  <si>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 ValidDateTimeUTCOffset:  , StatusCV:  ,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</si>
  <si>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 ValidDateTimeUTCOffset:  , StatusCV:  ,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</si>
  <si>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 ValidDateTimeUTCOffset:  , StatusCV:  ,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</si>
  <si>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 ValidDateTimeUTCOffset:  , StatusCV:  ,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</si>
  <si>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 ValidDateTimeUTCOffset:  , StatusCV:  ,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</si>
  <si>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 ValidDateTimeUTCOffset:  , StatusCV:  ,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</si>
  <si>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 ValidDateTimeUTCOffset:  , StatusCV:  ,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</si>
  <si>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 ValidDateTimeUTCOffset:  , StatusCV:  ,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</si>
  <si>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 ValidDateTimeUTCOffset:  , StatusCV:  ,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</si>
  <si>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 ValidDateTimeUTCOffset:  , StatusCV:  ,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</si>
  <si>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 ValidDateTimeUTCOffset:  , StatusCV:  ,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</si>
  <si>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 ValidDateTimeUTCOffset:  , StatusCV:  ,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</si>
  <si>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 ValidDateTimeUTCOffset:  , StatusCV:  ,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</si>
  <si>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 ValidDateTimeUTCOffset:  , StatusCV:  ,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</si>
  <si>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 ValidDateTimeUTCOffset:  , StatusCV:  ,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</si>
  <si>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 ValidDateTimeUTCOffset:  , StatusCV:  ,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</si>
  <si>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 ValidDateTimeUTCOffset:  , StatusCV:  ,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</si>
  <si>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 ValidDateTimeUTCOffset:  , StatusCV:  ,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</si>
  <si>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 ValidDateTimeUTCOffset:  , StatusCV:  ,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</si>
  <si>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 ValidDateTimeUTCOffset:  , StatusCV:  ,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</si>
  <si>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 ValidDateTimeUTCOffset:  , StatusCV:  ,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</si>
  <si>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 ValidDateTimeUTCOffset:  , StatusCV:  ,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</si>
  <si>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 ValidDateTimeUTCOffset:  , StatusCV:  ,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</si>
  <si>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 ValidDateTimeUTCOffset:  , StatusCV:  ,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</si>
  <si>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 ValidDateTimeUTCOffset:  , StatusCV:  ,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</si>
  <si>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 ValidDateTimeUTCOffset:  , StatusCV:  ,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</si>
  <si>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 ValidDateTimeUTCOffset:  , StatusCV:  ,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</si>
  <si>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 ValidDateTimeUTCOffset:  , StatusCV:  ,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</si>
  <si>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 ValidDateTimeUTCOffset:  , StatusCV:  ,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</si>
  <si>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 ValidDateTimeUTCOffset:  , StatusCV:  ,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</si>
  <si>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 ValidDateTimeUTCOffset:  , StatusCV:  ,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</si>
  <si>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 ValidDateTimeUTCOffset:  , StatusCV:  ,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</si>
  <si>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 ValidDateTimeUTCOffset:  , StatusCV:  ,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</si>
  <si>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 ValidDateTimeUTCOffset:  , StatusCV:  ,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</si>
  <si>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 ValidDateTimeUTCOffset:  , StatusCV:  ,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</si>
  <si>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 ValidDateTimeUTCOffset:  , StatusCV:  ,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</si>
  <si>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 ValidDateTimeUTCOffset:  , StatusCV:  ,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</si>
  <si>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 ValidDateTimeUTCOffset:  , StatusCV:  ,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</si>
  <si>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 ValidDateTimeUTCOffset:  , StatusCV:  ,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</si>
  <si>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 ValidDateTimeUTCOffset:  , StatusCV:  ,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</si>
  <si>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 ValidDateTimeUTCOffset:  , StatusCV:  ,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</si>
  <si>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 ValidDateTimeUTCOffset:  , StatusCV:  ,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</si>
  <si>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 ValidDateTimeUTCOffset:  , StatusCV:  ,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</si>
  <si>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 ValidDateTimeUTCOffset:  , StatusCV:  ,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</si>
  <si>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 ValidDateTimeUTCOffset:  , StatusCV:  ,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</si>
  <si>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 ValidDateTimeUTCOffset:  , StatusCV:  ,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</si>
  <si>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 ValidDateTimeUTCOffset:  , StatusCV:  ,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</si>
  <si>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 ValidDateTimeUTCOffset:  , StatusCV:  ,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</si>
  <si>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 ValidDateTimeUTCOffset:  , StatusCV:  ,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</si>
  <si>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 ValidDateTimeUTCOffset:  , StatusCV:  ,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</si>
  <si>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 ValidDateTimeUTCOffset:  , StatusCV:  ,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</si>
  <si>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 ValidDateTimeUTCOffset:  , StatusCV:  ,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</si>
  <si>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 ValidDateTimeUTCOffset:  , StatusCV:  ,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</si>
  <si>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 ValidDateTimeUTCOffset:  , StatusCV:  ,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</si>
  <si>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 ValidDateTimeUTCOffset:  , StatusCV:  ,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</si>
  <si>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 ValidDateTimeUTCOffset:  , StatusCV:  ,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</si>
  <si>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 ValidDateTimeUTCOffset:  , StatusCV:  ,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</si>
  <si>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 ValidDateTimeUTCOffset:  , StatusCV:  ,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</si>
  <si>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 ValidDateTimeUTCOffset:  , StatusCV:  ,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</si>
  <si>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 ValidDateTimeUTCOffset:  , StatusCV:  ,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</si>
  <si>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 ValidDateTimeUTCOffset:  , StatusCV:  ,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</si>
  <si>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 ValidDateTimeUTCOffset:  , StatusCV:  ,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</si>
  <si>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 ValidDateTimeUTCOffset:  , StatusCV:  ,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</si>
  <si>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 ValidDateTimeUTCOffset:  , StatusCV:  ,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</si>
  <si>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 ValidDateTimeUTCOffset:  , StatusCV:  ,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</si>
  <si>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 ValidDateTimeUTCOffset:  , StatusCV:  ,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</si>
  <si>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 ValidDateTimeUTCOffset:  , StatusCV:  ,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</si>
  <si>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 ValidDateTimeUTCOffset:  , StatusCV:  ,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</si>
  <si>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 ValidDateTimeUTCOffset:  , StatusCV:  ,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</si>
  <si>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 ValidDateTimeUTCOffset:  , StatusCV:  ,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</si>
  <si>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 ValidDateTimeUTCOffset:  , StatusCV:  ,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</si>
  <si>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 ValidDateTimeUTCOffset:  , StatusCV:  ,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</si>
  <si>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 ValidDateTimeUTCOffset:  , StatusCV:  ,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</si>
  <si>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 ValidDateTimeUTCOffset:  , StatusCV:  ,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</si>
  <si>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 ValidDateTimeUTCOffset:  , StatusCV:  ,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</si>
  <si>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 ValidDateTimeUTCOffset:  , StatusCV:  ,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</si>
  <si>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 ValidDateTimeUTCOffset:  , StatusCV:  ,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</si>
  <si>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 ValidDateTimeUTCOffset:  , StatusCV:  ,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</si>
  <si>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 ValidDateTimeUTCOffset:  , StatusCV:  ,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</si>
  <si>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 ValidDateTimeUTCOffset:  , StatusCV:  ,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</si>
  <si>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 ValidDateTimeUTCOffset:  , StatusCV:  ,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</si>
  <si>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 ValidDateTimeUTCOffset:  , StatusCV:  ,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</si>
  <si>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 ValidDateTimeUTCOffset:  , StatusCV:  ,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</si>
  <si>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 ValidDateTimeUTCOffset:  , StatusCV:  ,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</si>
  <si>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 ValidDateTimeUTCOffset:  , StatusCV:  ,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</si>
  <si>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 ValidDateTimeUTCOffset:  , StatusCV:  ,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</si>
  <si>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 ValidDateTimeUTCOffset:  , StatusCV:  ,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</si>
  <si>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 ValidDateTimeUTCOffset:  , StatusCV:  ,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</si>
  <si>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 ValidDateTimeUTCOffset:  , StatusCV:  ,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</si>
  <si>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 ValidDateTimeUTCOffset:  , StatusCV:  ,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</si>
  <si>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 ValidDateTimeUTCOffset:  , StatusCV:  ,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</si>
  <si>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 ValidDateTimeUTCOffset:  , StatusCV:  ,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</si>
  <si>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 ValidDateTimeUTCOffset:  , StatusCV:  ,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</si>
  <si>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 ValidDateTimeUTCOffset:  , StatusCV:  ,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</si>
  <si>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 ValidDateTimeUTCOffset:  , StatusCV:  ,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</si>
  <si>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 ValidDateTimeUTCOffset:  , StatusCV:  ,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</si>
  <si>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 ValidDateTimeUTCOffset:  , StatusCV:  ,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</si>
  <si>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 ValidDateTimeUTCOffset:  , StatusCV:  ,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</si>
  <si>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 ValidDateTimeUTCOffset:  , StatusCV:  ,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</si>
  <si>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 ValidDateTimeUTCOffset:  , StatusCV:  ,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</si>
  <si>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 ValidDateTimeUTCOffset:  , StatusCV:  ,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</si>
  <si>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 ValidDateTimeUTCOffset:  , StatusCV:  ,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</si>
  <si>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 ValidDateTimeUTCOffset:  , StatusCV:  ,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</si>
  <si>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 ValidDateTimeUTCOffset:  , StatusCV:  ,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</si>
  <si>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 ValidDateTimeUTCOffset:  , StatusCV:  ,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</si>
  <si>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 ValidDateTimeUTCOffset:  , StatusCV:  ,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</si>
  <si>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 ValidDateTimeUTCOffset:  , StatusCV:  ,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</si>
  <si>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 ValidDateTimeUTCOffset:  , StatusCV:  ,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</si>
  <si>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 ValidDateTimeUTCOffset:  , StatusCV:  ,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</si>
  <si>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 ValidDateTimeUTCOffset:  , StatusCV:  ,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</si>
  <si>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 ValidDateTimeUTCOffset:  , StatusCV:  ,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</si>
  <si>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 ValidDateTimeUTCOffset:  , StatusCV:  ,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</si>
  <si>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 ValidDateTimeUTCOffset:  , StatusCV:  ,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</si>
  <si>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 ValidDateTimeUTCOffset:  , StatusCV:  ,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</si>
  <si>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 ValidDateTimeUTCOffset:  , StatusCV:  ,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</si>
  <si>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 ValidDateTimeUTCOffset:  , StatusCV:  ,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</si>
  <si>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 ValidDateTimeUTCOffset:  , StatusCV:  ,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</si>
  <si>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 ValidDateTimeUTCOffset:  , StatusCV:  ,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</si>
  <si>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 ValidDateTimeUTCOffset:  , StatusCV:  ,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</si>
  <si>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 ValidDateTimeUTCOffset:  , StatusCV:  ,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</si>
  <si>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 ValidDateTimeUTCOffset:  , StatusCV:  ,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</si>
  <si>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 ValidDateTimeUTCOffset:  , StatusCV:  ,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</si>
  <si>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 ValidDateTimeUTCOffset:  , StatusCV:  ,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</si>
  <si>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 ValidDateTimeUTCOffset:  , StatusCV:  ,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</si>
  <si>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 ValidDateTimeUTCOffset:  , StatusCV:  ,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</si>
  <si>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</si>
  <si>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</si>
  <si>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 ValidDateTimeUTCOffset:  , StatusCV:  ,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</si>
  <si>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 ValidDateTimeUTCOffset:  , StatusCV:  ,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</si>
  <si>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 ValidDateTimeUTCOffset:  , StatusCV:  ,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</si>
  <si>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 ValidDateTimeUTCOffset:  , StatusCV:  ,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</si>
  <si>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 ValidDateTimeUTCOffset:  , StatusCV:  ,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</si>
  <si>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 ValidDateTimeUTCOffset:  , StatusCV:  ,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</si>
  <si>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 ValidDateTimeUTCOffset:  , StatusCV:  ,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</si>
  <si>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 ValidDateTimeUTCOffset:  , StatusCV:  ,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</si>
  <si>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 ValidDateTimeUTCOffset:  , StatusCV:  ,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</si>
  <si>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 ValidDateTimeUTCOffset:  , StatusCV:  ,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</si>
  <si>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 ValidDateTimeUTCOffset:  , StatusCV:  ,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</si>
  <si>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 ValidDateTimeUTCOffset:  , StatusCV:  ,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</si>
  <si>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 ValidDateTimeUTCOffset:  , StatusCV:  ,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</si>
  <si>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 ValidDateTimeUTCOffset:  , StatusCV:  ,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</si>
  <si>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 ValidDateTimeUTCOffset:  , StatusCV:  ,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</si>
  <si>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 ValidDateTimeUTCOffset:  , StatusCV:  ,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</si>
  <si>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 ValidDateTimeUTCOffset:  , StatusCV:  ,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</si>
  <si>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 ValidDateTimeUTCOffset:  , StatusCV:  ,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</si>
  <si>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 ValidDateTimeUTCOffset:  , StatusCV:  ,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</si>
  <si>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 ValidDateTimeUTCOffset:  , StatusCV:  ,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</si>
  <si>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 ValidDateTimeUTCOffset:  , StatusCV:  ,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</si>
  <si>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 ValidDateTimeUTCOffset:  , StatusCV:  ,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</si>
  <si>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 ValidDateTimeUTCOffset:  , StatusCV:  ,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</si>
  <si>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 ValidDateTimeUTCOffset:  , StatusCV:  ,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</si>
  <si>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 ValidDateTimeUTCOffset:  , StatusCV:  ,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</si>
  <si>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 ValidDateTimeUTCOffset:  , StatusCV:  ,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</si>
  <si>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 ValidDateTimeUTCOffset:  , StatusCV:  ,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</si>
  <si>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 ValidDateTimeUTCOffset:  , StatusCV:  ,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</si>
  <si>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 ValidDateTimeUTCOffset:  , StatusCV:  ,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</si>
  <si>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 ValidDateTimeUTCOffset:  , StatusCV:  ,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</si>
  <si>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 ValidDateTimeUTCOffset:  , StatusCV:  ,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</si>
  <si>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 ValidDateTimeUTCOffset:  , StatusCV:  ,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</si>
  <si>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 ValidDateTimeUTCOffset:  , StatusCV:  ,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</si>
  <si>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 ValidDateTimeUTCOffset:  , StatusCV:  ,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</si>
  <si>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 ValidDateTimeUTCOffset:  , StatusCV:  ,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</si>
  <si>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 ValidDateTimeUTCOffset:  , StatusCV:  ,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</si>
  <si>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 ValidDateTimeUTCOffset:  , StatusCV:  ,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</si>
  <si>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 ValidDateTimeUTCOffset:  , StatusCV:  ,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</si>
  <si>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 ValidDateTimeUTCOffset:  , StatusCV:  ,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</si>
  <si>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 ValidDateTimeUTCOffset:  , StatusCV:  ,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</si>
  <si>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 ValidDateTimeUTCOffset:  , StatusCV:  ,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</si>
  <si>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 ValidDateTimeUTCOffset:  , StatusCV:  ,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</si>
  <si>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 ValidDateTimeUTCOffset:  , StatusCV:  ,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</si>
  <si>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 ValidDateTimeUTCOffset:  , StatusCV:  ,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</si>
  <si>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 ValidDateTimeUTCOffset:  , StatusCV:  ,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</si>
  <si>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 ValidDateTimeUTCOffset:  , StatusCV:  ,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</si>
  <si>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 ValidDateTimeUTCOffset:  , StatusCV:  ,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</si>
  <si>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 ValidDateTimeUTCOffset:  , StatusCV:  ,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</si>
  <si>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 ValidDateTimeUTCOffset:  , StatusCV:  ,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</si>
  <si>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 ValidDateTimeUTCOffset:  , StatusCV:  ,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</si>
  <si>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 ValidDateTimeUTCOffset:  , StatusCV:  ,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</si>
  <si>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 ValidDateTimeUTCOffset:  , StatusCV:  ,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</si>
  <si>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 ValidDateTimeUTCOffset:  , StatusCV:  ,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</si>
  <si>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 ValidDateTimeUTCOffset:  , StatusCV:  ,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</si>
  <si>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 ValidDateTimeUTCOffset:  , StatusCV:  ,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</si>
  <si>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 ValidDateTimeUTCOffset:  , StatusCV:  ,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</si>
  <si>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 ValidDateTimeUTCOffset:  , StatusCV:  ,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</si>
  <si>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 ValidDateTimeUTCOffset:  , StatusCV:  ,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</si>
  <si>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 ValidDateTimeUTCOffset:  , StatusCV:  ,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</si>
  <si>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 ValidDateTimeUTCOffset:  , StatusCV:  ,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</si>
  <si>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 ValidDateTimeUTCOffset:  , StatusCV:  ,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</si>
  <si>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 ValidDateTimeUTCOffset:  , StatusCV:  ,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</si>
  <si>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 ValidDateTimeUTCOffset:  , StatusCV:  ,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</si>
  <si>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 ValidDateTimeUTCOffset:  , StatusCV:  ,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</si>
  <si>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 ValidDateTimeUTCOffset:  , StatusCV:  ,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</si>
  <si>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 ValidDateTimeUTCOffset:  , StatusCV:  ,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</si>
  <si>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 ValidDateTimeUTCOffset:  , StatusCV:  ,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</si>
  <si>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 ValidDateTimeUTCOffset:  , StatusCV:  ,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</si>
  <si>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 ValidDateTimeUTCOffset:  , StatusCV:  ,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</si>
  <si>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 ValidDateTimeUTCOffset:  , StatusCV:  ,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</si>
  <si>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 ValidDateTimeUTCOffset:  , StatusCV:  ,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</si>
  <si>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 ValidDateTimeUTCOffset:  , StatusCV:  ,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</si>
  <si>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 ValidDateTimeUTCOffset:  , StatusCV:  ,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</si>
  <si>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 ValidDateTimeUTCOffset:  , StatusCV:  ,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</si>
  <si>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 ValidDateTimeUTCOffset:  , StatusCV:  ,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</si>
  <si>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 ValidDateTimeUTCOffset:  , StatusCV:  ,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</si>
  <si>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 ValidDateTimeUTCOffset:  , StatusCV:  ,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</si>
  <si>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 ValidDateTimeUTCOffset:  , StatusCV:  ,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</si>
  <si>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 ValidDateTimeUTCOffset:  , StatusCV:  ,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</si>
  <si>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 ValidDateTimeUTCOffset:  , StatusCV:  ,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</si>
  <si>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 ValidDateTimeUTCOffset:  , StatusCV:  ,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</si>
  <si>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 ValidDateTimeUTCOffset:  , StatusCV:  ,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</si>
  <si>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 ValidDateTimeUTCOffset:  , StatusCV:  ,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</si>
  <si>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 ValidDateTimeUTCOffset:  , StatusCV:  ,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</si>
  <si>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 ValidDateTimeUTCOffset:  , StatusCV:  ,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</si>
  <si>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 ValidDateTimeUTCOffset:  , StatusCV:  ,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</si>
  <si>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 ValidDateTimeUTCOffset:  , StatusCV:  ,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</si>
  <si>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 ValidDateTimeUTCOffset:  , StatusCV:  ,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</si>
  <si>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 ValidDateTimeUTCOffset:  , StatusCV:  ,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</si>
  <si>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 ValidDateTimeUTCOffset:  , StatusCV:  ,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</si>
  <si>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 ValidDateTimeUTCOffset:  , StatusCV:  ,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</si>
  <si>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 ValidDateTimeUTCOffset:  , StatusCV:  ,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</si>
  <si>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 ValidDateTimeUTCOffset:  , StatusCV:  ,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</si>
  <si>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 ValidDateTimeUTCOffset:  , StatusCV:  ,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</si>
  <si>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 ValidDateTimeUTCOffset:  , StatusCV:  ,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</si>
  <si>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 ValidDateTimeUTCOffset:  , StatusCV:  ,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</si>
  <si>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 ValidDateTimeUTCOffset:  , StatusCV:  ,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</si>
  <si>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 ValidDateTimeUTCOffset:  , StatusCV:  ,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</si>
  <si>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 ValidDateTimeUTCOffset:  , StatusCV:  ,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</si>
  <si>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 ValidDateTimeUTCOffset:  , StatusCV:  ,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</si>
  <si>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 ValidDateTimeUTCOffset:  , StatusCV:  ,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</si>
  <si>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 ValidDateTimeUTCOffset:  , StatusCV:  ,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</si>
  <si>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 ValidDateTimeUTCOffset:  , StatusCV:  ,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</si>
  <si>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 ValidDateTimeUTCOffset:  , StatusCV:  ,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</si>
  <si>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 ValidDateTimeUTCOffset:  , StatusCV:  ,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</si>
  <si>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 ValidDateTimeUTCOffset:  , StatusCV:  ,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</si>
  <si>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 ValidDateTimeUTCOffset:  , StatusCV:  ,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</si>
  <si>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 ValidDateTimeUTCOffset:  , StatusCV:  ,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</si>
  <si>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 ValidDateTimeUTCOffset:  , StatusCV:  ,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</si>
  <si>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 ValidDateTimeUTCOffset:  , StatusCV:  ,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</si>
  <si>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 ValidDateTimeUTCOffset:  , StatusCV:  ,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</si>
  <si>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 ValidDateTimeUTCOffset:  , StatusCV:  ,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</si>
  <si>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 ValidDateTimeUTCOffset:  , StatusCV:  ,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</si>
  <si>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 ValidDateTimeUTCOffset:  , StatusCV:  ,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</si>
  <si>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 ValidDateTimeUTCOffset:  , StatusCV:  ,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</si>
  <si>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 ValidDateTimeUTCOffset:  , StatusCV:  ,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</si>
  <si>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 ValidDateTimeUTCOffset:  , StatusCV:  ,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</si>
  <si>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 ValidDateTimeUTCOffset:  , StatusCV:  ,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</si>
  <si>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 ValidDateTimeUTCOffset:  , StatusCV:  ,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</si>
  <si>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 ValidDateTimeUTCOffset:  , StatusCV:  ,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</si>
  <si>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 ValidDateTimeUTCOffset:  , StatusCV:  ,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</si>
  <si>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 ValidDateTimeUTCOffset:  , StatusCV:  ,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</si>
  <si>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 ValidDateTimeUTCOffset:  , StatusCV:  ,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</si>
  <si>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 ValidDateTimeUTCOffset:  , StatusCV:  ,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</si>
  <si>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 ValidDateTimeUTCOffset:  , StatusCV:  ,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</si>
  <si>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 ValidDateTimeUTCOffset:  , StatusCV:  ,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</si>
  <si>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 ValidDateTimeUTCOffset:  , StatusCV:  ,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</si>
  <si>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 ValidDateTimeUTCOffset:  , StatusCV:  ,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</si>
  <si>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 ValidDateTimeUTCOffset:  , StatusCV:  ,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</si>
  <si>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 ValidDateTimeUTCOffset:  , StatusCV:  ,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</si>
  <si>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 ValidDateTimeUTCOffset:  , StatusCV:  ,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</si>
  <si>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 ValidDateTimeUTCOffset:  , StatusCV:  ,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</si>
  <si>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 ValidDateTimeUTCOffset:  , StatusCV:  ,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</si>
  <si>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 ValidDateTimeUTCOffset:  , StatusCV:  ,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</si>
  <si>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 ValidDateTimeUTCOffset:  , StatusCV:  ,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</si>
  <si>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 ValidDateTimeUTCOffset:  , StatusCV:  ,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</si>
  <si>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 ValidDateTimeUTCOffset:  , StatusCV:  ,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</si>
  <si>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 ValidDateTimeUTCOffset:  , StatusCV:  ,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</si>
  <si>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 ValidDateTimeUTCOffset:  , StatusCV:  ,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</si>
  <si>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 ValidDateTimeUTCOffset:  , StatusCV:  ,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</si>
  <si>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 ValidDateTimeUTCOffset:  , StatusCV:  ,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</si>
  <si>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 ValidDateTimeUTCOffset:  , StatusCV:  ,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</si>
  <si>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 ValidDateTimeUTCOffset:  , StatusCV:  ,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</si>
  <si>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 ValidDateTimeUTCOffset:  , StatusCV:  ,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</si>
  <si>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 ValidDateTimeUTCOffset:  , StatusCV:  ,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</si>
  <si>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 ValidDateTimeUTCOffset:  , StatusCV:  ,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</si>
  <si>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 ValidDateTimeUTCOffset:  , StatusCV:  ,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</si>
  <si>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 ValidDateTimeUTCOffset:  , StatusCV:  ,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</si>
  <si>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 ValidDateTimeUTCOffset:  , StatusCV:  ,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</si>
  <si>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 ValidDateTimeUTCOffset:  , StatusCV:  ,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</si>
  <si>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 ValidDateTimeUTCOffset:  , StatusCV:  ,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</si>
  <si>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 ValidDateTimeUTCOffset:  , StatusCV:  ,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</si>
  <si>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 ValidDateTimeUTCOffset:  , StatusCV:  ,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</si>
  <si>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 ValidDateTimeUTCOffset:  , StatusCV:  ,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</si>
  <si>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 ValidDateTimeUTCOffset:  , StatusCV:  ,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</si>
  <si>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 ValidDateTimeUTCOffset:  , StatusCV:  ,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</si>
  <si>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 ValidDateTimeUTCOffset:  , StatusCV:  ,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</si>
  <si>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 ValidDateTimeUTCOffset:  , StatusCV:  ,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</si>
  <si>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 ValidDateTimeUTCOffset:  , StatusCV:  ,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</si>
  <si>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 ValidDateTimeUTCOffset:  , StatusCV:  ,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</si>
  <si>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 ValidDateTimeUTCOffset:  , StatusCV:  ,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</si>
  <si>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 ValidDateTimeUTCOffset:  , StatusCV:  ,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</si>
  <si>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 ValidDateTimeUTCOffset:  , StatusCV:  ,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</si>
  <si>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 ValidDateTimeUTCOffset:  , StatusCV:  ,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</si>
  <si>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 ValidDateTimeUTCOffset:  , StatusCV:  ,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</si>
  <si>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 ValidDateTimeUTCOffset:  , StatusCV:  ,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</si>
  <si>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 ValidDateTimeUTCOffset:  , StatusCV:  ,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</si>
  <si>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 ValidDateTimeUTCOffset:  , StatusCV:  ,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</si>
  <si>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 ValidDateTimeUTCOffset:  , StatusCV:  ,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</si>
  <si>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 ValidDateTimeUTCOffset:  , StatusCV:  ,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</si>
  <si>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 ValidDateTimeUTCOffset:  , StatusCV:  ,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</si>
  <si>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 ValidDateTimeUTCOffset:  , StatusCV:  ,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</si>
  <si>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 ValidDateTimeUTCOffset:  , StatusCV:  ,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</si>
  <si>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 ValidDateTimeUTCOffset:  , StatusCV:  ,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</si>
  <si>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 ValidDateTimeUTCOffset:  , StatusCV:  ,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</si>
  <si>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 ValidDateTimeUTCOffset:  , StatusCV:  ,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</si>
  <si>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 ValidDateTimeUTCOffset:  , StatusCV:  ,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</si>
  <si>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 ValidDateTimeUTCOffset:  , StatusCV:  ,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</si>
  <si>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 ValidDateTimeUTCOffset:  , StatusCV:  ,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</si>
  <si>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 ValidDateTimeUTCOffset:  , StatusCV:  ,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</si>
  <si>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 ValidDateTimeUTCOffset:  , StatusCV:  ,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</si>
  <si>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 ValidDateTimeUTCOffset:  , StatusCV:  ,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</si>
  <si>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 ValidDateTimeUTCOffset:  , StatusCV:  ,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</si>
  <si>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 ValidDateTimeUTCOffset:  , StatusCV:  ,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</si>
  <si>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 ValidDateTimeUTCOffset:  , StatusCV:  ,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</si>
  <si>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 ValidDateTimeUTCOffset:  , StatusCV:  ,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</si>
  <si>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 ValidDateTimeUTCOffset:  , StatusCV:  ,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</si>
  <si>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 ValidDateTimeUTCOffset:  , StatusCV:  ,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</si>
  <si>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 ValidDateTimeUTCOffset:  , StatusCV:  ,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</si>
  <si>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 ValidDateTimeUTCOffset:  , StatusCV:  ,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</si>
  <si>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 ValidDateTimeUTCOffset:  , StatusCV:  ,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</si>
  <si>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 ValidDateTimeUTCOffset:  , StatusCV:  ,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</si>
  <si>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 ValidDateTimeUTCOffset:  , StatusCV:  ,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</si>
  <si>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 ValidDateTimeUTCOffset:  , StatusCV:  ,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</si>
  <si>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 ValidDateTimeUTCOffset:  , StatusCV:  ,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</si>
  <si>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 ValidDateTimeUTCOffset:  , StatusCV:  ,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</si>
  <si>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 ValidDateTimeUTCOffset:  , StatusCV:  ,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</si>
  <si>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 ValidDateTimeUTCOffset:  , StatusCV:  ,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</si>
  <si>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 ValidDateTimeUTCOffset:  , StatusCV:  ,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</si>
  <si>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 ValidDateTimeUTCOffset:  , StatusCV:  ,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</si>
  <si>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 ValidDateTimeUTCOffset:  , StatusCV:  ,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</si>
  <si>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 ValidDateTimeUTCOffset:  , StatusCV:  ,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</si>
  <si>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 ValidDateTimeUTCOffset:  , StatusCV:  ,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</si>
  <si>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 ValidDateTimeUTCOffset:  , StatusCV:  ,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</si>
  <si>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 ValidDateTimeUTCOffset:  , StatusCV:  ,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</si>
  <si>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 ValidDateTimeUTCOffset:  , StatusCV:  ,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</si>
  <si>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 ValidDateTimeUTCOffset:  , StatusCV:  ,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</si>
  <si>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 ValidDateTimeUTCOffset:  , StatusCV:  ,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</si>
  <si>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 ValidDateTimeUTCOffset:  , StatusCV:  ,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</si>
  <si>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 ValidDateTimeUTCOffset:  , StatusCV:  ,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</si>
  <si>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 ValidDateTimeUTCOffset:  , StatusCV:  ,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</si>
  <si>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 ValidDateTimeUTCOffset:  , StatusCV:  ,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</si>
  <si>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 ValidDateTimeUTCOffset:  , StatusCV:  ,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</si>
  <si>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 ValidDateTimeUTCOffset:  , StatusCV:  ,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</si>
  <si>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 ValidDateTimeUTCOffset:  , StatusCV:  ,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</si>
  <si>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 ValidDateTimeUTCOffset:  , StatusCV:  ,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</si>
  <si>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 ValidDateTimeUTCOffset:  , StatusCV:  ,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</si>
  <si>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 ValidDateTimeUTCOffset:  , StatusCV:  ,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</si>
  <si>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 ValidDateTimeUTCOffset:  , StatusCV:  ,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</si>
  <si>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 ValidDateTimeUTCOffset:  , StatusCV:  ,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</si>
  <si>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 ValidDateTimeUTCOffset:  , StatusCV:  ,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</si>
  <si>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 ValidDateTimeUTCOffset:  , StatusCV:  ,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</si>
  <si>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 ValidDateTimeUTCOffset:  , StatusCV:  ,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</si>
  <si>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 ValidDateTimeUTCOffset:  , StatusCV:  ,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</si>
  <si>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 ValidDateTimeUTCOffset:  , StatusCV:  ,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</si>
  <si>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 ValidDateTimeUTCOffset:  , StatusCV:  ,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</si>
  <si>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</si>
  <si>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</si>
  <si>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 ValidDateTimeUTCOffset:  , StatusCV:  ,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</si>
  <si>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 ValidDateTimeUTCOffset:  , StatusCV:  ,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</si>
  <si>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 ValidDateTimeUTCOffset:  , StatusCV:  ,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</si>
  <si>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 ValidDateTimeUTCOffset:  , StatusCV:  ,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</si>
  <si>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 ValidDateTimeUTCOffset:  , StatusCV:  ,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</si>
  <si>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 ValidDateTimeUTCOffset:  , StatusCV:  ,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</si>
  <si>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 ValidDateTimeUTCOffset:  , StatusCV:  ,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</si>
  <si>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 ValidDateTimeUTCOffset:  , StatusCV:  ,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</si>
  <si>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 ValidDateTimeUTCOffset:  , StatusCV:  ,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</si>
  <si>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 ValidDateTimeUTCOffset:  , StatusCV:  ,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</si>
  <si>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 ValidDateTimeUTCOffset:  , StatusCV:  ,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</si>
  <si>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 ValidDateTimeUTCOffset:  , StatusCV:  ,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</si>
  <si>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 ValidDateTimeUTCOffset:  , StatusCV:  ,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</si>
  <si>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 ValidDateTimeUTCOffset:  , StatusCV:  ,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</si>
  <si>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 ValidDateTimeUTCOffset:  , StatusCV:  ,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</si>
  <si>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 ValidDateTimeUTCOffset:  , StatusCV:  ,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</si>
  <si>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 ValidDateTimeUTCOffset:  , StatusCV:  ,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</si>
  <si>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 ValidDateTimeUTCOffset:  , StatusCV:  ,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</si>
  <si>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 ValidDateTimeUTCOffset:  , StatusCV:  ,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</si>
  <si>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 ValidDateTimeUTCOffset:  , StatusCV:  ,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</si>
  <si>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 ValidDateTimeUTCOffset:  , StatusCV:  ,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</si>
  <si>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 ValidDateTimeUTCOffset:  , StatusCV:  ,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</si>
  <si>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 ValidDateTimeUTCOffset:  , StatusCV:  ,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</si>
  <si>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 ValidDateTimeUTCOffset:  , StatusCV:  ,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</si>
  <si>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 ValidDateTimeUTCOffset:  , StatusCV:  ,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</si>
  <si>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 ValidDateTimeUTCOffset:  , StatusCV:  ,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</si>
  <si>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 ValidDateTimeUTCOffset:  , StatusCV:  ,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</si>
  <si>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 ValidDateTimeUTCOffset:  , StatusCV:  ,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</si>
  <si>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 ValidDateTimeUTCOffset:  , StatusCV:  ,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</si>
  <si>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 ValidDateTimeUTCOffset:  , StatusCV:  ,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</si>
  <si>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 ValidDateTimeUTCOffset:  , StatusCV:  ,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</si>
  <si>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 ValidDateTimeUTCOffset:  , StatusCV:  ,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</si>
  <si>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 ValidDateTimeUTCOffset:  , StatusCV:  ,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</si>
  <si>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 ValidDateTimeUTCOffset:  , StatusCV:  ,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</si>
  <si>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 ValidDateTimeUTCOffset:  , StatusCV:  ,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</si>
  <si>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 ValidDateTimeUTCOffset:  , StatusCV:  ,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</si>
  <si>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 ValidDateTimeUTCOffset:  , StatusCV:  ,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</si>
  <si>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 ValidDateTimeUTCOffset:  , StatusCV:  ,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</si>
  <si>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 ValidDateTimeUTCOffset:  , StatusCV:  ,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</si>
  <si>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 ValidDateTimeUTCOffset:  , StatusCV:  ,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</si>
  <si>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 ValidDateTimeUTCOffset:  , StatusCV:  ,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</si>
  <si>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 ValidDateTimeUTCOffset:  , StatusCV:  ,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</si>
  <si>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 ValidDateTimeUTCOffset:  , StatusCV:  ,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</si>
  <si>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 ValidDateTimeUTCOffset:  , StatusCV:  ,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</si>
  <si>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 ValidDateTimeUTCOffset:  , StatusCV:  ,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</si>
  <si>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 ValidDateTimeUTCOffset:  , StatusCV:  ,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</si>
  <si>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 ValidDateTimeUTCOffset:  , StatusCV:  ,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</si>
  <si>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 ValidDateTimeUTCOffset:  , StatusCV:  ,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</si>
  <si>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 ValidDateTimeUTCOffset:  , StatusCV:  ,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</si>
  <si>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 ValidDateTimeUTCOffset:  , StatusCV:  ,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</si>
  <si>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 ValidDateTimeUTCOffset:  , StatusCV:  ,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</si>
  <si>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 ValidDateTimeUTCOffset:  , StatusCV:  ,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</si>
  <si>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 ValidDateTimeUTCOffset:  , StatusCV:  ,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</si>
  <si>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 ValidDateTimeUTCOffset:  , StatusCV:  ,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</si>
  <si>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 ValidDateTimeUTCOffset:  , StatusCV:  ,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</si>
  <si>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 ValidDateTimeUTCOffset:  , StatusCV:  ,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</si>
  <si>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 ValidDateTimeUTCOffset:  , StatusCV:  ,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</si>
  <si>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 ValidDateTimeUTCOffset:  , StatusCV:  ,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</si>
  <si>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 ValidDateTimeUTCOffset:  , StatusCV:  ,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</si>
  <si>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 ValidDateTimeUTCOffset:  , StatusCV:  ,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</si>
  <si>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 ValidDateTimeUTCOffset:  , StatusCV:  ,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</si>
  <si>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 ValidDateTimeUTCOffset:  , StatusCV:  ,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</si>
  <si>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 ValidDateTimeUTCOffset:  , StatusCV:  ,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</si>
  <si>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 ValidDateTimeUTCOffset:  , StatusCV:  ,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</si>
  <si>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 ValidDateTimeUTCOffset:  , StatusCV:  ,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</si>
  <si>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 ValidDateTimeUTCOffset:  , StatusCV:  ,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</si>
  <si>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 ValidDateTimeUTCOffset:  , StatusCV:  ,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</si>
  <si>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 ValidDateTimeUTCOffset:  , StatusCV:  ,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</si>
  <si>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 ValidDateTimeUTCOffset:  , StatusCV:  ,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</si>
  <si>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 ValidDateTimeUTCOffset:  , StatusCV:  ,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</si>
  <si>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 ValidDateTimeUTCOffset:  , StatusCV:  ,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</si>
  <si>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 ValidDateTimeUTCOffset:  , StatusCV:  ,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</si>
  <si>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 ValidDateTimeUTCOffset:  , StatusCV:  ,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</si>
  <si>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 ValidDateTimeUTCOffset:  , StatusCV:  ,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</si>
  <si>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 ValidDateTimeUTCOffset:  , StatusCV:  ,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</si>
  <si>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 ValidDateTimeUTCOffset:  , StatusCV:  ,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</si>
  <si>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 ValidDateTimeUTCOffset:  , StatusCV:  ,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</si>
  <si>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 ValidDateTimeUTCOffset:  , StatusCV:  ,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</si>
  <si>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</si>
  <si>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</si>
  <si>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 ValidDateTimeUTCOffset:  , StatusCV:  ,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</si>
  <si>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 ValidDateTimeUTCOffset:  , StatusCV:  ,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</si>
  <si>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 ValidDateTimeUTCOffset:  , StatusCV:  ,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</si>
  <si>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 ValidDateTimeUTCOffset:  , StatusCV:  ,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</si>
  <si>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 ValidDateTimeUTCOffset:  , StatusCV:  ,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</si>
  <si>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 ValidDateTimeUTCOffset:  , StatusCV:  ,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</si>
  <si>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 ValidDateTimeUTCOffset:  , StatusCV:  ,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</si>
  <si>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 ValidDateTimeUTCOffset:  , StatusCV:  ,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</si>
  <si>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 ValidDateTimeUTCOffset:  , StatusCV:  ,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</si>
  <si>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 ValidDateTimeUTCOffset:  , StatusCV:  ,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</si>
  <si>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 ValidDateTimeUTCOffset:  , StatusCV:  ,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</si>
  <si>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 ValidDateTimeUTCOffset:  , StatusCV:  ,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</si>
  <si>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 ValidDateTimeUTCOffset:  , StatusCV:  ,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</si>
  <si>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 ValidDateTimeUTCOffset:  , StatusCV:  ,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</si>
  <si>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 ValidDateTimeUTCOffset:  , StatusCV:  ,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</si>
  <si>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 ValidDateTimeUTCOffset:  , StatusCV:  ,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</si>
  <si>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 ValidDateTimeUTCOffset:  , StatusCV:  ,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</si>
  <si>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 ValidDateTimeUTCOffset:  , StatusCV:  ,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</si>
  <si>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 ValidDateTimeUTCOffset:  , StatusCV:  ,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</si>
  <si>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 ValidDateTimeUTCOffset:  , StatusCV:  ,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</si>
  <si>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 ValidDateTimeUTCOffset:  , StatusCV:  ,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</si>
  <si>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 ValidDateTimeUTCOffset:  , StatusCV:  ,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</si>
  <si>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 ValidDateTimeUTCOffset:  , StatusCV:  ,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</si>
  <si>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 ValidDateTimeUTCOffset:  , StatusCV:  ,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</si>
  <si>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 ValidDateTimeUTCOffset:  , StatusCV:  ,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</si>
  <si>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 ValidDateTimeUTCOffset:  , StatusCV:  ,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</si>
  <si>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 ValidDateTimeUTCOffset:  , StatusCV:  ,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</si>
  <si>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 ValidDateTimeUTCOffset:  , StatusCV:  ,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</si>
  <si>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 ValidDateTimeUTCOffset:  , StatusCV:  ,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</si>
  <si>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 ValidDateTimeUTCOffset:  , StatusCV:  ,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</si>
  <si>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 ValidDateTimeUTCOffset:  , StatusCV:  ,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</si>
  <si>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 ValidDateTimeUTCOffset:  , StatusCV:  ,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</si>
  <si>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 ValidDateTimeUTCOffset:  , StatusCV:  ,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</si>
  <si>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 ValidDateTimeUTCOffset:  , StatusCV:  ,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</si>
  <si>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 ValidDateTimeUTCOffset:  , StatusCV:  ,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</si>
  <si>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 ValidDateTimeUTCOffset:  , StatusCV:  ,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</si>
  <si>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 ValidDateTimeUTCOffset:  , StatusCV:  ,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</si>
  <si>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 ValidDateTimeUTCOffset:  , StatusCV:  ,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</si>
  <si>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 ValidDateTimeUTCOffset:  , StatusCV:  ,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</si>
  <si>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 ValidDateTimeUTCOffset:  , StatusCV:  ,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</si>
  <si>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 ValidDateTimeUTCOffset:  , StatusCV:  ,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</si>
  <si>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 ValidDateTimeUTCOffset:  , StatusCV:  ,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</si>
  <si>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 ValidDateTimeUTCOffset:  , StatusCV:  ,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</si>
  <si>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 ValidDateTimeUTCOffset:  , StatusCV:  ,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</si>
  <si>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 ValidDateTimeUTCOffset:  , StatusCV:  ,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</si>
  <si>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 ValidDateTimeUTCOffset:  , StatusCV:  ,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</si>
  <si>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 ValidDateTimeUTCOffset:  , StatusCV:  ,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</si>
  <si>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 ValidDateTimeUTCOffset:  , StatusCV:  ,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</si>
  <si>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 ValidDateTimeUTCOffset:  , StatusCV:  ,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</si>
  <si>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 ValidDateTimeUTCOffset:  , StatusCV:  ,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</si>
  <si>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 ValidDateTimeUTCOffset:  , StatusCV:  ,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</si>
  <si>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 ValidDateTimeUTCOffset:  , StatusCV:  ,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</si>
  <si>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 ValidDateTimeUTCOffset:  , StatusCV:  ,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</si>
  <si>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 ValidDateTimeUTCOffset:  , StatusCV:  ,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</si>
  <si>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 ValidDateTimeUTCOffset:  , StatusCV:  ,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</si>
  <si>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 ValidDateTimeUTCOffset:  , StatusCV:  ,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</si>
  <si>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 ValidDateTimeUTCOffset:  , StatusCV:  ,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</si>
  <si>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 ValidDateTimeUTCOffset:  , StatusCV:  ,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</si>
  <si>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 ValidDateTimeUTCOffset:  , StatusCV:  ,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</si>
  <si>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 ValidDateTimeUTCOffset:  , StatusCV:  ,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</si>
  <si>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 ValidDateTimeUTCOffset:  , StatusCV:  ,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</si>
  <si>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 ValidDateTimeUTCOffset:  , StatusCV:  ,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</si>
  <si>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 ValidDateTimeUTCOffset:  , StatusCV:  ,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</si>
  <si>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 ValidDateTimeUTCOffset:  , StatusCV:  ,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</si>
  <si>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 ValidDateTimeUTCOffset:  , StatusCV:  ,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</si>
  <si>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 ValidDateTimeUTCOffset:  , StatusCV:  ,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</si>
  <si>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 ValidDateTimeUTCOffset:  , StatusCV:  ,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</si>
  <si>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 ValidDateTimeUTCOffset:  , StatusCV:  ,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</si>
  <si>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 ValidDateTimeUTCOffset:  , StatusCV:  ,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</si>
  <si>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 ValidDateTimeUTCOffset:  , StatusCV:  ,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</si>
  <si>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 ValidDateTimeUTCOffset:  , StatusCV:  ,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</si>
  <si>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 ValidDateTimeUTCOffset:  , StatusCV:  ,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</si>
  <si>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 ValidDateTimeUTCOffset:  , StatusCV:  ,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</si>
  <si>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 ValidDateTimeUTCOffset:  , StatusCV:  ,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</si>
  <si>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 ValidDateTimeUTCOffset:  , StatusCV:  ,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</si>
  <si>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 ValidDateTimeUTCOffset:  , StatusCV:  ,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</si>
  <si>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 ValidDateTimeUTCOffset:  , StatusCV:  ,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</si>
  <si>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 ValidDateTimeUTCOffset:  , StatusCV:  ,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</si>
  <si>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 ValidDateTimeUTCOffset:  , StatusCV:  ,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</si>
  <si>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 ValidDateTimeUTCOffset:  , StatusCV:  ,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</si>
  <si>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 ValidDateTimeUTCOffset:  , StatusCV:  ,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</si>
  <si>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 ValidDateTimeUTCOffset:  , StatusCV:  ,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</si>
  <si>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 ValidDateTimeUTCOffset:  , StatusCV:  ,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</si>
  <si>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 ValidDateTimeUTCOffset:  , StatusCV:  ,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</si>
  <si>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 ValidDateTimeUTCOffset:  , StatusCV:  ,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</si>
  <si>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 ValidDateTimeUTCOffset:  , StatusCV:  ,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</si>
  <si>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 ValidDateTimeUTCOffset:  , StatusCV:  ,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</si>
  <si>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 ValidDateTimeUTCOffset:  , StatusCV:  ,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</si>
  <si>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 ValidDateTimeUTCOffset:  , StatusCV:  ,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</si>
  <si>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 ValidDateTimeUTCOffset:  , StatusCV:  ,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</si>
  <si>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 ValidDateTimeUTCOffset:  , StatusCV:  ,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</si>
  <si>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 ValidDateTimeUTCOffset:  , StatusCV:  ,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</si>
  <si>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 ValidDateTimeUTCOffset:  , StatusCV:  ,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</si>
  <si>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 ValidDateTimeUTCOffset:  , StatusCV:  ,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</si>
  <si>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 ValidDateTimeUTCOffset:  , StatusCV:  ,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</si>
  <si>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 ValidDateTimeUTCOffset:  , StatusCV:  ,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</si>
  <si>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</si>
  <si>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</si>
  <si>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 ValidDateTimeUTCOffset:  , StatusCV:  ,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</si>
  <si>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 ValidDateTimeUTCOffset:  , StatusCV:  ,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</si>
  <si>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 ValidDateTimeUTCOffset:  , StatusCV:  ,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</si>
  <si>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 ValidDateTimeUTCOffset:  , StatusCV:  ,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</si>
  <si>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 ValidDateTimeUTCOffset:  , StatusCV:  ,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</si>
  <si>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 ValidDateTimeUTCOffset:  , StatusCV:  ,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</si>
  <si>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 ValidDateTimeUTCOffset:  , StatusCV:  ,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</si>
  <si>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 ValidDateTimeUTCOffset:  , StatusCV:  ,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</si>
  <si>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 ValidDateTimeUTCOffset:  , StatusCV:  ,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</si>
  <si>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 ValidDateTimeUTCOffset:  , StatusCV:  ,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</si>
  <si>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 ValidDateTimeUTCOffset:  , StatusCV:  ,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</si>
  <si>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 ValidDateTimeUTCOffset:  , StatusCV:  ,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</si>
  <si>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 ValidDateTimeUTCOffset:  , StatusCV:  ,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</si>
  <si>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 ValidDateTimeUTCOffset:  , StatusCV:  ,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</si>
  <si>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 ValidDateTimeUTCOffset:  , StatusCV:  ,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</si>
  <si>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 ValidDateTimeUTCOffset:  , StatusCV:  ,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</si>
  <si>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 ValidDateTimeUTCOffset:  , StatusCV:  ,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</si>
  <si>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 ValidDateTimeUTCOffset:  , StatusCV:  ,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</si>
  <si>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 ValidDateTimeUTCOffset:  , StatusCV:  ,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</si>
  <si>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 ValidDateTimeUTCOffset:  , StatusCV:  ,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</si>
  <si>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 ValidDateTimeUTCOffset:  , StatusCV:  ,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</si>
  <si>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 ValidDateTimeUTCOffset:  , StatusCV:  ,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</si>
  <si>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 ValidDateTimeUTCOffset:  , StatusCV:  ,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</si>
  <si>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 ValidDateTimeUTCOffset:  , StatusCV:  ,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</si>
  <si>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 ValidDateTimeUTCOffset:  , StatusCV:  ,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</si>
  <si>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 ValidDateTimeUTCOffset:  , StatusCV:  ,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</si>
  <si>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 ValidDateTimeUTCOffset:  , StatusCV:  ,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</si>
  <si>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 ValidDateTimeUTCOffset:  , StatusCV:  ,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</si>
  <si>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 ValidDateTimeUTCOffset:  , StatusCV:  ,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</si>
  <si>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 ValidDateTimeUTCOffset:  , StatusCV:  ,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</si>
  <si>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 ValidDateTimeUTCOffset:  , StatusCV:  ,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</si>
  <si>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 ValidDateTimeUTCOffset:  , StatusCV:  ,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</si>
  <si>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 ValidDateTimeUTCOffset:  , StatusCV:  ,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</si>
  <si>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 ValidDateTimeUTCOffset:  , StatusCV:  ,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</si>
  <si>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 ValidDateTimeUTCOffset:  , StatusCV:  ,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</si>
  <si>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 ValidDateTimeUTCOffset:  , StatusCV:  ,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</si>
  <si>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 ValidDateTimeUTCOffset:  , StatusCV:  ,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</si>
  <si>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 ValidDateTimeUTCOffset:  , StatusCV:  ,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</si>
  <si>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 ValidDateTimeUTCOffset:  , StatusCV:  ,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</si>
  <si>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 ValidDateTimeUTCOffset:  , StatusCV:  ,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</si>
  <si>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 ValidDateTimeUTCOffset:  , StatusCV:  ,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</si>
  <si>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 ValidDateTimeUTCOffset:  , StatusCV:  ,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</si>
  <si>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 ValidDateTimeUTCOffset:  , StatusCV:  ,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</si>
  <si>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 ValidDateTimeUTCOffset:  , StatusCV:  ,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</si>
  <si>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 ValidDateTimeUTCOffset:  , StatusCV:  ,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</si>
  <si>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 ValidDateTimeUTCOffset:  , StatusCV:  ,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</si>
  <si>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 ValidDateTimeUTCOffset:  , StatusCV:  ,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</si>
  <si>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 ValidDateTimeUTCOffset:  , StatusCV:  ,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</si>
  <si>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 ValidDateTimeUTCOffset:  , StatusCV:  ,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</si>
  <si>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 ValidDateTimeUTCOffset:  , StatusCV:  ,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</si>
  <si>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 ValidDateTimeUTCOffset:  , StatusCV:  ,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</si>
  <si>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 ValidDateTimeUTCOffset:  , StatusCV:  ,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</si>
  <si>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 ValidDateTimeUTCOffset:  , StatusCV:  ,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</si>
  <si>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 ValidDateTimeUTCOffset:  , StatusCV:  ,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</si>
  <si>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 ValidDateTimeUTCOffset:  , StatusCV:  ,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</si>
  <si>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 ValidDateTimeUTCOffset:  , StatusCV:  ,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</si>
  <si>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 ValidDateTimeUTCOffset:  , StatusCV:  ,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</si>
  <si>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 ValidDateTimeUTCOffset:  , StatusCV:  ,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</si>
  <si>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 ValidDateTimeUTCOffset:  , StatusCV:  ,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</si>
  <si>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 ValidDateTimeUTCOffset:  , StatusCV:  ,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</si>
  <si>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 ValidDateTimeUTCOffset:  , StatusCV:  ,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</si>
  <si>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 ValidDateTimeUTCOffset:  , StatusCV:  ,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</si>
  <si>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 ValidDateTimeUTCOffset:  , StatusCV:  ,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</si>
  <si>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 ValidDateTimeUTCOffset:  , StatusCV:  ,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</si>
  <si>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 ValidDateTimeUTCOffset:  , StatusCV:  ,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</si>
  <si>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 ValidDateTimeUTCOffset:  , StatusCV:  ,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</si>
  <si>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 ValidDateTimeUTCOffset:  , StatusCV:  ,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</si>
  <si>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 ValidDateTimeUTCOffset:  , StatusCV:  ,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</si>
  <si>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 ValidDateTimeUTCOffset:  , StatusCV:  ,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</si>
  <si>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 ValidDateTimeUTCOffset:  , StatusCV:  ,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</si>
  <si>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 ValidDateTimeUTCOffset:  , StatusCV:  ,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</si>
  <si>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 ValidDateTimeUTCOffset:  , StatusCV:  ,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</si>
  <si>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 ValidDateTimeUTCOffset:  , StatusCV:  ,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</si>
  <si>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 ValidDateTimeUTCOffset:  , StatusCV:  ,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</si>
  <si>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 ValidDateTimeUTCOffset:  , StatusCV:  ,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</si>
  <si>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 ValidDateTimeUTCOffset:  , StatusCV:  ,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</si>
  <si>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 ValidDateTimeUTCOffset:  , StatusCV:  ,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</si>
  <si>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 ValidDateTimeUTCOffset:  , StatusCV:  ,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</si>
  <si>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 ValidDateTimeUTCOffset:  , StatusCV:  ,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</si>
  <si>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 ValidDateTimeUTCOffset:  , StatusCV:  ,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</si>
  <si>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 ValidDateTimeUTCOffset:  , StatusCV:  ,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</si>
  <si>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 ValidDateTimeUTCOffset:  , StatusCV:  ,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</si>
  <si>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 ValidDateTimeUTCOffset:  , StatusCV:  ,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</si>
  <si>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 ValidDateTimeUTCOffset:  , StatusCV:  ,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</si>
  <si>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 ValidDateTimeUTCOffset:  , StatusCV:  ,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</si>
  <si>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 ValidDateTimeUTCOffset:  , StatusCV:  ,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</si>
  <si>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 ValidDateTimeUTCOffset:  , StatusCV:  ,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</si>
  <si>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 ValidDateTimeUTCOffset:  , StatusCV:  ,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</si>
  <si>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 ValidDateTimeUTCOffset:  , StatusCV:  ,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</si>
  <si>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 ValidDateTimeUTCOffset:  , StatusCV:  ,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</si>
  <si>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 ValidDateTimeUTCOffset:  , StatusCV:  ,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</si>
  <si>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 ValidDateTimeUTCOffset:  , StatusCV:  ,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</si>
  <si>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 ValidDateTimeUTCOffset:  , StatusCV:  ,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</si>
  <si>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 ValidDateTimeUTCOffset:  , StatusCV:  ,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</si>
  <si>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 ValidDateTimeUTCOffset:  , StatusCV:  ,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</si>
  <si>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 ValidDateTimeUTCOffset:  , StatusCV:  ,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</si>
  <si>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 ValidDateTimeUTCOffset:  , StatusCV:  ,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</si>
  <si>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 ValidDateTimeUTCOffset:  , StatusCV:  ,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</si>
  <si>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 ValidDateTimeUTCOffset:  , StatusCV:  ,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</si>
  <si>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 ValidDateTimeUTCOffset:  , StatusCV:  ,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</si>
  <si>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 ValidDateTimeUTCOffset:  , StatusCV:  ,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</si>
  <si>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 ValidDateTimeUTCOffset:  , StatusCV:  ,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</si>
  <si>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 ValidDateTimeUTCOffset:  , StatusCV:  ,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</si>
  <si>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 ValidDateTimeUTCOffset:  , StatusCV:  ,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</si>
  <si>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 ValidDateTimeUTCOffset:  , StatusCV:  ,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</si>
  <si>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 ValidDateTimeUTCOffset:  , StatusCV:  ,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</si>
  <si>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 ValidDateTimeUTCOffset:  , StatusCV:  ,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</si>
  <si>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 ValidDateTimeUTCOffset:  , StatusCV:  ,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</si>
  <si>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 ValidDateTimeUTCOffset:  , StatusCV:  ,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</si>
  <si>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</si>
  <si>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</si>
  <si>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 ValidDateTimeUTCOffset:  , StatusCV:  ,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</si>
  <si>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 ValidDateTimeUTCOffset:  , StatusCV:  ,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</si>
  <si>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 ValidDateTimeUTCOffset:  , StatusCV:  ,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</si>
  <si>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 ValidDateTimeUTCOffset:  , StatusCV:  ,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</si>
  <si>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 ValidDateTimeUTCOffset:  , StatusCV:  ,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</si>
  <si>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 ValidDateTimeUTCOffset:  , StatusCV:  ,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</si>
  <si>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 ValidDateTimeUTCOffset:  , StatusCV:  ,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</si>
  <si>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 ValidDateTimeUTCOffset:  , StatusCV:  ,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</si>
  <si>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 ValidDateTimeUTCOffset:  , StatusCV:  ,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</si>
  <si>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 ValidDateTimeUTCOffset:  , StatusCV:  ,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</si>
  <si>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 ValidDateTimeUTCOffset:  , StatusCV:  ,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</si>
  <si>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 ValidDateTimeUTCOffset:  , StatusCV:  ,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</si>
  <si>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 ValidDateTimeUTCOffset:  , StatusCV:  ,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</si>
  <si>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 ValidDateTimeUTCOffset:  , StatusCV:  ,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</si>
  <si>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 ValidDateTimeUTCOffset:  , StatusCV:  ,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</si>
  <si>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 ValidDateTimeUTCOffset:  , StatusCV:  ,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</si>
  <si>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 ValidDateTimeUTCOffset:  , StatusCV:  ,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</si>
  <si>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 ValidDateTimeUTCOffset:  , StatusCV:  ,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</si>
  <si>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 ValidDateTimeUTCOffset:  , StatusCV:  ,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</si>
  <si>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 ValidDateTimeUTCOffset:  , StatusCV:  ,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</si>
  <si>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 ValidDateTimeUTCOffset:  , StatusCV:  ,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</si>
  <si>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 ValidDateTimeUTCOffset:  , StatusCV:  ,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</si>
  <si>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 ValidDateTimeUTCOffset:  , StatusCV:  ,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</si>
  <si>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 ValidDateTimeUTCOffset:  , StatusCV:  ,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</si>
  <si>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 ValidDateTimeUTCOffset:  , StatusCV:  ,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</si>
  <si>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 ValidDateTimeUTCOffset:  , StatusCV:  ,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</si>
  <si>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 ValidDateTimeUTCOffset:  , StatusCV:  ,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</si>
  <si>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 ValidDateTimeUTCOffset:  , StatusCV:  ,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</si>
  <si>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 ValidDateTimeUTCOffset:  , StatusCV:  ,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</si>
  <si>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 ValidDateTimeUTCOffset:  , StatusCV:  ,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</si>
  <si>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 ValidDateTimeUTCOffset:  , StatusCV:  ,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</si>
  <si>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 ValidDateTimeUTCOffset:  , StatusCV:  ,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</si>
  <si>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 ValidDateTimeUTCOffset:  , StatusCV:  ,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</si>
  <si>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 ValidDateTimeUTCOffset:  , StatusCV:  ,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</si>
  <si>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 ValidDateTimeUTCOffset:  , StatusCV:  ,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</si>
  <si>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 ValidDateTimeUTCOffset:  , StatusCV:  ,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</si>
  <si>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 ValidDateTimeUTCOffset:  , StatusCV:  ,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</si>
  <si>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 ValidDateTimeUTCOffset:  , StatusCV:  ,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</si>
  <si>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 ValidDateTimeUTCOffset:  , StatusCV:  ,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</si>
  <si>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 ValidDateTimeUTCOffset:  , StatusCV:  ,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</si>
  <si>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 ValidDateTimeUTCOffset:  , StatusCV:  ,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</si>
  <si>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 ValidDateTimeUTCOffset:  , StatusCV:  ,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</si>
  <si>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 ValidDateTimeUTCOffset:  , StatusCV:  ,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</si>
  <si>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 ValidDateTimeUTCOffset:  , StatusCV:  ,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</si>
  <si>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 ValidDateTimeUTCOffset:  , StatusCV:  ,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</si>
  <si>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 ValidDateTimeUTCOffset:  , StatusCV:  ,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</si>
  <si>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 ValidDateTimeUTCOffset:  , StatusCV:  ,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</si>
  <si>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 ValidDateTimeUTCOffset:  , StatusCV:  ,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</si>
  <si>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 ValidDateTimeUTCOffset:  , StatusCV:  ,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</si>
  <si>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 ValidDateTimeUTCOffset:  , StatusCV:  ,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</si>
  <si>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 ValidDateTimeUTCOffset:  , StatusCV:  ,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</si>
  <si>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 ValidDateTimeUTCOffset:  , StatusCV:  ,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</si>
  <si>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 ValidDateTimeUTCOffset:  , StatusCV:  ,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</si>
  <si>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 ValidDateTimeUTCOffset:  , StatusCV:  ,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</si>
  <si>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 ValidDateTimeUTCOffset:  , StatusCV:  ,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</si>
  <si>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 ValidDateTimeUTCOffset:  , StatusCV:  ,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</si>
  <si>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 ValidDateTimeUTCOffset:  , StatusCV:  ,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</si>
  <si>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 ValidDateTimeUTCOffset:  , StatusCV:  ,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</si>
  <si>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 ValidDateTimeUTCOffset:  , StatusCV:  ,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</si>
  <si>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 ValidDateTimeUTCOffset:  , StatusCV:  ,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</si>
  <si>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 ValidDateTimeUTCOffset:  , StatusCV:  ,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</si>
  <si>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</si>
  <si>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</si>
  <si>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 ValidDateTimeUTCOffset:  , StatusCV:  ,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</si>
  <si>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 ValidDateTimeUTCOffset:  , StatusCV:  ,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</si>
  <si>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 ValidDateTimeUTCOffset:  , StatusCV:  ,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</si>
  <si>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 ValidDateTimeUTCOffset:  , StatusCV:  ,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</si>
  <si>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 ValidDateTimeUTCOffset:  , StatusCV:  ,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</si>
  <si>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 ValidDateTimeUTCOffset:  , StatusCV:  ,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</si>
  <si>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 ValidDateTimeUTCOffset:  , StatusCV:  ,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</si>
  <si>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 ValidDateTimeUTCOffset:  , StatusCV:  ,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</si>
  <si>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 ValidDateTimeUTCOffset:  , StatusCV:  ,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</si>
  <si>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 ValidDateTimeUTCOffset:  , StatusCV:  ,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</si>
  <si>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 ValidDateTimeUTCOffset:  , StatusCV:  ,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</si>
  <si>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 ValidDateTimeUTCOffset:  , StatusCV:  ,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</si>
  <si>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 ValidDateTimeUTCOffset:  , StatusCV:  ,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</si>
  <si>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 ValidDateTimeUTCOffset:  , StatusCV:  ,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</si>
  <si>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 ValidDateTimeUTCOffset:  , StatusCV:  ,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</si>
  <si>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 ValidDateTimeUTCOffset:  , StatusCV:  ,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</si>
  <si>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 ValidDateTimeUTCOffset:  , StatusCV:  ,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</si>
  <si>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 ValidDateTimeUTCOffset:  , StatusCV:  ,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</si>
  <si>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 ValidDateTimeUTCOffset:  , StatusCV:  ,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</si>
  <si>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 ValidDateTimeUTCOffset:  , StatusCV:  ,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</si>
  <si>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 ValidDateTimeUTCOffset:  , StatusCV:  ,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</si>
  <si>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 ValidDateTimeUTCOffset:  , StatusCV:  ,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</si>
  <si>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 ValidDateTimeUTCOffset:  , StatusCV:  ,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</si>
  <si>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 ValidDateTimeUTCOffset:  , StatusCV:  ,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</si>
  <si>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 ValidDateTimeUTCOffset:  , StatusCV:  ,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</si>
  <si>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 ValidDateTimeUTCOffset:  , StatusCV:  ,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</si>
  <si>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 ValidDateTimeUTCOffset:  , StatusCV:  , SampledMediumCV:  "Liquid aqueous", ValueCount:  1}</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</si>
  <si>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</si>
  <si>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</si>
  <si>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</si>
  <si>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</si>
  <si>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</si>
  <si>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</si>
  <si>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</si>
  <si>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</si>
  <si>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</si>
  <si>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</si>
  <si>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</si>
  <si>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</si>
  <si>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</si>
  <si>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</si>
  <si>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</si>
  <si>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</si>
  <si>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</si>
  <si>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</si>
  <si>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</si>
  <si>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</si>
  <si>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</si>
  <si>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</si>
  <si>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</si>
  <si>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</si>
  <si>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</si>
  <si>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</si>
  <si>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</si>
  <si>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</si>
  <si>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</si>
  <si>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</si>
  <si>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</si>
  <si>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</si>
  <si>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</si>
  <si>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</si>
  <si>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</si>
  <si>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</si>
  <si>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</si>
  <si>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</si>
  <si>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</si>
  <si>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</si>
  <si>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</si>
  <si>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</si>
  <si>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</si>
  <si>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</si>
  <si>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</si>
  <si>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</si>
  <si>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</si>
  <si>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</si>
  <si>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</si>
  <si>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</si>
  <si>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</si>
  <si>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</si>
  <si>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</si>
  <si>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</si>
  <si>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</si>
  <si>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</si>
  <si>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</si>
  <si>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</si>
  <si>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</si>
  <si>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</si>
  <si>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</si>
  <si>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</si>
  <si>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</si>
  <si>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</si>
  <si>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</si>
  <si>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</si>
  <si>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</si>
  <si>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</si>
  <si>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</si>
  <si>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</si>
  <si>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</si>
  <si>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</si>
  <si>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</si>
  <si>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</si>
  <si>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</si>
  <si>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</si>
  <si>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</si>
  <si>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</si>
  <si>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</si>
  <si>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</si>
  <si>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</si>
  <si>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</si>
  <si>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</si>
  <si>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</si>
  <si>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</si>
  <si>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</si>
  <si>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</si>
  <si>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</si>
  <si>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</si>
  <si>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</si>
  <si>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</si>
  <si>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0.1.0-alpha</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</si>
  <si>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</si>
  <si>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</si>
  <si>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</si>
  <si>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</si>
  <si>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</si>
  <si>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</si>
  <si>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</si>
  <si>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</si>
  <si>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</si>
  <si>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</si>
  <si>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</si>
  <si>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</si>
  <si>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</si>
  <si>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</si>
  <si>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</si>
  <si>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</si>
  <si>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</si>
  <si>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</si>
  <si>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</si>
  <si>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</si>
  <si>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</si>
  <si>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</si>
  <si>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</si>
  <si>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</si>
  <si>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</si>
  <si>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</si>
  <si>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</si>
  <si>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</si>
  <si>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</si>
  <si>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</si>
  <si>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</si>
  <si>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</si>
  <si>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</si>
  <si>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</si>
  <si>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</si>
  <si>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</si>
  <si>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</si>
  <si>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</si>
  <si>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</si>
  <si>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</si>
  <si>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</si>
  <si>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</si>
  <si>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</si>
  <si>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</si>
  <si>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</si>
  <si>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</si>
  <si>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</si>
  <si>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</si>
  <si>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</si>
  <si>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</si>
  <si>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</si>
  <si>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</si>
  <si>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</si>
  <si>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</si>
  <si>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</si>
  <si>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</si>
  <si>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</si>
  <si>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</si>
  <si>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</si>
  <si>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</si>
  <si>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</si>
  <si>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</si>
  <si>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</si>
  <si>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</si>
  <si>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</si>
  <si>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</si>
  <si>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</si>
  <si>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</si>
  <si>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</si>
  <si>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</si>
  <si>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</si>
  <si>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</si>
  <si>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</si>
  <si>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</si>
  <si>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</si>
  <si>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</si>
  <si>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</si>
  <si>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</si>
  <si>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</si>
  <si>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</si>
  <si>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</si>
  <si>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</si>
  <si>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</si>
  <si>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</si>
  <si>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</si>
  <si>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</si>
  <si>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</si>
  <si>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</si>
  <si>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</si>
  <si>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</si>
  <si>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</si>
  <si>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</si>
  <si>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</si>
  <si>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</si>
  <si>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</si>
  <si>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</si>
  <si>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</si>
  <si>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</si>
  <si>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</si>
  <si>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</si>
  <si>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</si>
  <si>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</si>
  <si>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</si>
  <si>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</si>
  <si>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</si>
  <si>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</si>
  <si>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</si>
  <si>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</si>
  <si>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</si>
  <si>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</si>
  <si>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</si>
  <si>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</si>
  <si>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</si>
  <si>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</si>
  <si>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</si>
  <si>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</si>
  <si>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</si>
  <si>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</si>
  <si>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</si>
  <si>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</si>
  <si>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</si>
  <si>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</si>
  <si>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</si>
  <si>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</si>
  <si>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</si>
  <si>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</si>
  <si>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</si>
  <si>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</si>
  <si>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</si>
  <si>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</si>
  <si>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</si>
  <si>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</si>
  <si>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</si>
  <si>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</si>
  <si>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</si>
  <si>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</si>
  <si>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</si>
  <si>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</si>
  <si>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</si>
  <si>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</si>
  <si>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</si>
  <si>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</si>
  <si>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</si>
  <si>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</si>
  <si>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 If you get an error message about an undo, click "End" and then re-click the "Genereate YODA File" button.  This is a known bug which we have not yet solved.</t>
  </si>
  <si>
    <t xml:space="preserve">  - {Version: "0.1.0", Profile: "Specimen", CreationTool: "Excel Template v0.1.0-alpha", DateCreated: "2015-04-27", DateUpdated: "2015-04-27"}</t>
  </si>
  <si>
    <t xml:space="preserve">  - &amp;AffiliationID00001 {PersonObj: *PersonID00001, OrganizationObj: *OrganizationID00001, IsPrimaryOrganizationContact: ", AffiliationStartDate: ", AffiliationEndDate: ", PrimaryPhone: ", PrimaryEmail: "sdamiano@stroudcenter.org", PrimaryAddress: "Stroud Water Research Center, 970 Spencer Road, Avondale, PA 19311", PersonLink: "}</t>
  </si>
  <si>
    <t xml:space="preserve">  - &amp;AffiliationID00002 {PersonObj: *PersonID00002, OrganizationObj: *OrganizationID00001, IsPrimaryOrganizationContact: ", AffiliationStartDate: ", AffiliationEndDate: ", PrimaryPhone: ", PrimaryEmail: "mgentile@stroudcenter.org", PrimaryAddress: "Stroud Water Research Center, 970 Spencer Road, Avondale, PA 19311", PersonLink: "}</t>
  </si>
  <si>
    <t xml:space="preserve">  - &amp;AffiliationID00003 {PersonObj: *PersonID00003, OrganizationObj: *OrganizationID00001, IsPrimaryOrganizationContact: ", AffiliationStartDate: ", AffiliationEndDate: ", PrimaryPhone: ", PrimaryEmail: "newbold@stroudcenter.org", PrimaryAddress: "Stroud Water Research Center, 970 Spencer Road, Avondale, PA 19311", PersonLink: "}</t>
  </si>
  <si>
    <t xml:space="preserve">  - &amp;AffiliationID00004 {PersonObj: *PersonID00004, OrganizationObj: *OrganizationID00002, IsPrimaryOrganizationContact: ", AffiliationStartDate: ", AffiliationEndDate: ", PrimaryPhone: ", PrimaryEmail: "dlkarwan@umn.edu", PrimaryAddress: "301G Green Hall, 1530 Cleveland Avenue North, St. Paul, MN 55108", PersonLink: "}</t>
  </si>
  <si>
    <t xml:space="preserve">  - &amp;AffiliationID00005 {PersonObj: *PersonID00005, OrganizationObj: *OrganizationID00001, IsPrimaryOrganizationContact: ", AffiliationStartDate: ", AffiliationEndDate: ", PrimaryPhone: ", PrimaryEmail: "sroberts@stroudcenter.org", PrimaryAddress: "Stroud Water Research Center, 970 Spencer Road, Avondale, PA 19311", PersonLink: "}</t>
  </si>
  <si>
    <t xml:space="preserve">  - &amp;AffiliationID00006 {PersonObj: *PersonID00006, OrganizationObj: *OrganizationID00001, IsPrimaryOrganizationContact: ", AffiliationStartDate: ", AffiliationEndDate: ", PrimaryPhone: ", PrimaryEmail: "jmatkov@stroudcenter.org", PrimaryAddress: "Stroud Water Research Center, 970 Spencer Road, Avondale, PA 19311", PersonLink: "}</t>
  </si>
  <si>
    <t xml:space="preserve">  - &amp;ActionID00001 {ActionTypeCV:  "Specimen collection", MethodObj: *MethodID00006, BeginDateTime:  "2011-01-05 15:36:00", BeginDateTimeUTCOffset:  "-5", EndDateTime:  ", EndDateTimeUTCOffset:  ", ActionDescription:  "Action generated by Excel Template for Specimen v.0.1.0-alpha", ActionFileLink:  "}</t>
  </si>
  <si>
    <t xml:space="preserve">  - &amp;ActionID00002 {ActionTypeCV:  "Specimen collection", MethodObj: *MethodID00006, BeginDateTime:  "2011-01-14 13:23:00", BeginDateTimeUTCOffset:  "-5", EndDateTime:  ", EndDateTimeUTCOffset:  ", ActionDescription:  "Action generated by Excel Template for Specimen v.0.1.0-alpha", ActionFileLink:  "}</t>
  </si>
  <si>
    <t xml:space="preserve">  - &amp;ActionID00003 {ActionTypeCV:  "Specimen collection", MethodObj: *MethodID00006, BeginDateTime:  "2011-01-14 14:45:00", BeginDateTimeUTCOffset:  "-5", EndDateTime:  ", EndDateTimeUTCOffset:  ", ActionDescription:  "Action generated by Excel Template for Specimen v.0.1.0-alpha", ActionFileLink:  "}</t>
  </si>
  <si>
    <t xml:space="preserve">  - &amp;ActionID00004 {ActionTypeCV:  "Specimen collection", MethodObj: *MethodID00006, BeginDateTime:  "2011-02-02 14:54:00", BeginDateTimeUTCOffset:  "-5", EndDateTime:  ", EndDateTimeUTCOffset:  ", ActionDescription:  "Action generated by Excel Template for Specimen v.0.1.0-alpha", ActionFileLink:  "}</t>
  </si>
  <si>
    <t xml:space="preserve">  - &amp;ActionID00005 {ActionTypeCV:  "Specimen collection", MethodObj: *MethodID00006, BeginDateTime:  "2011-02-14 15:28:00", BeginDateTimeUTCOffset:  "-5", EndDateTime:  ", EndDateTimeUTCOffset:  ", ActionDescription:  "Action generated by Excel Template for Specimen v.0.1.0-alpha", ActionFileLink:  "}</t>
  </si>
  <si>
    <t xml:space="preserve">  - &amp;ActionID00006 {ActionTypeCV:  "Specimen collection", MethodObj: *MethodID00006, BeginDateTime:  "2011-02-14 16:49:00", BeginDateTimeUTCOffset:  "-5", EndDateTime:  ", EndDateTimeUTCOffset:  ", ActionDescription:  "Action generated by Excel Template for Specimen v.0.1.0-alpha", ActionFileLink:  "}</t>
  </si>
  <si>
    <t xml:space="preserve">  - &amp;ActionID00007 {ActionTypeCV:  "Specimen collection", MethodObj: *MethodID00007, BeginDateTime:  "2011-02-25 02:00:00", BeginDateTimeUTCOffset:  "-5", EndDateTime:  ", EndDateTimeUTCOffset:  ", ActionDescription:  "Action generated by Excel Template for Specimen v.0.1.0-alpha", ActionFileLink:  "}</t>
  </si>
  <si>
    <t xml:space="preserve">  - &amp;ActionID00008 {ActionTypeCV:  "Specimen collection", MethodObj: *MethodID00007, BeginDateTime:  "2011-02-25 05:00:00", BeginDateTimeUTCOffset:  "-5", EndDateTime:  ", EndDateTimeUTCOffset:  ", ActionDescription:  "Action generated by Excel Template for Specimen v.0.1.0-alpha", ActionFileLink:  "}</t>
  </si>
  <si>
    <t xml:space="preserve">  - &amp;ActionID00009 {ActionTypeCV:  "Specimen collection", MethodObj: *MethodID00007, BeginDateTime:  "2011-02-25 07:00:00", BeginDateTimeUTCOffset:  "-5", EndDateTime:  ", EndDateTimeUTCOffset:  ", ActionDescription:  "Action generated by Excel Template for Specimen v.0.1.0-alpha", ActionFileLink:  "}</t>
  </si>
  <si>
    <t xml:space="preserve">  - &amp;ActionID00010 {ActionTypeCV:  "Specimen collection", MethodObj: *MethodID00007, BeginDateTime:  "2011-02-25 09:00:00", BeginDateTimeUTCOffset:  "-5", EndDateTime:  ", EndDateTimeUTCOffset:  ", ActionDescription:  "Action generated by Excel Template for Specimen v.0.1.0-alpha", ActionFileLink:  "}</t>
  </si>
  <si>
    <t xml:space="preserve">  - &amp;ActionID00011 {ActionTypeCV:  "Specimen collection", MethodObj: *MethodID00007, BeginDateTime:  "2011-02-25 10:00:00", BeginDateTimeUTCOffset:  "-5", EndDateTime:  ", EndDateTimeUTCOffset:  ", ActionDescription:  "Action generated by Excel Template for Specimen v.0.1.0-alpha", ActionFileLink:  "}</t>
  </si>
  <si>
    <t xml:space="preserve">  - &amp;ActionID00012 {ActionTypeCV:  "Specimen collection", MethodObj: *MethodID00007, BeginDateTime:  "2011-02-25 12:00:00", BeginDateTimeUTCOffset:  "-5", EndDateTime:  ", EndDateTimeUTCOffset:  ", ActionDescription:  "Action generated by Excel Template for Specimen v.0.1.0-alpha", ActionFileLink:  "}</t>
  </si>
  <si>
    <t xml:space="preserve">  - &amp;ActionID00013 {ActionTypeCV:  "Specimen collection", MethodObj: *MethodID00007, BeginDateTime:  "2011-02-25 14:00:00", BeginDateTimeUTCOffset:  "-5", EndDateTime:  ", EndDateTimeUTCOffset:  ", ActionDescription:  "Action generated by Excel Template for Specimen v.0.1.0-alpha", ActionFileLink:  "}</t>
  </si>
  <si>
    <t xml:space="preserve">  - &amp;ActionID00014 {ActionTypeCV:  "Specimen collection", MethodObj: *MethodID00007, BeginDateTime:  "2011-02-25 16:00:00", BeginDateTimeUTCOffset:  "-5", EndDateTime:  ", EndDateTimeUTCOffset:  ", ActionDescription:  "Action generated by Excel Template for Specimen v.0.1.0-alpha", ActionFileLink:  "}</t>
  </si>
  <si>
    <t xml:space="preserve">  - &amp;ActionID00015 {ActionTypeCV:  "Specimen collection", MethodObj: *MethodID00007, BeginDateTime:  "2011-02-25 23:00:00", BeginDateTimeUTCOffset:  "-5", EndDateTime:  ", EndDateTimeUTCOffset:  ", ActionDescription:  "Action generated by Excel Template for Specimen v.0.1.0-alpha", ActionFileLink:  "}</t>
  </si>
  <si>
    <t xml:space="preserve">  - &amp;ActionID00016 {ActionTypeCV:  "Specimen collection", MethodObj: *MethodID00007, BeginDateTime:  "2011-02-26 14:00:00", BeginDateTimeUTCOffset:  "-5", EndDateTime:  ", EndDateTimeUTCOffset:  ", ActionDescription:  "Action generated by Excel Template for Specimen v.0.1.0-alpha", ActionFileLink:  "}</t>
  </si>
  <si>
    <t xml:space="preserve">  - &amp;ActionID00017 {ActionTypeCV:  "Specimen collection", MethodObj: *MethodID00006, BeginDateTime:  "2011-03-02 13:04:00", BeginDateTimeUTCOffset:  "-5", EndDateTime:  ", EndDateTimeUTCOffset:  ", ActionDescription:  "Action generated by Excel Template for Specimen v.0.1.0-alpha", ActionFileLink:  "}</t>
  </si>
  <si>
    <t xml:space="preserve">  - &amp;ActionID00018 {ActionTypeCV:  "Specimen collection", MethodObj: *MethodID00007, BeginDateTime:  "2011-03-06 10:00:00", BeginDateTimeUTCOffset:  "-5", EndDateTime:  ", EndDateTimeUTCOffset:  ", ActionDescription:  "Action generated by Excel Template for Specimen v.0.1.0-alpha", ActionFileLink:  "}</t>
  </si>
  <si>
    <t xml:space="preserve">  - &amp;ActionID00019 {ActionTypeCV:  "Specimen collection", MethodObj: *MethodID00007, BeginDateTime:  "2011-03-06 13:00:00", BeginDateTimeUTCOffset:  "-5", EndDateTime:  ", EndDateTimeUTCOffset:  ", ActionDescription:  "Action generated by Excel Template for Specimen v.0.1.0-alpha", ActionFileLink:  "}</t>
  </si>
  <si>
    <t xml:space="preserve">  - &amp;ActionID00020 {ActionTypeCV:  "Specimen collection", MethodObj: *MethodID00007, BeginDateTime:  "2011-03-06 17:30:00", BeginDateTimeUTCOffset:  "-5", EndDateTime:  ", EndDateTimeUTCOffset:  ", ActionDescription:  "Action generated by Excel Template for Specimen v.0.1.0-alpha", ActionFileLink:  "}</t>
  </si>
  <si>
    <t xml:space="preserve">  - &amp;ActionID00021 {ActionTypeCV:  "Specimen collection", MethodObj: *MethodID00007, BeginDateTime:  "2011-03-06 19:00:00", BeginDateTimeUTCOffset:  "-5", EndDateTime:  ", EndDateTimeUTCOffset:  ", ActionDescription:  "Action generated by Excel Template for Specimen v.0.1.0-alpha", ActionFileLink:  "}</t>
  </si>
  <si>
    <t xml:space="preserve">  - &amp;ActionID00022 {ActionTypeCV:  "Specimen collection", MethodObj: *MethodID00007, BeginDateTime:  "2011-03-06 20:30:00", BeginDateTimeUTCOffset:  "-5", EndDateTime:  ", EndDateTimeUTCOffset:  ", ActionDescription:  "Action generated by Excel Template for Specimen v.0.1.0-alpha", ActionFileLink:  "}</t>
  </si>
  <si>
    <t xml:space="preserve">  - &amp;ActionID00023 {ActionTypeCV:  "Specimen collection", MethodObj: *MethodID00007, BeginDateTime:  "2011-03-06 22:00:00", BeginDateTimeUTCOffset:  "-5", EndDateTime:  ", EndDateTimeUTCOffset:  ", ActionDescription:  "Action generated by Excel Template for Specimen v.0.1.0-alpha", ActionFileLink:  "}</t>
  </si>
  <si>
    <t xml:space="preserve">  - &amp;ActionID00024 {ActionTypeCV:  "Specimen collection", MethodObj: *MethodID00007, BeginDateTime:  "2011-03-06 23:30:00", BeginDateTimeUTCOffset:  "-5", EndDateTime:  ", EndDateTimeUTCOffset:  ", ActionDescription:  "Action generated by Excel Template for Specimen v.0.1.0-alpha", ActionFileLink:  "}</t>
  </si>
  <si>
    <t xml:space="preserve">  - &amp;ActionID00025 {ActionTypeCV:  "Specimen collection", MethodObj: *MethodID00007, BeginDateTime:  "2011-03-07 02:30:00", BeginDateTimeUTCOffset:  "-5", EndDateTime:  ", EndDateTimeUTCOffset:  ", ActionDescription:  "Action generated by Excel Template for Specimen v.0.1.0-alpha", ActionFileLink:  "}</t>
  </si>
  <si>
    <t xml:space="preserve">  - &amp;ActionID00026 {ActionTypeCV:  "Specimen collection", MethodObj: *MethodID00007, BeginDateTime:  "2011-03-07 04:00:00", BeginDateTimeUTCOffset:  "-4", EndDateTime:  ", EndDateTimeUTCOffset:  ", ActionDescription:  "Action generated by Excel Template for Specimen v.0.1.0-alpha", ActionFileLink:  "}</t>
  </si>
  <si>
    <t xml:space="preserve">  - &amp;ActionID00027 {ActionTypeCV:  "Specimen collection", MethodObj: *MethodID00007, BeginDateTime:  "2011-03-07 05:30:00", BeginDateTimeUTCOffset:  "-5", EndDateTime:  ", EndDateTimeUTCOffset:  ", ActionDescription:  "Action generated by Excel Template for Specimen v.0.1.0-alpha", ActionFileLink:  "}</t>
  </si>
  <si>
    <t xml:space="preserve">  - &amp;ActionID00028 {ActionTypeCV:  "Specimen collection", MethodObj: *MethodID00007, BeginDateTime:  "2011-03-07 07:00:00", BeginDateTimeUTCOffset:  "-5", EndDateTime:  ", EndDateTimeUTCOffset:  ", ActionDescription:  "Action generated by Excel Template for Specimen v.0.1.0-alpha", ActionFileLink:  "}</t>
  </si>
  <si>
    <t xml:space="preserve">  - &amp;ActionID00029 {ActionTypeCV:  "Specimen collection", MethodObj: *MethodID00007, BeginDateTime:  "2011-03-07 11:30:00", BeginDateTimeUTCOffset:  "-5", EndDateTime:  ", EndDateTimeUTCOffset:  ", ActionDescription:  "Action generated by Excel Template for Specimen v.0.1.0-alpha", ActionFileLink:  "}</t>
  </si>
  <si>
    <t xml:space="preserve">  - &amp;ActionID00030 {ActionTypeCV:  "Specimen collection", MethodObj: *MethodID00006, BeginDateTime:  "2011-03-14 16:48:00", BeginDateTimeUTCOffset:  "-4", EndDateTime:  ", EndDateTimeUTCOffset:  ", ActionDescription:  "Action generated by Excel Template for Specimen v.0.1.0-alpha", ActionFileLink:  "}</t>
  </si>
  <si>
    <t xml:space="preserve">  - &amp;ActionID00031 {ActionTypeCV:  "Specimen collection", MethodObj: *MethodID00006, BeginDateTime:  "2011-03-14 17:11:00", BeginDateTimeUTCOffset:  "-4", EndDateTime:  ", EndDateTimeUTCOffset:  ", ActionDescription:  "Action generated by Excel Template for Specimen v.0.1.0-alpha", ActionFileLink:  "}</t>
  </si>
  <si>
    <t xml:space="preserve">  - &amp;ActionID00032 {ActionTypeCV:  "Specimen collection", MethodObj: *MethodID00006, BeginDateTime:  "2011-04-06 15:04:00", BeginDateTimeUTCOffset:  "-4", EndDateTime:  ", EndDateTimeUTCOffset:  ", ActionDescription:  "Action generated by Excel Template for Specimen v.0.1.0-alpha", ActionFileLink:  "}</t>
  </si>
  <si>
    <t xml:space="preserve">  - &amp;ActionID00033 {ActionTypeCV:  "Specimen collection", MethodObj: *MethodID00006, BeginDateTime:  "2011-04-11 14:25:00", BeginDateTimeUTCOffset:  "-4", EndDateTime:  ", EndDateTimeUTCOffset:  ", ActionDescription:  "Action generated by Excel Template for Specimen v.0.1.0-alpha", ActionFileLink:  "}</t>
  </si>
  <si>
    <t xml:space="preserve">  - &amp;ActionID00034 {ActionTypeCV:  "Specimen collection", MethodObj: *MethodID00006, BeginDateTime:  "2011-04-11 16:21:00", BeginDateTimeUTCOffset:  "-4", EndDateTime:  ", EndDateTimeUTCOffset:  ", ActionDescription:  "Action generated by Excel Template for Specimen v.0.1.0-alpha", ActionFileLink:  "}</t>
  </si>
  <si>
    <t xml:space="preserve">  - &amp;ActionID00035 {ActionTypeCV:  "Specimen collection", MethodObj: *MethodID00007, BeginDateTime:  "2011-04-13 00:00:00", BeginDateTimeUTCOffset:  "-4", EndDateTime:  ", EndDateTimeUTCOffset:  ", ActionDescription:  "Action generated by Excel Template for Specimen v.0.1.0-alpha", ActionFileLink:  "}</t>
  </si>
  <si>
    <t xml:space="preserve">  - &amp;ActionID00036 {ActionTypeCV:  "Specimen collection", MethodObj: *MethodID00007, BeginDateTime:  "2011-04-13 01:00:00", BeginDateTimeUTCOffset:  "-4", EndDateTime:  ", EndDateTimeUTCOffset:  ", ActionDescription:  "Action generated by Excel Template for Specimen v.0.1.0-alpha", ActionFileLink:  "}</t>
  </si>
  <si>
    <t xml:space="preserve">  - &amp;ActionID00037 {ActionTypeCV:  "Specimen collection", MethodObj: *MethodID00007, BeginDateTime:  "2011-04-13 02:00:00", BeginDateTimeUTCOffset:  "-4", EndDateTime:  ", EndDateTimeUTCOffset:  ", ActionDescription:  "Action generated by Excel Template for Specimen v.0.1.0-alpha", ActionFileLink:  "}</t>
  </si>
  <si>
    <t xml:space="preserve">  - &amp;ActionID00038 {ActionTypeCV:  "Specimen collection", MethodObj: *MethodID00007, BeginDateTime:  "2011-04-16 14:00:00", BeginDateTimeUTCOffset:  "-4", EndDateTime:  ", EndDateTimeUTCOffset:  ", ActionDescription:  "Action generated by Excel Template for Specimen v.0.1.0-alpha", ActionFileLink:  "}</t>
  </si>
  <si>
    <t xml:space="preserve">  - &amp;ActionID00039 {ActionTypeCV:  "Specimen collection", MethodObj: *MethodID00007, BeginDateTime:  "2011-04-16 17:00:00", BeginDateTimeUTCOffset:  "-4", EndDateTime:  ", EndDateTimeUTCOffset:  ", ActionDescription:  "Action generated by Excel Template for Specimen v.0.1.0-alpha", ActionFileLink:  "}</t>
  </si>
  <si>
    <t xml:space="preserve">  - &amp;ActionID00040 {ActionTypeCV:  "Specimen collection", MethodObj: *MethodID00007, BeginDateTime:  "2011-04-16 19:00:00", BeginDateTimeUTCOffset:  "-4", EndDateTime:  ", EndDateTimeUTCOffset:  ", ActionDescription:  "Action generated by Excel Template for Specimen v.0.1.0-alpha", ActionFileLink:  "}</t>
  </si>
  <si>
    <t xml:space="preserve">  - &amp;ActionID00041 {ActionTypeCV:  "Specimen collection", MethodObj: *MethodID00007, BeginDateTime:  "2011-04-16 20:00:00", BeginDateTimeUTCOffset:  "-4", EndDateTime:  ", EndDateTimeUTCOffset:  ", ActionDescription:  "Action generated by Excel Template for Specimen v.0.1.0-alpha", ActionFileLink:  "}</t>
  </si>
  <si>
    <t xml:space="preserve">  - &amp;ActionID00042 {ActionTypeCV:  "Specimen collection", MethodObj: *MethodID00007, BeginDateTime:  "2011-04-16 21:00:00", BeginDateTimeUTCOffset:  "-4", EndDateTime:  ", EndDateTimeUTCOffset:  ", ActionDescription:  "Action generated by Excel Template for Specimen v.0.1.0-alpha", ActionFileLink:  "}</t>
  </si>
  <si>
    <t xml:space="preserve">  - &amp;ActionID00043 {ActionTypeCV:  "Specimen collection", MethodObj: *MethodID00007, BeginDateTime:  "2011-04-16 22:00:00", BeginDateTimeUTCOffset:  "-4", EndDateTime:  ", EndDateTimeUTCOffset:  ", ActionDescription:  "Action generated by Excel Template for Specimen v.0.1.0-alpha", ActionFileLink:  "}</t>
  </si>
  <si>
    <t xml:space="preserve">  - &amp;ActionID00044 {ActionTypeCV:  "Specimen collection", MethodObj: *MethodID00007, BeginDateTime:  "2011-04-17 01:00:00", BeginDateTimeUTCOffset:  "-4", EndDateTime:  ", EndDateTimeUTCOffset:  ", ActionDescription:  "Action generated by Excel Template for Specimen v.0.1.0-alpha", ActionFileLink:  "}</t>
  </si>
  <si>
    <t xml:space="preserve">  - &amp;ActionID00045 {ActionTypeCV:  "Specimen collection", MethodObj: *MethodID00007, BeginDateTime:  "2011-04-17 05:00:00", BeginDateTimeUTCOffset:  "-4", EndDateTime:  ", EndDateTimeUTCOffset:  ", ActionDescription:  "Action generated by Excel Template for Specimen v.0.1.0-alpha", ActionFileLink:  "}</t>
  </si>
  <si>
    <t xml:space="preserve">  - &amp;ActionID00046 {ActionTypeCV:  "Specimen collection", MethodObj: *MethodID00007, BeginDateTime:  "2011-04-17 09:00:00", BeginDateTimeUTCOffset:  "-4", EndDateTime:  ", EndDateTimeUTCOffset:  ", ActionDescription:  "Action generated by Excel Template for Specimen v.0.1.0-alpha", ActionFileLink:  "}</t>
  </si>
  <si>
    <t xml:space="preserve">  - &amp;ActionID00047 {ActionTypeCV:  "Specimen collection", MethodObj: *MethodID00007, BeginDateTime:  "2011-04-17 13:00:00", BeginDateTimeUTCOffset:  "-4", EndDateTime:  ", EndDateTimeUTCOffset:  ", ActionDescription:  "Action generated by Excel Template for Specimen v.0.1.0-alpha", ActionFileLink:  "}</t>
  </si>
  <si>
    <t xml:space="preserve">  - &amp;ActionID00048 {ActionTypeCV:  "Specimen collection", MethodObj: *MethodID00006, BeginDateTime:  "2011-05-04 15:20:00", BeginDateTimeUTCOffset:  "-4", EndDateTime:  ", EndDateTimeUTCOffset:  ", ActionDescription:  "Action generated by Excel Template for Specimen v.0.1.0-alpha", ActionFileLink:  "}</t>
  </si>
  <si>
    <t xml:space="preserve">  - &amp;ActionID00049 {ActionTypeCV:  "Specimen collection", MethodObj: *MethodID00006, BeginDateTime:  "2011-06-01 14:03:00", BeginDateTimeUTCOffset:  "-4", EndDateTime:  ", EndDateTimeUTCOffset:  ", ActionDescription:  "Action generated by Excel Template for Specimen v.0.1.0-alpha", ActionFileLink:  "}</t>
  </si>
  <si>
    <t xml:space="preserve">  - &amp;ActionID00050 {ActionTypeCV:  "Specimen collection", MethodObj: *MethodID00006, BeginDateTime:  "2011-06-13 17:07:00", BeginDateTimeUTCOffset:  "-4", EndDateTime:  ", EndDateTimeUTCOffset:  ", ActionDescription:  "Action generated by Excel Template for Specimen v.0.1.0-alpha", ActionFileLink:  "}</t>
  </si>
  <si>
    <t xml:space="preserve">  - &amp;ActionID00051 {ActionTypeCV:  "Specimen collection", MethodObj: *MethodID00007, BeginDateTime:  "2011-06-24 12:45:00", BeginDateTimeUTCOffset:  "-4", EndDateTime:  ", EndDateTimeUTCOffset:  ", ActionDescription:  "Action generated by Excel Template for Specimen v.0.1.0-alpha", ActionFileLink:  "}</t>
  </si>
  <si>
    <t xml:space="preserve">  - &amp;ActionID00052 {ActionTypeCV:  "Specimen collection", MethodObj: *MethodID00006, BeginDateTime:  "2011-06-24 13:36:00", BeginDateTimeUTCOffset:  "-4", EndDateTime:  ", EndDateTimeUTCOffset:  ", ActionDescription:  "Action generated by Excel Template for Specimen v.0.1.0-alpha", ActionFileLink:  "}</t>
  </si>
  <si>
    <t xml:space="preserve">  - &amp;ActionID00053 {ActionTypeCV:  "Specimen collection", MethodObj: *MethodID00007, BeginDateTime:  "2011-06-24 14:06:00", BeginDateTimeUTCOffset:  "-4", EndDateTime:  ", EndDateTimeUTCOffset:  ", ActionDescription:  "Action generated by Excel Template for Specimen v.0.1.0-alpha", ActionFileLink:  "}</t>
  </si>
  <si>
    <t xml:space="preserve">  - &amp;ActionID00054 {ActionTypeCV:  "Specimen collection", MethodObj: *MethodID00007, BeginDateTime:  "2011-06-24 14:36:00", BeginDateTimeUTCOffset:  "-4", EndDateTime:  ", EndDateTimeUTCOffset:  ", ActionDescription:  "Action generated by Excel Template for Specimen v.0.1.0-alpha", ActionFileLink:  "}</t>
  </si>
  <si>
    <t xml:space="preserve">  - &amp;ActionID00055 {ActionTypeCV:  "Specimen collection", MethodObj: *MethodID00007, BeginDateTime:  "2011-06-24 15:06:00", BeginDateTimeUTCOffset:  "-4", EndDateTime:  ", EndDateTimeUTCOffset:  ", ActionDescription:  "Action generated by Excel Template for Specimen v.0.1.0-alpha", ActionFileLink:  "}</t>
  </si>
  <si>
    <t xml:space="preserve">  - &amp;ActionID00056 {ActionTypeCV:  "Specimen collection", MethodObj: *MethodID00007, BeginDateTime:  "2011-06-24 15:36:00", BeginDateTimeUTCOffset:  "-4", EndDateTime:  ", EndDateTimeUTCOffset:  ", ActionDescription:  "Action generated by Excel Template for Specimen v.0.1.0-alpha", ActionFileLink:  "}</t>
  </si>
  <si>
    <t xml:space="preserve">  - &amp;ActionID00057 {ActionTypeCV:  "Specimen collection", MethodObj: *MethodID00007, BeginDateTime:  "2011-06-24 16:06:00", BeginDateTimeUTCOffset:  "-4", EndDateTime:  ", EndDateTimeUTCOffset:  ", ActionDescription:  "Action generated by Excel Template for Specimen v.0.1.0-alpha", ActionFileLink:  "}</t>
  </si>
  <si>
    <t xml:space="preserve">  - &amp;ActionID00058 {ActionTypeCV:  "Specimen collection", MethodObj: *MethodID00007, BeginDateTime:  "2011-06-24 16:36:00", BeginDateTimeUTCOffset:  "-4", EndDateTime:  ", EndDateTimeUTCOffset:  ", ActionDescription:  "Action generated by Excel Template for Specimen v.0.1.0-alpha", ActionFileLink:  "}</t>
  </si>
  <si>
    <t xml:space="preserve">  - &amp;ActionID00059 {ActionTypeCV:  "Specimen collection", MethodObj: *MethodID00007, BeginDateTime:  "2011-06-24 17:06:00", BeginDateTimeUTCOffset:  "-4", EndDateTime:  ", EndDateTimeUTCOffset:  ", ActionDescription:  "Action generated by Excel Template for Specimen v.0.1.0-alpha", ActionFileLink:  "}</t>
  </si>
  <si>
    <t xml:space="preserve">  - &amp;ActionID00060 {ActionTypeCV:  "Specimen collection", MethodObj: *MethodID00007, BeginDateTime:  "2011-06-24 17:30:00", BeginDateTimeUTCOffset:  "-4", EndDateTime:  ", EndDateTimeUTCOffset:  ", ActionDescription:  "Action generated by Excel Template for Specimen v.0.1.0-alpha", ActionFileLink:  "}</t>
  </si>
  <si>
    <t xml:space="preserve">  - &amp;ActionID00061 {ActionTypeCV:  "Specimen collection", MethodObj: *MethodID00007, BeginDateTime:  "2011-06-24 19:00:00", BeginDateTimeUTCOffset:  "-4", EndDateTime:  ", EndDateTimeUTCOffset:  ", ActionDescription:  "Action generated by Excel Template for Specimen v.0.1.0-alpha", ActionFileLink:  "}</t>
  </si>
  <si>
    <t xml:space="preserve">  - &amp;ActionID00062 {ActionTypeCV:  "Specimen collection", MethodObj: *MethodID00007, BeginDateTime:  "2011-06-24 20:30:00", BeginDateTimeUTCOffset:  "-4", EndDateTime:  ", EndDateTimeUTCOffset:  ", ActionDescription:  "Action generated by Excel Template for Specimen v.0.1.0-alpha", ActionFileLink:  "}</t>
  </si>
  <si>
    <t xml:space="preserve">  - &amp;ActionID00063 {ActionTypeCV:  "Specimen collection", MethodObj: *MethodID00007, BeginDateTime:  "2011-06-24 22:00:00", BeginDateTimeUTCOffset:  "-4", EndDateTime:  ", EndDateTimeUTCOffset:  ", ActionDescription:  "Action generated by Excel Template for Specimen v.0.1.0-alpha", ActionFileLink:  "}</t>
  </si>
  <si>
    <t xml:space="preserve">  - &amp;ActionID00064 {ActionTypeCV:  "Specimen collection", MethodObj: *MethodID00007, BeginDateTime:  "2011-06-24 23:30:00", BeginDateTimeUTCOffset:  "-4", EndDateTime:  ", EndDateTimeUTCOffset:  ", ActionDescription:  "Action generated by Excel Template for Specimen v.0.1.0-alpha", ActionFileLink:  "}</t>
  </si>
  <si>
    <t xml:space="preserve">  - &amp;ActionID00065 {ActionTypeCV:  "Specimen collection", MethodObj: *MethodID00007, BeginDateTime:  "2011-06-25 01:00:00", BeginDateTimeUTCOffset:  "-4", EndDateTime:  ", EndDateTimeUTCOffset:  ", ActionDescription:  "Action generated by Excel Template for Specimen v.0.1.0-alpha", ActionFileLink:  "}</t>
  </si>
  <si>
    <t xml:space="preserve">  - &amp;ActionID00066 {ActionTypeCV:  "Specimen collection", MethodObj: *MethodID00007, BeginDateTime:  "2011-06-25 02:30:00", BeginDateTimeUTCOffset:  "-4", EndDateTime:  ", EndDateTimeUTCOffset:  ", ActionDescription:  "Action generated by Excel Template for Specimen v.0.1.0-alpha", ActionFileLink:  "}</t>
  </si>
  <si>
    <t xml:space="preserve">  - &amp;ActionID00067 {ActionTypeCV:  "Specimen collection", MethodObj: *MethodID00007, BeginDateTime:  "2011-06-25 04:00:00", BeginDateTimeUTCOffset:  "-4", EndDateTime:  ", EndDateTimeUTCOffset:  ", ActionDescription:  "Action generated by Excel Template for Specimen v.0.1.0-alpha", ActionFileLink:  "}</t>
  </si>
  <si>
    <t xml:space="preserve">  - &amp;ActionID00068 {ActionTypeCV:  "Specimen collection", MethodObj: *MethodID00007, BeginDateTime:  "2011-06-25 05:30:00", BeginDateTimeUTCOffset:  "-4", EndDateTime:  ", EndDateTimeUTCOffset:  ", ActionDescription:  "Action generated by Excel Template for Specimen v.0.1.0-alpha", ActionFileLink:  "}</t>
  </si>
  <si>
    <t xml:space="preserve">  - &amp;ActionID00069 {ActionTypeCV:  "Specimen collection", MethodObj: *MethodID00007, BeginDateTime:  "2011-06-25 07:00:00", BeginDateTimeUTCOffset:  "-4", EndDateTime:  ", EndDateTimeUTCOffset:  ", ActionDescription:  "Action generated by Excel Template for Specimen v.0.1.0-alpha", ActionFileLink:  "}</t>
  </si>
  <si>
    <t xml:space="preserve">  - &amp;ActionID00070 {ActionTypeCV:  "Specimen collection", MethodObj: *MethodID00007, BeginDateTime:  "2011-06-25 08:30:00", BeginDateTimeUTCOffset:  "-4", EndDateTime:  ", EndDateTimeUTCOffset:  ", ActionDescription:  "Action generated by Excel Template for Specimen v.0.1.0-alpha", ActionFileLink:  "}</t>
  </si>
  <si>
    <t xml:space="preserve">  - &amp;ActionID00071 {ActionTypeCV:  "Specimen collection", MethodObj: *MethodID00007, BeginDateTime:  "2011-06-25 10:00:00", BeginDateTimeUTCOffset:  "-4", EndDateTime:  ", EndDateTimeUTCOffset:  ", ActionDescription:  "Action generated by Excel Template for Specimen v.0.1.0-alpha", ActionFileLink:  "}</t>
  </si>
  <si>
    <t xml:space="preserve">  - &amp;ActionID00072 {ActionTypeCV:  "Specimen collection", MethodObj: *MethodID00006, BeginDateTime:  "2011-07-07 17:21:00", BeginDateTimeUTCOffset:  "-4", EndDateTime:  ", EndDateTimeUTCOffset:  ", ActionDescription:  "Action generated by Excel Template for Specimen v.0.1.0-alpha", ActionFileLink:  "}</t>
  </si>
  <si>
    <t xml:space="preserve">  - &amp;ActionID00073 {ActionTypeCV:  "Specimen collection", MethodObj: *MethodID00006, BeginDateTime:  "2011-08-03 10:27:00", BeginDateTimeUTCOffset:  "-4", EndDateTime:  ", EndDateTimeUTCOffset:  ", ActionDescription:  "Action generated by Excel Template for Specimen v.0.1.0-alpha", ActionFileLink:  "}</t>
  </si>
  <si>
    <t xml:space="preserve">  - &amp;ActionID00074 {ActionTypeCV:  "Specimen collection", MethodObj: *MethodID00006, BeginDateTime:  "2011-08-03 11:00:00", BeginDateTimeUTCOffset:  "-4", EndDateTime:  ", EndDateTimeUTCOffset:  ", ActionDescription:  "Action generated by Excel Template for Specimen v.0.1.0-alpha", ActionFileLink:  "}</t>
  </si>
  <si>
    <t xml:space="preserve">  - &amp;ActionID00075 {ActionTypeCV:  "Specimen collection", MethodObj: *MethodID00006, BeginDateTime:  "2011-08-03 12:37:00", BeginDateTimeUTCOffset:  "-4", EndDateTime:  ", EndDateTimeUTCOffset:  ", ActionDescription:  "Action generated by Excel Template for Specimen v.0.1.0-alpha", ActionFileLink:  "}</t>
  </si>
  <si>
    <t xml:space="preserve">  - &amp;ActionID00076 {ActionTypeCV:  "Specimen collection", MethodObj: *MethodID00006, BeginDateTime:  "2011-09-14 13:37:00", BeginDateTimeUTCOffset:  "-4", EndDateTime:  ", EndDateTimeUTCOffset:  ", ActionDescription:  "Action generated by Excel Template for Specimen v.0.1.0-alpha", ActionFileLink:  "}</t>
  </si>
  <si>
    <t xml:space="preserve">  - &amp;ActionID00077 {ActionTypeCV:  "Specimen collection", MethodObj: *MethodID00006, BeginDateTime:  "2011-09-14 14:31:00", BeginDateTimeUTCOffset:  "-4", EndDateTime:  ", EndDateTimeUTCOffset:  ", ActionDescription:  "Action generated by Excel Template for Specimen v.0.1.0-alpha", ActionFileLink:  "}</t>
  </si>
  <si>
    <t xml:space="preserve">  - &amp;ActionID00078 {ActionTypeCV:  "Specimen collection", MethodObj: *MethodID00006, BeginDateTime:  "2011-09-14 15:30:00", BeginDateTimeUTCOffset:  "-4", EndDateTime:  ", EndDateTimeUTCOffset:  ", ActionDescription:  "Action generated by Excel Template for Specimen v.0.1.0-alpha", ActionFileLink:  "}</t>
  </si>
  <si>
    <t xml:space="preserve">  - &amp;ActionID00079 {ActionTypeCV:  "Specimen collection", MethodObj: *MethodID00006, BeginDateTime:  "2011-10-05 10:47:00", BeginDateTimeUTCOffset:  "-4", EndDateTime:  ", EndDateTimeUTCOffset:  ", ActionDescription:  "Action generated by Excel Template for Specimen v.0.1.0-alpha", ActionFileLink:  "}</t>
  </si>
  <si>
    <t xml:space="preserve">  - &amp;ActionID00080 {ActionTypeCV:  "Specimen collection", MethodObj: *MethodID00006, BeginDateTime:  "2011-10-05 11:48:00", BeginDateTimeUTCOffset:  "-4", EndDateTime:  ", EndDateTimeUTCOffset:  ", ActionDescription:  "Action generated by Excel Template for Specimen v.0.1.0-alpha", ActionFileLink:  "}</t>
  </si>
  <si>
    <t xml:space="preserve">  - &amp;ActionID00081 {ActionTypeCV:  "Specimen collection", MethodObj: *MethodID00006, BeginDateTime:  "2011-10-05 16:24:00", BeginDateTimeUTCOffset:  "-4", EndDateTime:  ", EndDateTimeUTCOffset:  ", ActionDescription:  "Action generated by Excel Template for Specimen v.0.1.0-alpha", ActionFileLink:  "}</t>
  </si>
  <si>
    <t xml:space="preserve">  - &amp;ActionID00082 {ActionTypeCV:  "Specimen collection", MethodObj: *MethodID00006, BeginDateTime:  "2011-10-11 18:44:00", BeginDateTimeUTCOffset:  "-4", EndDateTime:  ", EndDateTimeUTCOffset:  ", ActionDescription:  "Action generated by Excel Template for Specimen v.0.1.0-alpha", ActionFileLink:  "}</t>
  </si>
  <si>
    <t xml:space="preserve">  - &amp;ActionID00083 {ActionTypeCV:  "Specimen collection", MethodObj: *MethodID00006, BeginDateTime:  "2011-10-11 19:11:00", BeginDateTimeUTCOffset:  "-4", EndDateTime:  ", EndDateTimeUTCOffset:  ", ActionDescription:  "Action generated by Excel Template for Specimen v.0.1.0-alpha", ActionFileLink:  "}</t>
  </si>
  <si>
    <t xml:space="preserve">  - &amp;ActionID00084 {ActionTypeCV:  "Specimen collection", MethodObj: *MethodID00006, BeginDateTime:  "2011-11-02 12:17:00", BeginDateTimeUTCOffset:  "-4", EndDateTime:  ", EndDateTimeUTCOffset:  ", ActionDescription:  "Action generated by Excel Template for Specimen v.0.1.0-alpha", ActionFileLink:  "}</t>
  </si>
  <si>
    <t xml:space="preserve">  - &amp;ActionID00085 {ActionTypeCV:  "Specimen collection", MethodObj: *MethodID00006, BeginDateTime:  "2011-11-02 13:27:00", BeginDateTimeUTCOffset:  "-4", EndDateTime:  ", EndDateTimeUTCOffset:  ", ActionDescription:  "Action generated by Excel Template for Specimen v.0.1.0-alpha", ActionFileLink:  "}</t>
  </si>
  <si>
    <t xml:space="preserve">  - &amp;ActionID00086 {ActionTypeCV:  "Specimen collection", MethodObj: *MethodID00006, BeginDateTime:  "2011-11-02 14:11:00", BeginDateTimeUTCOffset:  "-4", EndDateTime:  ", EndDateTimeUTCOffset:  ", ActionDescription:  "Action generated by Excel Template for Specimen v.0.1.0-alpha", ActionFileLink:  "}</t>
  </si>
  <si>
    <t xml:space="preserve">  - &amp;ActionID00087 {ActionTypeCV:  "Specimen collection", MethodObj: *MethodID00007, BeginDateTime:  "2011-11-22 12:00:00", BeginDateTimeUTCOffset:  "-5", EndDateTime:  ", EndDateTimeUTCOffset:  ", ActionDescription:  "Action generated by Excel Template for Specimen v.0.1.0-alpha", ActionFileLink:  "}</t>
  </si>
  <si>
    <t xml:space="preserve">  - &amp;ActionID00088 {ActionTypeCV:  "Specimen collection", MethodObj: *MethodID00007, BeginDateTime:  "2011-11-22 18:00:00", BeginDateTimeUTCOffset:  "-5", EndDateTime:  ", EndDateTimeUTCOffset:  ", ActionDescription:  "Action generated by Excel Template for Specimen v.0.1.0-alpha", ActionFileLink:  "}</t>
  </si>
  <si>
    <t xml:space="preserve">  - &amp;ActionID00089 {ActionTypeCV:  "Specimen collection", MethodObj: *MethodID00007, BeginDateTime:  "2011-11-22 20:00:00", BeginDateTimeUTCOffset:  "-5", EndDateTime:  ", EndDateTimeUTCOffset:  ", ActionDescription:  "Action generated by Excel Template for Specimen v.0.1.0-alpha", ActionFileLink:  "}</t>
  </si>
  <si>
    <t xml:space="preserve">  - &amp;ActionID00090 {ActionTypeCV:  "Specimen collection", MethodObj: *MethodID00007, BeginDateTime:  "2011-11-22 22:00:00", BeginDateTimeUTCOffset:  "-5", EndDateTime:  ", EndDateTimeUTCOffset:  ", ActionDescription:  "Action generated by Excel Template for Specimen v.0.1.0-alpha", ActionFileLink:  "}</t>
  </si>
  <si>
    <t xml:space="preserve">  - &amp;ActionID00091 {ActionTypeCV:  "Specimen collection", MethodObj: *MethodID00007, BeginDateTime:  "2011-11-23 04:00:00", BeginDateTimeUTCOffset:  "-5", EndDateTime:  ", EndDateTimeUTCOffset:  ", ActionDescription:  "Action generated by Excel Template for Specimen v.0.1.0-alpha", ActionFileLink:  "}</t>
  </si>
  <si>
    <t xml:space="preserve">  - &amp;ActionID00092 {ActionTypeCV:  "Specimen collection", MethodObj: *MethodID00007, BeginDateTime:  "2011-11-23 05:00:00", BeginDateTimeUTCOffset:  "-5", EndDateTime:  ", EndDateTimeUTCOffset:  ", ActionDescription:  "Action generated by Excel Template for Specimen v.0.1.0-alpha", ActionFileLink:  "}</t>
  </si>
  <si>
    <t xml:space="preserve">  - &amp;ActionID00093 {ActionTypeCV:  "Specimen collection", MethodObj: *MethodID00007, BeginDateTime:  "2011-11-23 06:00:00", BeginDateTimeUTCOffset:  "-5", EndDateTime:  ", EndDateTimeUTCOffset:  ", ActionDescription:  "Action generated by Excel Template for Specimen v.0.1.0-alpha", ActionFileLink:  "}</t>
  </si>
  <si>
    <t xml:space="preserve">  - &amp;ActionID00094 {ActionTypeCV:  "Specimen collection", MethodObj: *MethodID00007, BeginDateTime:  "2011-11-23 07:00:00", BeginDateTimeUTCOffset:  "-5", EndDateTime:  ", EndDateTimeUTCOffset:  ", ActionDescription:  "Action generated by Excel Template for Specimen v.0.1.0-alpha", ActionFileLink:  "}</t>
  </si>
  <si>
    <t xml:space="preserve">  - &amp;ActionID00095 {ActionTypeCV:  "Specimen collection", MethodObj: *MethodID00007, BeginDateTime:  "2011-11-23 11:00:00", BeginDateTimeUTCOffset:  "-5", EndDateTime:  ", EndDateTimeUTCOffset:  ", ActionDescription:  "Action generated by Excel Template for Specimen v.0.1.0-alpha", ActionFileLink:  "}</t>
  </si>
  <si>
    <t xml:space="preserve">  - &amp;ActionID00096 {ActionTypeCV:  "Specimen collection", MethodObj: *MethodID00007, BeginDateTime:  "2011-11-23 15:00:00", BeginDateTimeUTCOffset:  "-5", EndDateTime:  ", EndDateTimeUTCOffset:  ", ActionDescription:  "Action generated by Excel Template for Specimen v.0.1.0-alpha", ActionFileLink:  "}</t>
  </si>
  <si>
    <t xml:space="preserve">  - &amp;ActionID00097 {ActionTypeCV:  "Specimen collection", MethodObj: *MethodID00006, BeginDateTime:  "2011-12-14 11:59:00", BeginDateTimeUTCOffset:  "-5", EndDateTime:  ", EndDateTimeUTCOffset:  ", ActionDescription:  "Action generated by Excel Template for Specimen v.0.1.0-alpha", ActionFileLink:  "}</t>
  </si>
  <si>
    <t xml:space="preserve">  - &amp;ActionID00098 {ActionTypeCV:  "Specimen collection", MethodObj: *MethodID00006, BeginDateTime:  "2011-12-14 12:32:00", BeginDateTimeUTCOffset:  "-5", EndDateTime:  ", EndDateTimeUTCOffset:  ", ActionDescription:  "Action generated by Excel Template for Specimen v.0.1.0-alpha", ActionFileLink:  "}</t>
  </si>
  <si>
    <t xml:space="preserve">  - &amp;ActionID00099 {ActionTypeCV:  "Specimen collection", MethodObj: *MethodID00006, BeginDateTime:  "2011-12-14 12:50:00", BeginDateTimeUTCOffset:  "-5", EndDateTime:  ", EndDateTimeUTCOffset:  ", ActionDescription:  "Action generated by Excel Template for Specimen v.0.1.0-alpha", ActionFileLink:  "}</t>
  </si>
  <si>
    <t xml:space="preserve">  - &amp;ActionID00100 {ActionTypeCV:  "Specimen collection", MethodObj: *MethodID00006, BeginDateTime:  "2012-01-04 13:36:00", BeginDateTimeUTCOffset:  "-5", EndDateTime:  ", EndDateTimeUTCOffset:  ", ActionDescription:  "Action generated by Excel Template for Specimen v.0.1.0-alpha", ActionFileLink:  "}</t>
  </si>
  <si>
    <t xml:space="preserve">  - &amp;ActionID00101 {ActionTypeCV:  "Specimen collection", MethodObj: *MethodID00006, BeginDateTime:  "2012-01-04 14:18:00", BeginDateTimeUTCOffset:  "-5", EndDateTime:  ", EndDateTimeUTCOffset:  ", ActionDescription:  "Action generated by Excel Template for Specimen v.0.1.0-alpha", ActionFileLink:  "}</t>
  </si>
  <si>
    <t xml:space="preserve">  - &amp;ActionID00102 {ActionTypeCV:  "Specimen collection", MethodObj: *MethodID00006, BeginDateTime:  "2012-01-04 14:43:00", BeginDateTimeUTCOffset:  "-5", EndDateTime:  ", EndDateTimeUTCOffset:  ", ActionDescription:  "Action generated by Excel Template for Specimen v.0.1.0-alpha", ActionFileLink:  "}</t>
  </si>
  <si>
    <t xml:space="preserve">  - &amp;ActionID00103 {ActionTypeCV:  "Specimen collection", MethodObj: *MethodID00007, BeginDateTime:  "2012-01-11 19:00:00", BeginDateTimeUTCOffset:  "-5", EndDateTime:  ", EndDateTimeUTCOffset:  ", ActionDescription:  "Action generated by Excel Template for Specimen v.0.1.0-alpha", ActionFileLink:  "}</t>
  </si>
  <si>
    <t xml:space="preserve">  - &amp;ActionID00104 {ActionTypeCV:  "Specimen collection", MethodObj: *MethodID00007, BeginDateTime:  "2012-01-11 20:00:00", BeginDateTimeUTCOffset:  "-5", EndDateTime:  ", EndDateTimeUTCOffset:  ", ActionDescription:  "Action generated by Excel Template for Specimen v.0.1.0-alpha", ActionFileLink:  "}</t>
  </si>
  <si>
    <t xml:space="preserve">  - &amp;ActionID00105 {ActionTypeCV:  "Specimen collection", MethodObj: *MethodID00007, BeginDateTime:  "2012-01-12 00:00:00", BeginDateTimeUTCOffset:  "-5", EndDateTime:  ", EndDateTimeUTCOffset:  ", ActionDescription:  "Action generated by Excel Template for Specimen v.0.1.0-alpha", ActionFileLink:  "}</t>
  </si>
  <si>
    <t xml:space="preserve">  - &amp;ActionID00106 {ActionTypeCV:  "Specimen collection", MethodObj: *MethodID00007, BeginDateTime:  "2012-01-12 01:00:00", BeginDateTimeUTCOffset:  "-5", EndDateTime:  ", EndDateTimeUTCOffset:  ", ActionDescription:  "Action generated by Excel Template for Specimen v.0.1.0-alpha", ActionFileLink:  "}</t>
  </si>
  <si>
    <t xml:space="preserve">  - &amp;ActionID00107 {ActionTypeCV:  "Specimen collection", MethodObj: *MethodID00007, BeginDateTime:  "2012-01-12 03:00:00", BeginDateTimeUTCOffset:  "-5", EndDateTime:  ", EndDateTimeUTCOffset:  ", ActionDescription:  "Action generated by Excel Template for Specimen v.0.1.0-alpha", ActionFileLink:  "}</t>
  </si>
  <si>
    <t xml:space="preserve">  - &amp;ActionID00108 {ActionTypeCV:  "Specimen collection", MethodObj: *MethodID00007, BeginDateTime:  "2012-01-12 04:00:00", BeginDateTimeUTCOffset:  "-5", EndDateTime:  ", EndDateTimeUTCOffset:  ", ActionDescription:  "Action generated by Excel Template for Specimen v.0.1.0-alpha", ActionFileLink:  "}</t>
  </si>
  <si>
    <t xml:space="preserve">  - &amp;ActionID00109 {ActionTypeCV:  "Specimen collection", MethodObj: *MethodID00007, BeginDateTime:  "2012-01-12 05:00:00", BeginDateTimeUTCOffset:  "-5", EndDateTime:  ", EndDateTimeUTCOffset:  ", ActionDescription:  "Action generated by Excel Template for Specimen v.0.1.0-alpha", ActionFileLink:  "}</t>
  </si>
  <si>
    <t xml:space="preserve">  - &amp;ActionID00110 {ActionTypeCV:  "Specimen collection", MethodObj: *MethodID00007, BeginDateTime:  "2012-01-12 05:00:00", BeginDateTimeUTCOffset:  "-5", EndDateTime:  ", EndDateTimeUTCOffset:  ", ActionDescription:  "Action generated by Excel Template for Specimen v.0.1.0-alpha", ActionFileLink:  "}</t>
  </si>
  <si>
    <t xml:space="preserve">  - &amp;ActionID00111 {ActionTypeCV:  "Specimen collection", MethodObj: *MethodID00007, BeginDateTime:  "2012-01-12 06:00:00", BeginDateTimeUTCOffset:  "-5", EndDateTime:  ", EndDateTimeUTCOffset:  ", ActionDescription:  "Action generated by Excel Template for Specimen v.0.1.0-alpha", ActionFileLink:  "}</t>
  </si>
  <si>
    <t xml:space="preserve">  - &amp;ActionID00112 {ActionTypeCV:  "Specimen collection", MethodObj: *MethodID00007, BeginDateTime:  "2012-01-12 07:00:00", BeginDateTimeUTCOffset:  "-5", EndDateTime:  ", EndDateTimeUTCOffset:  ", ActionDescription:  "Action generated by Excel Template for Specimen v.0.1.0-alpha", ActionFileLink:  "}</t>
  </si>
  <si>
    <t xml:space="preserve">  - &amp;ActionID00113 {ActionTypeCV:  "Specimen collection", MethodObj: *MethodID00007, BeginDateTime:  "2012-01-12 08:00:00", BeginDateTimeUTCOffset:  "-5", EndDateTime:  ", EndDateTimeUTCOffset:  ", ActionDescription:  "Action generated by Excel Template for Specimen v.0.1.0-alpha", ActionFileLink:  "}</t>
  </si>
  <si>
    <t xml:space="preserve">  - &amp;ActionID00114 {ActionTypeCV:  "Specimen collection", MethodObj: *MethodID00007, BeginDateTime:  "2012-01-12 09:00:00", BeginDateTimeUTCOffset:  "-5", EndDateTime:  ", EndDateTimeUTCOffset:  ", ActionDescription:  "Action generated by Excel Template for Specimen v.0.1.0-alpha", ActionFileLink:  "}</t>
  </si>
  <si>
    <t xml:space="preserve">  - &amp;ActionID00115 {ActionTypeCV:  "Specimen collection", MethodObj: *MethodID00007, BeginDateTime:  "2012-01-12 10:00:00", BeginDateTimeUTCOffset:  "-5", EndDateTime:  ", EndDateTimeUTCOffset:  ", ActionDescription:  "Action generated by Excel Template for Specimen v.0.1.0-alpha", ActionFileLink:  "}</t>
  </si>
  <si>
    <t xml:space="preserve">  - &amp;ActionID00116 {ActionTypeCV:  "Specimen collection", MethodObj: *MethodID00007, BeginDateTime:  "2012-01-12 13:00:00", BeginDateTimeUTCOffset:  "-5", EndDateTime:  ", EndDateTimeUTCOffset:  ", ActionDescription:  "Action generated by Excel Template for Specimen v.0.1.0-alpha", ActionFileLink:  "}</t>
  </si>
  <si>
    <t xml:space="preserve">  - &amp;ActionID00117 {ActionTypeCV:  "Specimen collection", MethodObj: *MethodID00007, BeginDateTime:  "2012-01-12 14:00:00", BeginDateTimeUTCOffset:  "-5", EndDateTime:  ", EndDateTimeUTCOffset:  ", ActionDescription:  "Action generated by Excel Template for Specimen v.0.1.0-alpha", ActionFileLink:  "}</t>
  </si>
  <si>
    <t xml:space="preserve">  - &amp;ActionID00118 {ActionTypeCV:  "Specimen collection", MethodObj: *MethodID00007, BeginDateTime:  "2012-01-12 19:00:00", BeginDateTimeUTCOffset:  "-5", EndDateTime:  ", EndDateTimeUTCOffset:  ", ActionDescription:  "Action generated by Excel Template for Specimen v.0.1.0-alpha", ActionFileLink:  "}</t>
  </si>
  <si>
    <t xml:space="preserve">  - &amp;ActionID00119 {ActionTypeCV:  "Specimen collection", MethodObj: *MethodID00006, BeginDateTime:  "2012-01-26 12:13:00", BeginDateTimeUTCOffset:  "-5", EndDateTime:  ", EndDateTimeUTCOffset:  ", ActionDescription:  "Action generated by Excel Template for Specimen v.0.1.0-alpha", ActionFileLink:  "}</t>
  </si>
  <si>
    <t xml:space="preserve">  - &amp;ActionID00120 {ActionTypeCV:  "Specimen collection", MethodObj: *MethodID00006, BeginDateTime:  "2012-01-26 12:57:00", BeginDateTimeUTCOffset:  "-5", EndDateTime:  ", EndDateTimeUTCOffset:  ", ActionDescription:  "Action generated by Excel Template for Specimen v.0.1.0-alpha", ActionFileLink:  "}</t>
  </si>
  <si>
    <t xml:space="preserve">  - &amp;ActionID00121 {ActionTypeCV:  "Specimen collection", MethodObj: *MethodID00006, BeginDateTime:  "2012-02-01 12:57:00", BeginDateTimeUTCOffset:  "-5", EndDateTime:  ", EndDateTimeUTCOffset:  ", ActionDescription:  "Action generated by Excel Template for Specimen v.0.1.0-alpha", ActionFileLink:  "}</t>
  </si>
  <si>
    <t xml:space="preserve">  - &amp;ActionID00122 {ActionTypeCV:  "Specimen collection", MethodObj: *MethodID00006, BeginDateTime:  "2012-02-01 14:19:00", BeginDateTimeUTCOffset:  "-5", EndDateTime:  ", EndDateTimeUTCOffset:  ", ActionDescription:  "Action generated by Excel Template for Specimen v.0.1.0-alpha", ActionFileLink:  "}</t>
  </si>
  <si>
    <t xml:space="preserve">  - &amp;ActionID00123 {ActionTypeCV:  "Specimen collection", MethodObj: *MethodID00006, BeginDateTime:  "2012-02-01 14:38:00", BeginDateTimeUTCOffset:  "-5", EndDateTime:  ", EndDateTimeUTCOffset:  ", ActionDescription:  "Action generated by Excel Template for Specimen v.0.1.0-alpha", ActionFileLink:  "}</t>
  </si>
  <si>
    <t xml:space="preserve">  - &amp;ActionID00124 {ActionTypeCV:  "Specimen collection", MethodObj: *MethodID00007, BeginDateTime:  "2012-02-29 14:00:00", BeginDateTimeUTCOffset:  "-5", EndDateTime:  ", EndDateTimeUTCOffset:  ", ActionDescription:  "Action generated by Excel Template for Specimen v.0.1.0-alpha", ActionFileLink:  "}</t>
  </si>
  <si>
    <t xml:space="preserve">  - &amp;ActionID00125 {ActionTypeCV:  "Specimen collection", MethodObj: *MethodID00007, BeginDateTime:  "2012-02-29 22:00:00", BeginDateTimeUTCOffset:  "-5", EndDateTime:  ", EndDateTimeUTCOffset:  ", ActionDescription:  "Action generated by Excel Template for Specimen v.0.1.0-alpha", ActionFileLink:  "}</t>
  </si>
  <si>
    <t xml:space="preserve">  - &amp;ActionID00126 {ActionTypeCV:  "Specimen collection", MethodObj: *MethodID00007, BeginDateTime:  "2012-03-01 09:00:00", BeginDateTimeUTCOffset:  "-5", EndDateTime:  ", EndDateTimeUTCOffset:  ", ActionDescription:  "Action generated by Excel Template for Specimen v.0.1.0-alpha", ActionFileLink:  "}</t>
  </si>
  <si>
    <t xml:space="preserve">  - &amp;ActionID00127 {ActionTypeCV:  "Specimen collection", MethodObj: *MethodID00006, BeginDateTime:  "2012-03-07 13:39:00", BeginDateTimeUTCOffset:  "-5", EndDateTime:  ", EndDateTimeUTCOffset:  ", ActionDescription:  "Action generated by Excel Template for Specimen v.0.1.0-alpha", ActionFileLink:  "}</t>
  </si>
  <si>
    <t xml:space="preserve">  - &amp;ActionID00128 {ActionTypeCV:  "Specimen collection", MethodObj: *MethodID00006, BeginDateTime:  "2012-03-07 15:30:00", BeginDateTimeUTCOffset:  "-5", EndDateTime:  ", EndDateTimeUTCOffset:  ", ActionDescription:  "Action generated by Excel Template for Specimen v.0.1.0-alpha", ActionFileLink:  "}</t>
  </si>
  <si>
    <t xml:space="preserve">  - &amp;ActionID00129 {ActionTypeCV:  "Specimen collection", MethodObj: *MethodID00006, BeginDateTime:  "2012-03-07 15:47:00", BeginDateTimeUTCOffset:  "-5", EndDateTime:  ", EndDateTimeUTCOffset:  ", ActionDescription:  "Action generated by Excel Template for Specimen v.0.1.0-alpha", ActionFileLink:  "}</t>
  </si>
  <si>
    <t xml:space="preserve">  - &amp;ActionID00130 {ActionTypeCV:  "Specimen collection", MethodObj: *MethodID00006, BeginDateTime:  "2012-04-04 15:52:00", BeginDateTimeUTCOffset:  "-4", EndDateTime:  ", EndDateTimeUTCOffset:  ", ActionDescription:  "Action generated by Excel Template for Specimen v.0.1.0-alpha", ActionFileLink:  "}</t>
  </si>
  <si>
    <t xml:space="preserve">  - &amp;ActionID00131 {ActionTypeCV:  "Specimen collection", MethodObj: *MethodID00006, BeginDateTime:  "2012-04-04 16:40:00", BeginDateTimeUTCOffset:  "-4", EndDateTime:  ", EndDateTimeUTCOffset:  ", ActionDescription:  "Action generated by Excel Template for Specimen v.0.1.0-alpha", ActionFileLink:  "}</t>
  </si>
  <si>
    <t xml:space="preserve">  - &amp;ActionID00132 {ActionTypeCV:  "Specimen collection", MethodObj: *MethodID00006, BeginDateTime:  "2012-04-04 17:05:00", BeginDateTimeUTCOffset:  "-4", EndDateTime:  ", EndDateTimeUTCOffset:  ", ActionDescription:  "Action generated by Excel Template for Specimen v.0.1.0-alpha", ActionFileLink:  "}</t>
  </si>
  <si>
    <t xml:space="preserve">  - &amp;ActionID00133 {ActionTypeCV:  "Specimen collection", MethodObj: *MethodID00006, BeginDateTime:  "2012-04-10 17:59:00", BeginDateTimeUTCOffset:  "-4", EndDateTime:  ", EndDateTimeUTCOffset:  ", ActionDescription:  "Action generated by Excel Template for Specimen v.0.1.0-alpha", ActionFileLink:  "}</t>
  </si>
  <si>
    <t xml:space="preserve">  - &amp;ActionID00134 {ActionTypeCV:  "Specimen collection", MethodObj: *MethodID00006, BeginDateTime:  "2012-04-10 18:21:00", BeginDateTimeUTCOffset:  "-4", EndDateTime:  ", EndDateTimeUTCOffset:  ", ActionDescription:  "Action generated by Excel Template for Specimen v.0.1.0-alpha", ActionFileLink:  "}</t>
  </si>
  <si>
    <t xml:space="preserve">  - &amp;ActionID00135 {ActionTypeCV:  "Specimen collection", MethodObj: *MethodID00007, BeginDateTime:  "2012-04-21 14:00:00", BeginDateTimeUTCOffset:  "-4", EndDateTime:  ", EndDateTimeUTCOffset:  ", ActionDescription:  "Action generated by Excel Template for Specimen v.0.1.0-alpha", ActionFileLink:  "}</t>
  </si>
  <si>
    <t xml:space="preserve">  - &amp;ActionID00136 {ActionTypeCV:  "Specimen collection", MethodObj: *MethodID00007, BeginDateTime:  "2012-04-22 11:00:00", BeginDateTimeUTCOffset:  "-4", EndDateTime:  ", EndDateTimeUTCOffset:  ", ActionDescription:  "Action generated by Excel Template for Specimen v.0.1.0-alpha", ActionFileLink:  "}</t>
  </si>
  <si>
    <t xml:space="preserve">  - &amp;ActionID00137 {ActionTypeCV:  "Specimen collection", MethodObj: *MethodID00007, BeginDateTime:  "2012-04-22 16:00:00", BeginDateTimeUTCOffset:  "-4", EndDateTime:  ", EndDateTimeUTCOffset:  ", ActionDescription:  "Action generated by Excel Template for Specimen v.0.1.0-alpha", ActionFileLink:  "}</t>
  </si>
  <si>
    <t xml:space="preserve">  - &amp;ActionID00138 {ActionTypeCV:  "Specimen collection", MethodObj: *MethodID00007, BeginDateTime:  "2012-04-22 20:00:00", BeginDateTimeUTCOffset:  "-4", EndDateTime:  ", EndDateTimeUTCOffset:  ", ActionDescription:  "Action generated by Excel Template for Specimen v.0.1.0-alpha", ActionFileLink:  "}</t>
  </si>
  <si>
    <t xml:space="preserve">  - &amp;ActionID00139 {ActionTypeCV:  "Specimen collection", MethodObj: *MethodID00007, BeginDateTime:  "2012-04-22 21:00:00", BeginDateTimeUTCOffset:  "-4", EndDateTime:  ", EndDateTimeUTCOffset:  ", ActionDescription:  "Action generated by Excel Template for Specimen v.0.1.0-alpha", ActionFileLink:  "}</t>
  </si>
  <si>
    <t xml:space="preserve">  - &amp;ActionID00140 {ActionTypeCV:  "Specimen collection", MethodObj: *MethodID00007, BeginDateTime:  "2012-04-22 22:00:00", BeginDateTimeUTCOffset:  "-4", EndDateTime:  ", EndDateTimeUTCOffset:  ", ActionDescription:  "Action generated by Excel Template for Specimen v.0.1.0-alpha", ActionFileLink:  "}</t>
  </si>
  <si>
    <t xml:space="preserve">  - &amp;ActionID00141 {ActionTypeCV:  "Specimen collection", MethodObj: *MethodID00007, BeginDateTime:  "2012-04-22 23:00:00", BeginDateTimeUTCOffset:  "-4", EndDateTime:  ", EndDateTimeUTCOffset:  ", ActionDescription:  "Action generated by Excel Template for Specimen v.0.1.0-alpha", ActionFileLink:  "}</t>
  </si>
  <si>
    <t xml:space="preserve">  - &amp;ActionID00142 {ActionTypeCV:  "Specimen collection", MethodObj: *MethodID00007, BeginDateTime:  "2012-04-23 03:00:00", BeginDateTimeUTCOffset:  "-4", EndDateTime:  ", EndDateTimeUTCOffset:  ", ActionDescription:  "Action generated by Excel Template for Specimen v.0.1.0-alpha", ActionFileLink:  "}</t>
  </si>
  <si>
    <t xml:space="preserve">  - &amp;ActionID00143 {ActionTypeCV:  "Specimen collection", MethodObj: *MethodID00007, BeginDateTime:  "2012-04-23 10:00:00", BeginDateTimeUTCOffset:  "-4", EndDateTime:  ", EndDateTimeUTCOffset:  ", ActionDescription:  "Action generated by Excel Template for Specimen v.0.1.0-alpha", ActionFileLink:  "}</t>
  </si>
  <si>
    <t xml:space="preserve">  - &amp;ActionID00144 {ActionTypeCV:  "Specimen collection", MethodObj: *MethodID00007, BeginDateTime:  "2012-04-24 03:00:00", BeginDateTimeUTCOffset:  "-4", EndDateTime:  ", EndDateTimeUTCOffset:  ", ActionDescription:  "Action generated by Excel Template for Specimen v.0.1.0-alpha", ActionFileLink:  "}</t>
  </si>
  <si>
    <t xml:space="preserve">  - &amp;ActionID00145 {ActionTypeCV:  "Specimen collection", MethodObj: *MethodID00006, BeginDateTime:  "2012-05-02 13:21:00", BeginDateTimeUTCOffset:  "-4", EndDateTime:  ", EndDateTimeUTCOffset:  ", ActionDescription:  "Action generated by Excel Template for Specimen v.0.1.0-alpha", ActionFileLink:  "}</t>
  </si>
  <si>
    <t xml:space="preserve">  - &amp;ActionID00146 {ActionTypeCV:  "Specimen collection", MethodObj: *MethodID00006, BeginDateTime:  "2012-05-02 14:17:00", BeginDateTimeUTCOffset:  "-4", EndDateTime:  ", EndDateTimeUTCOffset:  ", ActionDescription:  "Action generated by Excel Template for Specimen v.0.1.0-alpha", ActionFileLink:  "}</t>
  </si>
  <si>
    <t xml:space="preserve">  - &amp;ActionID00147 {ActionTypeCV:  "Specimen collection", MethodObj: *MethodID00006, BeginDateTime:  "2012-05-02 15:03:00", BeginDateTimeUTCOffset:  "-4", EndDateTime:  ", EndDateTimeUTCOffset:  ", ActionDescription:  "Action generated by Excel Template for Specimen v.0.1.0-alpha", ActionFileLink:  "}</t>
  </si>
  <si>
    <t xml:space="preserve">  - &amp;ActionID00148 {ActionTypeCV:  "Specimen collection", MethodObj: *MethodID00006, BeginDateTime:  "2012-06-06 15:38:00", BeginDateTimeUTCOffset:  "-4", EndDateTime:  ", EndDateTimeUTCOffset:  ", ActionDescription:  "Action generated by Excel Template for Specimen v.0.1.0-alpha", ActionFileLink:  "}</t>
  </si>
  <si>
    <t xml:space="preserve">  - &amp;ActionID00149 {ActionTypeCV:  "Specimen collection", MethodObj: *MethodID00006, BeginDateTime:  "2012-06-06 16:09:00", BeginDateTimeUTCOffset:  "-4", EndDateTime:  ", EndDateTimeUTCOffset:  ", ActionDescription:  "Action generated by Excel Template for Specimen v.0.1.0-alpha", ActionFileLink:  "}</t>
  </si>
  <si>
    <t xml:space="preserve">  - &amp;ActionID00150 {ActionTypeCV:  "Specimen collection", MethodObj: *MethodID00006, BeginDateTime:  "2012-06-06 16:31:00", BeginDateTimeUTCOffset:  "-4", EndDateTime:  ", EndDateTimeUTCOffset:  ", ActionDescription:  "Action generated by Excel Template for Specimen v.0.1.0-alpha", ActionFileLink:  "}</t>
  </si>
  <si>
    <t xml:space="preserve">  - &amp;ActionID00151 {ActionTypeCV:  "Specimen collection", MethodObj: *MethodID00006, BeginDateTime:  "2012-06-22 18:48:00", BeginDateTimeUTCOffset:  "-4", EndDateTime:  ", EndDateTimeUTCOffset:  ", ActionDescription:  "Action generated by Excel Template for Specimen v.0.1.0-alpha", ActionFileLink:  "}</t>
  </si>
  <si>
    <t xml:space="preserve">  - &amp;ActionID00152 {ActionTypeCV:  "Specimen collection", MethodObj: *MethodID00006, BeginDateTime:  "2012-07-11 16:53:00", BeginDateTimeUTCOffset:  "-4", EndDateTime:  ", EndDateTimeUTCOffset:  ", ActionDescription:  "Action generated by Excel Template for Specimen v.0.1.0-alpha", ActionFileLink:  "}</t>
  </si>
  <si>
    <t xml:space="preserve">  - &amp;ActionID00153 {ActionTypeCV:  "Specimen collection", MethodObj: *MethodID00006, BeginDateTime:  "2012-07-11 17:28:00", BeginDateTimeUTCOffset:  "-4", EndDateTime:  ", EndDateTimeUTCOffset:  ", ActionDescription:  "Action generated by Excel Template for Specimen v.0.1.0-alpha", ActionFileLink:  "}</t>
  </si>
  <si>
    <t xml:space="preserve">  - &amp;ActionID00154 {ActionTypeCV:  "Specimen collection", MethodObj: *MethodID00006, BeginDateTime:  "2012-07-11 18:07:00", BeginDateTimeUTCOffset:  "-4", EndDateTime:  ", EndDateTimeUTCOffset:  ", ActionDescription:  "Action generated by Excel Template for Specimen v.0.1.0-alpha", ActionFileLink:  "}</t>
  </si>
  <si>
    <t xml:space="preserve">  - &amp;ActionID00155 {ActionTypeCV:  "Specimen collection", MethodObj: *MethodID00006, BeginDateTime:  "2012-07-18 16:31:00", BeginDateTimeUTCOffset:  "-4", EndDateTime:  ", EndDateTimeUTCOffset:  ", ActionDescription:  "Action generated by Excel Template for Specimen v.0.1.0-alpha", ActionFileLink:  "}</t>
  </si>
  <si>
    <t xml:space="preserve">  - &amp;ActionID00156 {ActionTypeCV:  "Specimen collection", MethodObj: *MethodID00006, BeginDateTime:  "2012-08-08 15:50:00", BeginDateTimeUTCOffset:  "-4", EndDateTime:  ", EndDateTimeUTCOffset:  ", ActionDescription:  "Action generated by Excel Template for Specimen v.0.1.0-alpha", ActionFileLink:  "}</t>
  </si>
  <si>
    <t xml:space="preserve">  - &amp;ActionID00157 {ActionTypeCV:  "Specimen collection", MethodObj: *MethodID00006, BeginDateTime:  "2012-08-08 16:41:00", BeginDateTimeUTCOffset:  "-4", EndDateTime:  ", EndDateTimeUTCOffset:  ", ActionDescription:  "Action generated by Excel Template for Specimen v.0.1.0-alpha", ActionFileLink:  "}</t>
  </si>
  <si>
    <t xml:space="preserve">  - &amp;ActionID00158 {ActionTypeCV:  "Specimen collection", MethodObj: *MethodID00006, BeginDateTime:  "2012-08-08 17:18:00", BeginDateTimeUTCOffset:  "-4", EndDateTime:  ", EndDateTimeUTCOffset:  ", ActionDescription:  "Action generated by Excel Template for Specimen v.0.1.0-alpha", ActionFileLink:  "}</t>
  </si>
  <si>
    <t xml:space="preserve">  - &amp;ActionID00159 {ActionTypeCV:  "Specimen collection", MethodObj: *MethodID00006, BeginDateTime:  "2012-08-16 13:49:00", BeginDateTimeUTCOffset:  "-4", EndDateTime:  ", EndDateTimeUTCOffset:  ", ActionDescription:  "Action generated by Excel Template for Specimen v.0.1.0-alpha", ActionFileLink:  "}</t>
  </si>
  <si>
    <t xml:space="preserve">  - &amp;ActionID00160 {ActionTypeCV:  "Specimen collection", MethodObj: *MethodID00006, BeginDateTime:  "2012-09-05 11:02:00", BeginDateTimeUTCOffset:  "-4", EndDateTime:  ", EndDateTimeUTCOffset:  ", ActionDescription:  "Action generated by Excel Template for Specimen v.0.1.0-alpha", ActionFileLink:  "}</t>
  </si>
  <si>
    <t xml:space="preserve">  - &amp;ActionID00161 {ActionTypeCV:  "Specimen collection", MethodObj: *MethodID00006, BeginDateTime:  "2012-09-05 12:23:00", BeginDateTimeUTCOffset:  "-4", EndDateTime:  ", EndDateTimeUTCOffset:  ", ActionDescription:  "Action generated by Excel Template for Specimen v.0.1.0-alpha", ActionFileLink:  "}</t>
  </si>
  <si>
    <t xml:space="preserve">  - &amp;ActionID00162 {ActionTypeCV:  "Specimen collection", MethodObj: *MethodID00006, BeginDateTime:  "2012-09-05 12:58:00", BeginDateTimeUTCOffset:  "-4", EndDateTime:  ", EndDateTimeUTCOffset:  ", ActionDescription:  "Action generated by Excel Template for Specimen v.0.1.0-alpha", ActionFileLink:  "}</t>
  </si>
  <si>
    <t xml:space="preserve">  - &amp;ActionID00163 {ActionTypeCV:  "Specimen collection", MethodObj: *MethodID00007, BeginDateTime:  "2012-09-18 01:00:00", BeginDateTimeUTCOffset:  "-4", EndDateTime:  ", EndDateTimeUTCOffset:  ", ActionDescription:  "Action generated by Excel Template for Specimen v.0.1.0-alpha", ActionFileLink:  "}</t>
  </si>
  <si>
    <t xml:space="preserve">  - &amp;ActionID00164 {ActionTypeCV:  "Specimen collection", MethodObj: *MethodID00007, BeginDateTime:  "2012-09-18 07:00:00", BeginDateTimeUTCOffset:  "-4", EndDateTime:  ", EndDateTimeUTCOffset:  ", ActionDescription:  "Action generated by Excel Template for Specimen v.0.1.0-alpha", ActionFileLink:  "}</t>
  </si>
  <si>
    <t xml:space="preserve">  - &amp;ActionID00165 {ActionTypeCV:  "Specimen collection", MethodObj: *MethodID00007, BeginDateTime:  "2012-09-18 16:00:00", BeginDateTimeUTCOffset:  "-4", EndDateTime:  ", EndDateTimeUTCOffset:  ", ActionDescription:  "Action generated by Excel Template for Specimen v.0.1.0-alpha", ActionFileLink:  "}</t>
  </si>
  <si>
    <t xml:space="preserve">  - &amp;ActionID00166 {ActionTypeCV:  "Specimen collection", MethodObj: *MethodID00007, BeginDateTime:  "2012-09-18 17:00:00", BeginDateTimeUTCOffset:  "-4", EndDateTime:  ", EndDateTimeUTCOffset:  ", ActionDescription:  "Action generated by Excel Template for Specimen v.0.1.0-alpha", ActionFileLink:  "}</t>
  </si>
  <si>
    <t xml:space="preserve">  - &amp;ActionID00167 {ActionTypeCV:  "Specimen collection", MethodObj: *MethodID00007, BeginDateTime:  "2012-09-18 18:00:00", BeginDateTimeUTCOffset:  "-4", EndDateTime:  ", EndDateTimeUTCOffset:  ", ActionDescription:  "Action generated by Excel Template for Specimen v.0.1.0-alpha", ActionFileLink:  "}</t>
  </si>
  <si>
    <t xml:space="preserve">  - &amp;ActionID00168 {ActionTypeCV:  "Specimen collection", MethodObj: *MethodID00007, BeginDateTime:  "2012-09-18 19:00:00", BeginDateTimeUTCOffset:  "-4", EndDateTime:  ", EndDateTimeUTCOffset:  ", ActionDescription:  "Action generated by Excel Template for Specimen v.0.1.0-alpha", ActionFileLink:  "}</t>
  </si>
  <si>
    <t xml:space="preserve">  - &amp;ActionID00169 {ActionTypeCV:  "Specimen collection", MethodObj: *MethodID00007, BeginDateTime:  "2012-09-18 20:00:00", BeginDateTimeUTCOffset:  "-4", EndDateTime:  ", EndDateTimeUTCOffset:  ", ActionDescription:  "Action generated by Excel Template for Specimen v.0.1.0-alpha", ActionFileLink:  "}</t>
  </si>
  <si>
    <t xml:space="preserve">  - &amp;ActionID00170 {ActionTypeCV:  "Specimen collection", MethodObj: *MethodID00007, BeginDateTime:  "2012-09-18 21:00:00", BeginDateTimeUTCOffset:  "-4", EndDateTime:  ", EndDateTimeUTCOffset:  ", ActionDescription:  "Action generated by Excel Template for Specimen v.0.1.0-alpha", ActionFileLink:  "}</t>
  </si>
  <si>
    <t xml:space="preserve">  - &amp;ActionID00171 {ActionTypeCV:  "Specimen collection", MethodObj: *MethodID00007, BeginDateTime:  "2012-09-18 23:00:00", BeginDateTimeUTCOffset:  "-4", EndDateTime:  ", EndDateTimeUTCOffset:  ", ActionDescription:  "Action generated by Excel Template for Specimen v.0.1.0-alpha", ActionFileLink:  "}</t>
  </si>
  <si>
    <t xml:space="preserve">  - &amp;ActionID00172 {ActionTypeCV:  "Specimen collection", MethodObj: *MethodID00007, BeginDateTime:  "2012-09-19 01:00:00", BeginDateTimeUTCOffset:  "-4", EndDateTime:  ", EndDateTimeUTCOffset:  ", ActionDescription:  "Action generated by Excel Template for Specimen v.0.1.0-alpha", ActionFileLink:  "}</t>
  </si>
  <si>
    <t xml:space="preserve">  - &amp;ActionID00173 {ActionTypeCV:  "Specimen collection", MethodObj: *MethodID00007, BeginDateTime:  "2012-09-19 04:00:00", BeginDateTimeUTCOffset:  "-4", EndDateTime:  ", EndDateTimeUTCOffset:  ", ActionDescription:  "Action generated by Excel Template for Specimen v.0.1.0-alpha", ActionFileLink:  "}</t>
  </si>
  <si>
    <t xml:space="preserve">  - &amp;ActionID00174 {ActionTypeCV:  "Specimen collection", MethodObj: *MethodID00007, BeginDateTime:  "2012-09-19 10:00:00", BeginDateTimeUTCOffset:  "-4", EndDateTime:  ", EndDateTimeUTCOffset:  ", ActionDescription:  "Action generated by Excel Template for Specimen v.0.1.0-alpha", ActionFileLink:  "}</t>
  </si>
  <si>
    <t xml:space="preserve">  - &amp;ActionID00175 {ActionTypeCV:  "Specimen collection", MethodObj: *MethodID00006, BeginDateTime:  "2012-10-03 16:00:00", BeginDateTimeUTCOffset:  "-4", EndDateTime:  ", EndDateTimeUTCOffset:  ", ActionDescription:  "Action generated by Excel Template for Specimen v.0.1.0-alpha", ActionFileLink:  "}</t>
  </si>
  <si>
    <t xml:space="preserve">  - &amp;ActionID00176 {ActionTypeCV:  "Specimen collection", MethodObj: *MethodID00006, BeginDateTime:  "2012-10-03 16:42:00", BeginDateTimeUTCOffset:  "-4", EndDateTime:  ", EndDateTimeUTCOffset:  ", ActionDescription:  "Action generated by Excel Template for Specimen v.0.1.0-alpha", ActionFileLink:  "}</t>
  </si>
  <si>
    <t xml:space="preserve">  - &amp;ActionID00177 {ActionTypeCV:  "Specimen collection", MethodObj: *MethodID00006, BeginDateTime:  "2012-10-03 17:15:00", BeginDateTimeUTCOffset:  "-4", EndDateTime:  ", EndDateTimeUTCOffset:  ", ActionDescription:  "Action generated by Excel Template for Specimen v.0.1.0-alpha", ActionFileLink:  "}</t>
  </si>
  <si>
    <t xml:space="preserve">  - &amp;ActionID00178 {ActionTypeCV:  "Specimen collection", MethodObj: *MethodID00006, BeginDateTime:  "2012-10-11 14:56:00", BeginDateTimeUTCOffset:  "-4", EndDateTime:  ", EndDateTimeUTCOffset:  ", ActionDescription:  "Action generated by Excel Template for Specimen v.0.1.0-alpha", ActionFileLink:  "}</t>
  </si>
  <si>
    <t xml:space="preserve">  - &amp;ActionID00179 {ActionTypeCV:  "Specimen collection", MethodObj: *MethodID00006, BeginDateTime:  "2012-11-14 17:01:00", BeginDateTimeUTCOffset:  "-5", EndDateTime:  ", EndDateTimeUTCOffset:  ", ActionDescription:  "Action generated by Excel Template for Specimen v.0.1.0-alpha", ActionFileLink:  "}</t>
  </si>
  <si>
    <t xml:space="preserve">  - &amp;ActionID00180 {ActionTypeCV:  "Specimen collection", MethodObj: *MethodID00006, BeginDateTime:  "2012-11-14 17:10:00", BeginDateTimeUTCOffset:  "-5", EndDateTime:  ", EndDateTimeUTCOffset:  ", ActionDescription:  "Action generated by Excel Template for Specimen v.0.1.0-alpha", ActionFileLink:  "}</t>
  </si>
  <si>
    <t xml:space="preserve">  - &amp;ActionID00181 {ActionTypeCV:  "Specimen collection", MethodObj: *MethodID00006, BeginDateTime:  "2012-11-14 17:33:00", BeginDateTimeUTCOffset:  "-5", EndDateTime:  ", EndDateTimeUTCOffset:  ", ActionDescription:  "Action generated by Excel Template for Specimen v.0.1.0-alpha", ActionFileLink:  "}</t>
  </si>
  <si>
    <t xml:space="preserve">  - &amp;ActionID00182 {ActionTypeCV:  "Specimen collection", MethodObj: *MethodID00006, BeginDateTime:  "2012-11-28 13:08:00", BeginDateTimeUTCOffset:  "-5", EndDateTime:  ", EndDateTimeUTCOffset:  ", ActionDescription:  "Action generated by Excel Template for Specimen v.0.1.0-alpha", ActionFileLink:  "}</t>
  </si>
  <si>
    <t xml:space="preserve">  - &amp;ActionID00183 {ActionTypeCV:  "Specimen collection", MethodObj: *MethodID00006, BeginDateTime:  "2012-11-28 13:32:00", BeginDateTimeUTCOffset:  "-5", EndDateTime:  ", EndDateTimeUTCOffset:  ", ActionDescription:  "Action generated by Excel Template for Specimen v.0.1.0-alpha", ActionFileLink:  "}</t>
  </si>
  <si>
    <t xml:space="preserve">  - &amp;ActionID00184 {ActionTypeCV:  "Specimen collection", MethodObj: *MethodID00006, BeginDateTime:  "2012-12-05 13:15:00", BeginDateTimeUTCOffset:  "-5", EndDateTime:  ", EndDateTimeUTCOffset:  ", ActionDescription:  "Action generated by Excel Template for Specimen v.0.1.0-alpha", ActionFileLink:  "}</t>
  </si>
  <si>
    <t xml:space="preserve">  - &amp;ActionID00185 {ActionTypeCV:  "Specimen collection", MethodObj: *MethodID00006, BeginDateTime:  "2012-12-05 14:12:00", BeginDateTimeUTCOffset:  "-5", EndDateTime:  ", EndDateTimeUTCOffset:  ", ActionDescription:  "Action generated by Excel Template for Specimen v.0.1.0-alpha", ActionFileLink:  "}</t>
  </si>
  <si>
    <t xml:space="preserve">  - &amp;ActionID00186 {ActionTypeCV:  "Specimen collection", MethodObj: *MethodID00006, BeginDateTime:  "2012-12-05 14:40:00", BeginDateTimeUTCOffset:  "-5", EndDateTime:  ", EndDateTimeUTCOffset:  ", ActionDescription:  "Action generated by Excel Template for Specimen v.0.1.0-alpha", ActionFileLink:  "}</t>
  </si>
  <si>
    <t xml:space="preserve">  - &amp;ActionID00187 {ActionTypeCV:  "Specimen collection", MethodObj: *MethodID00006, BeginDateTime:  "2012-12-12 16:23:00", BeginDateTimeUTCOffset:  "-5", EndDateTime:  ", EndDateTimeUTCOffset:  ", ActionDescription:  "Action generated by Excel Template for Specimen v.0.1.0-alpha", ActionFileLink:  "}</t>
  </si>
  <si>
    <t xml:space="preserve">  - &amp;ActionID00188 {ActionTypeCV:  "Specimen collection", MethodObj: *MethodID00006, BeginDateTime:  "2012-12-12 16:44:00", BeginDateTimeUTCOffset:  "-5", EndDateTime:  ", EndDateTimeUTCOffset:  ", ActionDescription:  "Action generated by Excel Template for Specimen v.0.1.0-alpha", ActionFileLink:  "}</t>
  </si>
  <si>
    <t xml:space="preserve">  - &amp;ActionID00189 {ActionTypeCV:  "Specimen collection", MethodObj: *MethodID00006, BeginDateTime:  "2013-01-03 13:46:00", BeginDateTimeUTCOffset:  "-5", EndDateTime:  ", EndDateTimeUTCOffset:  ", ActionDescription:  "Action generated by Excel Template for Specimen v.0.1.0-alpha", ActionFileLink:  "}</t>
  </si>
  <si>
    <t xml:space="preserve">  - &amp;ActionID00190 {ActionTypeCV:  "Specimen collection", MethodObj: *MethodID00006, BeginDateTime:  "2013-01-03 14:34:00", BeginDateTimeUTCOffset:  "-5", EndDateTime:  ", EndDateTimeUTCOffset:  ", ActionDescription:  "Action generated by Excel Template for Specimen v.0.1.0-alpha", ActionFileLink:  "}</t>
  </si>
  <si>
    <t xml:space="preserve">  - &amp;ActionID00191 {ActionTypeCV:  "Specimen collection", MethodObj: *MethodID00006, BeginDateTime:  "2013-01-03 14:57:00", BeginDateTimeUTCOffset:  "-5", EndDateTime:  ", EndDateTimeUTCOffset:  ", ActionDescription:  "Action generated by Excel Template for Specimen v.0.1.0-alpha", ActionFileLink:  "}</t>
  </si>
  <si>
    <t xml:space="preserve">  - &amp;ActionID00192 {ActionTypeCV:  "Specimen collection", MethodObj: *MethodID00006, BeginDateTime:  "2013-01-17 14:00:00", BeginDateTimeUTCOffset:  "-5", EndDateTime:  ", EndDateTimeUTCOffset:  ", ActionDescription:  "Action generated by Excel Template for Specimen v.0.1.0-alpha", ActionFileLink:  "}</t>
  </si>
  <si>
    <t xml:space="preserve">  - &amp;ActionID00193 {ActionTypeCV:  "Specimen collection", MethodObj: *MethodID00006, BeginDateTime:  "2013-01-17 14:39:00", BeginDateTimeUTCOffset:  "-5", EndDateTime:  ", EndDateTimeUTCOffset:  ", ActionDescription:  "Action generated by Excel Template for Specimen v.0.1.0-alpha", ActionFileLink:  "}</t>
  </si>
  <si>
    <t xml:space="preserve">  - &amp;ActionID00194 {ActionTypeCV:  "Specimen collection", MethodObj: *MethodID00006, BeginDateTime:  "2013-02-13 16:31:00", BeginDateTimeUTCOffset:  "-5", EndDateTime:  ", EndDateTimeUTCOffset:  ", ActionDescription:  "Action generated by Excel Template for Specimen v.0.1.0-alpha", ActionFileLink:  "}</t>
  </si>
  <si>
    <t xml:space="preserve">  - &amp;ActionID00195 {ActionTypeCV:  "Specimen collection", MethodObj: *MethodID00006, BeginDateTime:  "2013-02-13 16:35:00", BeginDateTimeUTCOffset:  "-5", EndDateTime:  ", EndDateTimeUTCOffset:  ", ActionDescription:  "Action generated by Excel Template for Specimen v.0.1.0-alpha", ActionFileLink:  "}</t>
  </si>
  <si>
    <t xml:space="preserve">  - &amp;ActionID00196 {ActionTypeCV:  "Specimen collection", MethodObj: *MethodID00006, BeginDateTime:  "2013-02-13 16:49:00", BeginDateTimeUTCOffset:  "-5", EndDateTime:  ", EndDateTimeUTCOffset:  ", ActionDescription:  "Action generated by Excel Template for Specimen v.0.1.0-alpha", ActionFileLink:  "}</t>
  </si>
  <si>
    <t xml:space="preserve">  - &amp;ActionID00197 {ActionTypeCV:  "Specimen collection", MethodObj: *MethodID00006, BeginDateTime:  "2013-03-06 15:46:00", BeginDateTimeUTCOffset:  "-5", EndDateTime:  ", EndDateTimeUTCOffset:  ", ActionDescription:  "Action generated by Excel Template for Specimen v.0.1.0-alpha", ActionFileLink:  "}</t>
  </si>
  <si>
    <t xml:space="preserve">  - &amp;ActionID00198 {ActionTypeCV:  "Specimen collection", MethodObj: *MethodID00006, BeginDateTime:  "2013-03-06 16:15:00", BeginDateTimeUTCOffset:  "-5", EndDateTime:  ", EndDateTimeUTCOffset:  ", ActionDescription:  "Action generated by Excel Template for Specimen v.0.1.0-alpha", ActionFileLink:  "}</t>
  </si>
  <si>
    <t xml:space="preserve">  - &amp;ActionID00199 {ActionTypeCV:  "Specimen collection", MethodObj: *MethodID00006, BeginDateTime:  "2013-03-06 16:33:00", BeginDateTimeUTCOffset:  "-5", EndDateTime:  ", EndDateTimeUTCOffset:  ", ActionDescription:  "Action generated by Excel Template for Specimen v.0.1.0-alpha", ActionFileLink:  "}</t>
  </si>
  <si>
    <t xml:space="preserve">  - &amp;ActionID00200 {ActionTypeCV:  "Specimen collection", MethodObj: *MethodID00006, BeginDateTime:  "2013-04-03 15:04:00", BeginDateTimeUTCOffset:  "-4", EndDateTime:  ", EndDateTimeUTCOffset:  ", ActionDescription:  "Action generated by Excel Template for Specimen v.0.1.0-alpha", ActionFileLink:  "}</t>
  </si>
  <si>
    <t xml:space="preserve">  - &amp;ActionID00201 {ActionTypeCV:  "Specimen collection", MethodObj: *MethodID00006, BeginDateTime:  "2013-04-03 15:34:00", BeginDateTimeUTCOffset:  "-4", EndDateTime:  ", EndDateTimeUTCOffset:  ", ActionDescription:  "Action generated by Excel Template for Specimen v.0.1.0-alpha", ActionFileLink:  "}</t>
  </si>
  <si>
    <t xml:space="preserve">  - &amp;ActionID00202 {ActionTypeCV:  "Specimen collection", MethodObj: *MethodID00006, BeginDateTime:  "2013-04-03 15:54:00", BeginDateTimeUTCOffset:  "-4", EndDateTime:  ", EndDateTimeUTCOffset:  ", ActionDescription:  "Action generated by Excel Template for Specimen v.0.1.0-alpha", ActionFileLink:  "}</t>
  </si>
  <si>
    <t xml:space="preserve">  - &amp;ActionID00203 {ActionTypeCV:  "Specimen collection", MethodObj: *MethodID00006, BeginDateTime:  "2013-04-09 14:04:00", BeginDateTimeUTCOffset:  "-4", EndDateTime:  ", EndDateTimeUTCOffset:  ", ActionDescription:  "Action generated by Excel Template for Specimen v.0.1.0-alpha", ActionFileLink:  "}</t>
  </si>
  <si>
    <t xml:space="preserve">  - &amp;ActionID00204 {ActionTypeCV:  "Specimen collection", MethodObj: *MethodID00006, BeginDateTime:  "2013-04-09 14:45:00", BeginDateTimeUTCOffset:  "-4", EndDateTime:  ", EndDateTimeUTCOffset:  ", ActionDescription:  "Action generated by Excel Template for Specimen v.0.1.0-alpha", ActionFileLink:  "}</t>
  </si>
  <si>
    <t xml:space="preserve">  - &amp;ActionID00205 {ActionTypeCV:  "Specimen collection", MethodObj: *MethodID00007, BeginDateTime:  "2013-04-12 05:00:00", BeginDateTimeUTCOffset:  "-4", EndDateTime:  ", EndDateTimeUTCOffset:  ", ActionDescription:  "Action generated by Excel Template for Specimen v.0.1.0-alpha", ActionFileLink:  "}</t>
  </si>
  <si>
    <t xml:space="preserve">  - &amp;ActionID00206 {ActionTypeCV:  "Specimen collection", MethodObj: *MethodID00007, BeginDateTime:  "2013-04-12 09:00:00", BeginDateTimeUTCOffset:  "-4", EndDateTime:  ", EndDateTimeUTCOffset:  ", ActionDescription:  "Action generated by Excel Template for Specimen v.0.1.0-alpha", ActionFileLink:  "}</t>
  </si>
  <si>
    <t xml:space="preserve">  - &amp;ActionID00207 {ActionTypeCV:  "Specimen collection", MethodObj: *MethodID00007, BeginDateTime:  "2013-04-12 11:00:00", BeginDateTimeUTCOffset:  "-4", EndDateTime:  ", EndDateTimeUTCOffset:  ", ActionDescription:  "Action generated by Excel Template for Specimen v.0.1.0-alpha", ActionFileLink:  "}</t>
  </si>
  <si>
    <t xml:space="preserve">  - &amp;ActionID00208 {ActionTypeCV:  "Specimen collection", MethodObj: *MethodID00007, BeginDateTime:  "2013-04-12 12:00:00", BeginDateTimeUTCOffset:  "-4", EndDateTime:  ", EndDateTimeUTCOffset:  ", ActionDescription:  "Action generated by Excel Template for Specimen v.0.1.0-alpha", ActionFileLink:  "}</t>
  </si>
  <si>
    <t xml:space="preserve">  - &amp;ActionID00209 {ActionTypeCV:  "Specimen collection", MethodObj: *MethodID00007, BeginDateTime:  "2013-04-12 15:00:00", BeginDateTimeUTCOffset:  "-4", EndDateTime:  ", EndDateTimeUTCOffset:  ", ActionDescription:  "Action generated by Excel Template for Specimen v.0.1.0-alpha", ActionFileLink:  "}</t>
  </si>
  <si>
    <t xml:space="preserve">  - &amp;ActionID00210 {ActionTypeCV:  "Specimen collection", MethodObj: *MethodID00007, BeginDateTime:  "2013-04-12 21:00:00", BeginDateTimeUTCOffset:  "-4", EndDateTime:  ", EndDateTimeUTCOffset:  ", ActionDescription:  "Action generated by Excel Template for Specimen v.0.1.0-alpha", ActionFileLink:  "}</t>
  </si>
  <si>
    <t xml:space="preserve">  - &amp;ActionID00211 {ActionTypeCV:  "Specimen collection", MethodObj: *MethodID00007, BeginDateTime:  "2013-04-12 23:00:00", BeginDateTimeUTCOffset:  "-4", EndDateTime:  ", EndDateTimeUTCOffset:  ", ActionDescription:  "Action generated by Excel Template for Specimen v.0.1.0-alpha", ActionFileLink:  "}</t>
  </si>
  <si>
    <t xml:space="preserve">  - &amp;ActionID00212 {ActionTypeCV:  "Specimen collection", MethodObj: *MethodID00007, BeginDateTime:  "2013-04-13 01:00:00", BeginDateTimeUTCOffset:  "-4", EndDateTime:  ", EndDateTimeUTCOffset:  ", ActionDescription:  "Action generated by Excel Template for Specimen v.0.1.0-alpha", ActionFileLink:  "}</t>
  </si>
  <si>
    <t xml:space="preserve">  - &amp;ActionID00213 {ActionTypeCV:  "Specimen collection", MethodObj: *MethodID00007, BeginDateTime:  "2013-04-13 07:00:00", BeginDateTimeUTCOffset:  "-4", EndDateTime:  ", EndDateTimeUTCOffset:  ", ActionDescription:  "Action generated by Excel Template for Specimen v.0.1.0-alpha", ActionFileLink:  "}</t>
  </si>
  <si>
    <t xml:space="preserve">  - &amp;ActionID00214 {ActionTypeCV:  "Specimen collection", MethodObj: *MethodID00007, BeginDateTime:  "2013-04-14 07:00:00", BeginDateTimeUTCOffset:  "-4", EndDateTime:  ", EndDateTimeUTCOffset:  ", ActionDescription:  "Action generated by Excel Template for Specimen v.0.1.0-alpha", ActionFileLink:  "}</t>
  </si>
  <si>
    <t xml:space="preserve">  - &amp;ActionID00215 {ActionTypeCV:  "Specimen collection", MethodObj: *MethodID00006, BeginDateTime:  "2013-05-01 16:56:00", BeginDateTimeUTCOffset:  "-4", EndDateTime:  ", EndDateTimeUTCOffset:  ", ActionDescription:  "Action generated by Excel Template for Specimen v.0.1.0-alpha", ActionFileLink:  "}</t>
  </si>
  <si>
    <t xml:space="preserve">  - &amp;ActionID00216 {ActionTypeCV:  "Specimen collection", MethodObj: *MethodID00006, BeginDateTime:  "2013-05-01 17:25:00", BeginDateTimeUTCOffset:  "-4", EndDateTime:  ", EndDateTimeUTCOffset:  ", ActionDescription:  "Action generated by Excel Template for Specimen v.0.1.0-alpha", ActionFileLink:  "}</t>
  </si>
  <si>
    <t xml:space="preserve">  - &amp;ActionID00217 {ActionTypeCV:  "Specimen collection", MethodObj: *MethodID00006, BeginDateTime:  "2013-05-01 17:48:00", BeginDateTimeUTCOffset:  "-4", EndDateTime:  ", EndDateTimeUTCOffset:  ", ActionDescription:  "Action generated by Excel Template for Specimen v.0.1.0-alpha", ActionFileLink:  "}</t>
  </si>
  <si>
    <t xml:space="preserve">  - &amp;ActionID00218 {ActionTypeCV:  "Specimen collection", MethodObj: *MethodID00006, BeginDateTime:  "2013-06-06 11:03:00", BeginDateTimeUTCOffset:  "-4", EndDateTime:  ", EndDateTimeUTCOffset:  ", ActionDescription:  "Action generated by Excel Template for Specimen v.0.1.0-alpha", ActionFileLink:  "}</t>
  </si>
  <si>
    <t xml:space="preserve">  - &amp;ActionID00219 {ActionTypeCV:  "Specimen collection", MethodObj: *MethodID00006, BeginDateTime:  "2013-06-06 11:25:00", BeginDateTimeUTCOffset:  "-4", EndDateTime:  ", EndDateTimeUTCOffset:  ", ActionDescription:  "Action generated by Excel Template for Specimen v.0.1.0-alpha", ActionFileLink:  "}</t>
  </si>
  <si>
    <t xml:space="preserve">  - &amp;ActionID00220 {ActionTypeCV:  "Specimen collection", MethodObj: *MethodID00006, BeginDateTime:  "2013-06-06 11:56:00", BeginDateTimeUTCOffset:  "-4", EndDateTime:  ", EndDateTimeUTCOffset:  ", ActionDescription:  "Action generated by Excel Template for Specimen v.0.1.0-alpha", ActionFileLink:  "}</t>
  </si>
  <si>
    <t xml:space="preserve">  - &amp;ActionID00221 {ActionTypeCV:  "Specimen collection", MethodObj: *MethodID00007, BeginDateTime:  "2013-06-06 19:00:00", BeginDateTimeUTCOffset:  "-4", EndDateTime:  ", EndDateTimeUTCOffset:  ", ActionDescription:  "Action generated by Excel Template for Specimen v.0.1.0-alpha", ActionFileLink:  "}</t>
  </si>
  <si>
    <t xml:space="preserve">  - &amp;ActionID00222 {ActionTypeCV:  "Specimen collection", MethodObj: *MethodID00007, BeginDateTime:  "2013-06-07 06:00:00", BeginDateTimeUTCOffset:  "-4", EndDateTime:  ", EndDateTimeUTCOffset:  ", ActionDescription:  "Action generated by Excel Template for Specimen v.0.1.0-alpha", ActionFileLink:  "}</t>
  </si>
  <si>
    <t xml:space="preserve">  - &amp;ActionID00223 {ActionTypeCV:  "Specimen collection", MethodObj: *MethodID00007, BeginDateTime:  "2013-06-07 09:00:00", BeginDateTimeUTCOffset:  "-4", EndDateTime:  ", EndDateTimeUTCOffset:  ", ActionDescription:  "Action generated by Excel Template for Specimen v.0.1.0-alpha", ActionFileLink:  "}</t>
  </si>
  <si>
    <t xml:space="preserve">  - &amp;ActionID00224 {ActionTypeCV:  "Specimen collection", MethodObj: *MethodID00007, BeginDateTime:  "2013-06-07 12:00:00", BeginDateTimeUTCOffset:  "-4", EndDateTime:  ", EndDateTimeUTCOffset:  ", ActionDescription:  "Action generated by Excel Template for Specimen v.0.1.0-alpha", ActionFileLink:  "}</t>
  </si>
  <si>
    <t xml:space="preserve">  - &amp;ActionID00225 {ActionTypeCV:  "Specimen collection", MethodObj: *MethodID00007, BeginDateTime:  "2013-06-07 15:00:00", BeginDateTimeUTCOffset:  "-4", EndDateTime:  ", EndDateTimeUTCOffset:  ", ActionDescription:  "Action generated by Excel Template for Specimen v.0.1.0-alpha", ActionFileLink:  "}</t>
  </si>
  <si>
    <t xml:space="preserve">  - &amp;ActionID00226 {ActionTypeCV:  "Specimen collection", MethodObj: *MethodID00007, BeginDateTime:  "2013-06-07 15:00:00", BeginDateTimeUTCOffset:  "-4", EndDateTime:  ", EndDateTimeUTCOffset:  ", ActionDescription:  "Action generated by Excel Template for Specimen v.0.1.0-alpha", ActionFileLink:  "}</t>
  </si>
  <si>
    <t xml:space="preserve">  - &amp;ActionID00227 {ActionTypeCV:  "Specimen collection", MethodObj: *MethodID00007, BeginDateTime:  "2013-06-07 17:00:00", BeginDateTimeUTCOffset:  "-4", EndDateTime:  ", EndDateTimeUTCOffset:  ", ActionDescription:  "Action generated by Excel Template for Specimen v.0.1.0-alpha", ActionFileLink:  "}</t>
  </si>
  <si>
    <t xml:space="preserve">  - &amp;ActionID00228 {ActionTypeCV:  "Specimen collection", MethodObj: *MethodID00007, BeginDateTime:  "2013-06-07 19:00:00", BeginDateTimeUTCOffset:  "-4", EndDateTime:  ", EndDateTimeUTCOffset:  ", ActionDescription:  "Action generated by Excel Template for Specimen v.0.1.0-alpha", ActionFileLink:  "}</t>
  </si>
  <si>
    <t xml:space="preserve">  - &amp;ActionID00229 {ActionTypeCV:  "Specimen collection", MethodObj: *MethodID00007, BeginDateTime:  "2013-06-08 00:00:00", BeginDateTimeUTCOffset:  "-4", EndDateTime:  ", EndDateTimeUTCOffset:  ", ActionDescription:  "Action generated by Excel Template for Specimen v.0.1.0-alpha", ActionFileLink:  "}</t>
  </si>
  <si>
    <t xml:space="preserve">  - &amp;ActionID00230 {ActionTypeCV:  "Specimen collection", MethodObj: *MethodID00007, BeginDateTime:  "2013-06-08 04:00:00", BeginDateTimeUTCOffset:  "-4", EndDateTime:  ", EndDateTimeUTCOffset:  ", ActionDescription:  "Action generated by Excel Template for Specimen v.0.1.0-alpha", ActionFileLink:  "}</t>
  </si>
  <si>
    <t xml:space="preserve">  - &amp;ActionID00231 {ActionTypeCV:  "Specimen collection", MethodObj: *MethodID00007, BeginDateTime:  "2013-06-08 14:00:00", BeginDateTimeUTCOffset:  "-4", EndDateTime:  ", EndDateTimeUTCOffset:  ", ActionDescription:  "Action generated by Excel Template for Specimen v.0.1.0-alpha", ActionFileLink:  "}</t>
  </si>
  <si>
    <t xml:space="preserve">  - &amp;ActionID00232 {ActionTypeCV:  "Specimen collection", MethodObj: *MethodID00007, BeginDateTime:  "2013-06-10 19:00:00", BeginDateTimeUTCOffset:  "-4", EndDateTime:  ", EndDateTimeUTCOffset:  ", ActionDescription:  "Action generated by Excel Template for Specimen v.0.1.0-alpha", ActionFileLink:  "}</t>
  </si>
  <si>
    <t xml:space="preserve">  - &amp;ActionID00233 {ActionTypeCV:  "Specimen collection", MethodObj: *MethodID00007, BeginDateTime:  "2013-06-11 00:00:00", BeginDateTimeUTCOffset:  "-4", EndDateTime:  ", EndDateTimeUTCOffset:  ", ActionDescription:  "Action generated by Excel Template for Specimen v.0.1.0-alpha", ActionFileLink:  "}</t>
  </si>
  <si>
    <t xml:space="preserve">  - &amp;ActionID00234 {ActionTypeCV:  "Specimen collection", MethodObj: *MethodID00007, BeginDateTime:  "2013-06-11 01:00:00", BeginDateTimeUTCOffset:  "-4", EndDateTime:  ", EndDateTimeUTCOffset:  ", ActionDescription:  "Action generated by Excel Template for Specimen v.0.1.0-alpha", ActionFileLink:  "}</t>
  </si>
  <si>
    <t xml:space="preserve">  - &amp;ActionID00235 {ActionTypeCV:  "Specimen collection", MethodObj: *MethodID00006, BeginDateTime:  "2013-07-10 14:35:00", BeginDateTimeUTCOffset:  "-4", EndDateTime:  ", EndDateTimeUTCOffset:  ", ActionDescription:  "Action generated by Excel Template for Specimen v.0.1.0-alpha", ActionFileLink:  "}</t>
  </si>
  <si>
    <t xml:space="preserve">  - &amp;ActionID00236 {ActionTypeCV:  "Specimen collection", MethodObj: *MethodID00006, BeginDateTime:  "2013-07-10 15:25:00", BeginDateTimeUTCOffset:  "-4", EndDateTime:  ", EndDateTimeUTCOffset:  ", ActionDescription:  "Action generated by Excel Template for Specimen v.0.1.0-alpha", ActionFileLink:  "}</t>
  </si>
  <si>
    <t xml:space="preserve">  - &amp;ActionID00237 {ActionTypeCV:  "Specimen collection", MethodObj: *MethodID00006, BeginDateTime:  "2013-07-10 15:43:00", BeginDateTimeUTCOffset:  "-4", EndDateTime:  ", EndDateTimeUTCOffset:  ", ActionDescription:  "Action generated by Excel Template for Specimen v.0.1.0-alpha", ActionFileLink:  "}</t>
  </si>
  <si>
    <t xml:space="preserve">  - &amp;ActionID00238 {ActionTypeCV:  "Specimen collection", MethodObj: *MethodID00006, BeginDateTime:  "2013-08-06 14:52:00", BeginDateTimeUTCOffset:  "-4", EndDateTime:  ", EndDateTimeUTCOffset:  ", ActionDescription:  "Action generated by Excel Template for Specimen v.0.1.0-alpha", ActionFileLink:  "}</t>
  </si>
  <si>
    <t xml:space="preserve">  - &amp;ActionID00239 {ActionTypeCV:  "Specimen collection", MethodObj: *MethodID00006, BeginDateTime:  "2013-08-06 17:00:00", BeginDateTimeUTCOffset:  "-4", EndDateTime:  ", EndDateTimeUTCOffset:  ", ActionDescription:  "Action generated by Excel Template for Specimen v.0.1.0-alpha", ActionFileLink:  "}</t>
  </si>
  <si>
    <t xml:space="preserve">  - &amp;ActionID00240 {ActionTypeCV:  "Specimen collection", MethodObj: *MethodID00006, BeginDateTime:  "2013-08-07 16:11:00", BeginDateTimeUTCOffset:  "-4", EndDateTime:  ", EndDateTimeUTCOffset:  ", ActionDescription:  "Action generated by Excel Template for Specimen v.0.1.0-alpha", ActionFileLink:  "}</t>
  </si>
  <si>
    <t xml:space="preserve">  - &amp;ActionID00241 {ActionTypeCV:  "Specimen collection", MethodObj: *MethodID00006, BeginDateTime:  "2013-08-07 16:36:00", BeginDateTimeUTCOffset:  "-4", EndDateTime:  ", EndDateTimeUTCOffset:  ", ActionDescription:  "Action generated by Excel Template for Specimen v.0.1.0-alpha", ActionFileLink:  "}</t>
  </si>
  <si>
    <t xml:space="preserve">  - &amp;ActionID00242 {ActionTypeCV:  "Specimen collection", MethodObj: *MethodID00006, BeginDateTime:  "2013-08-07 16:56:00", BeginDateTimeUTCOffset:  "-4", EndDateTime:  ", EndDateTimeUTCOffset:  ", ActionDescription:  "Action generated by Excel Template for Specimen v.0.1.0-alpha", ActionFileLink:  "}</t>
  </si>
  <si>
    <t xml:space="preserve">  - &amp;ActionID00243 {ActionTypeCV:  "Specimen collection", MethodObj: *MethodID00006, BeginDateTime:  "2013-09-04 15:50:00", BeginDateTimeUTCOffset:  "-4", EndDateTime:  ", EndDateTimeUTCOffset:  ", ActionDescription:  "Action generated by Excel Template for Specimen v.0.1.0-alpha", ActionFileLink:  "}</t>
  </si>
  <si>
    <t xml:space="preserve">  - &amp;ActionID00244 {ActionTypeCV:  "Specimen collection", MethodObj: *MethodID00006, BeginDateTime:  "2013-09-04 16:23:00", BeginDateTimeUTCOffset:  "-4", EndDateTime:  ", EndDateTimeUTCOffset:  ", ActionDescription:  "Action generated by Excel Template for Specimen v.0.1.0-alpha", ActionFileLink:  "}</t>
  </si>
  <si>
    <t xml:space="preserve">  - &amp;ActionID00245 {ActionTypeCV:  "Specimen collection", MethodObj: *MethodID00006, BeginDateTime:  "2013-09-04 16:49:00", BeginDateTimeUTCOffset:  "-4", EndDateTime:  ", EndDateTimeUTCOffset:  ", ActionDescription:  "Action generated by Excel Template for Specimen v.0.1.0-alpha", ActionFileLink:  "}</t>
  </si>
  <si>
    <t xml:space="preserve">  - &amp;ActionID00246 {ActionTypeCV:  "Specimen collection", MethodObj: *MethodID00006, BeginDateTime:  "2013-10-02 13:44:00", BeginDateTimeUTCOffset:  "-4", EndDateTime:  ", EndDateTimeUTCOffset:  ", ActionDescription:  "Action generated by Excel Template for Specimen v.0.1.0-alpha", ActionFileLink:  "}</t>
  </si>
  <si>
    <t xml:space="preserve">  - &amp;ActionID00247 {ActionTypeCV:  "Specimen collection", MethodObj: *MethodID00006, BeginDateTime:  "2013-10-02 14:05:00", BeginDateTimeUTCOffset:  "-4", EndDateTime:  ", EndDateTimeUTCOffset:  ", ActionDescription:  "Action generated by Excel Template for Specimen v.0.1.0-alpha", ActionFileLink:  "}</t>
  </si>
  <si>
    <t xml:space="preserve">  - &amp;ActionID00248 {ActionTypeCV:  "Specimen collection", MethodObj: *MethodID00006, BeginDateTime:  "2013-10-02 15:25:00", BeginDateTimeUTCOffset:  "-4", EndDateTime:  ", EndDateTimeUTCOffset:  ", ActionDescription:  "Action generated by Excel Template for Specimen v.0.1.0-alpha", ActionFileLink:  "}</t>
  </si>
  <si>
    <t xml:space="preserve">  - &amp;ActionID00249 {ActionTypeCV:  "Specimen collection", MethodObj: *MethodID00007, BeginDateTime:  "2013-10-07 12:00:00", BeginDateTimeUTCOffset:  "-4", EndDateTime:  ", EndDateTimeUTCOffset:  ", ActionDescription:  "Action generated by Excel Template for Specimen v.0.1.0-alpha", ActionFileLink:  "}</t>
  </si>
  <si>
    <t xml:space="preserve">  - &amp;ActionID00250 {ActionTypeCV:  "Specimen collection", MethodObj: *MethodID00007, BeginDateTime:  "2013-10-07 14:00:00", BeginDateTimeUTCOffset:  "-4", EndDateTime:  ", EndDateTimeUTCOffset:  ", ActionDescription:  "Action generated by Excel Template for Specimen v.0.1.0-alpha", ActionFileLink:  "}</t>
  </si>
  <si>
    <t xml:space="preserve">  - &amp;ActionID00251 {ActionTypeCV:  "Specimen collection", MethodObj: *MethodID00007, BeginDateTime:  "2013-10-07 15:00:00", BeginDateTimeUTCOffset:  "-4", EndDateTime:  ", EndDateTimeUTCOffset:  ", ActionDescription:  "Action generated by Excel Template for Specimen v.0.1.0-alpha", ActionFileLink:  "}</t>
  </si>
  <si>
    <t xml:space="preserve">  - &amp;ActionID00252 {ActionTypeCV:  "Specimen collection", MethodObj: *MethodID00007, BeginDateTime:  "2013-10-07 16:00:00", BeginDateTimeUTCOffset:  "-4", EndDateTime:  ", EndDateTimeUTCOffset:  ", ActionDescription:  "Action generated by Excel Template for Specimen v.0.1.0-alpha", ActionFileLink:  "}</t>
  </si>
  <si>
    <t xml:space="preserve">  - &amp;ActionID00253 {ActionTypeCV:  "Specimen collection", MethodObj: *MethodID00007, BeginDateTime:  "2013-10-07 17:00:00", BeginDateTimeUTCOffset:  "-4", EndDateTime:  ", EndDateTimeUTCOffset:  ", ActionDescription:  "Action generated by Excel Template for Specimen v.0.1.0-alpha", ActionFileLink:  "}</t>
  </si>
  <si>
    <t xml:space="preserve">  - &amp;ActionID00254 {ActionTypeCV:  "Specimen collection", MethodObj: *MethodID00007, BeginDateTime:  "2013-10-07 18:00:00", BeginDateTimeUTCOffset:  "-4", EndDateTime:  ", EndDateTimeUTCOffset:  ", ActionDescription:  "Action generated by Excel Template for Specimen v.0.1.0-alpha", ActionFileLink:  "}</t>
  </si>
  <si>
    <t xml:space="preserve">  - &amp;ActionID00255 {ActionTypeCV:  "Specimen collection", MethodObj: *MethodID00007, BeginDateTime:  "2013-10-07 20:00:00", BeginDateTimeUTCOffset:  "-4", EndDateTime:  ", EndDateTimeUTCOffset:  ", ActionDescription:  "Action generated by Excel Template for Specimen v.0.1.0-alpha", ActionFileLink:  "}</t>
  </si>
  <si>
    <t xml:space="preserve">  - &amp;ActionID00256 {ActionTypeCV:  "Specimen collection", MethodObj: *MethodID00007, BeginDateTime:  "2013-10-07 23:00:00", BeginDateTimeUTCOffset:  "-4", EndDateTime:  ", EndDateTimeUTCOffset:  ", ActionDescription:  "Action generated by Excel Template for Specimen v.0.1.0-alpha", ActionFileLink:  "}</t>
  </si>
  <si>
    <t xml:space="preserve">  - &amp;ActionID00257 {ActionTypeCV:  "Specimen collection", MethodObj: *MethodID00007, BeginDateTime:  "2013-10-08 04:00:00", BeginDateTimeUTCOffset:  "-4", EndDateTime:  ", EndDateTimeUTCOffset:  ", ActionDescription:  "Action generated by Excel Template for Specimen v.0.1.0-alpha", ActionFileLink:  "}</t>
  </si>
  <si>
    <t xml:space="preserve">  - &amp;ActionID00258 {ActionTypeCV:  "Specimen collection", MethodObj: *MethodID00007, BeginDateTime:  "2013-10-08 08:00:00", BeginDateTimeUTCOffset:  "-4", EndDateTime:  ", EndDateTimeUTCOffset:  ", ActionDescription:  "Action generated by Excel Template for Specimen v.0.1.0-alpha", ActionFileLink:  "}</t>
  </si>
  <si>
    <t xml:space="preserve">  - &amp;ActionID00259 {ActionTypeCV:  "Specimen collection", MethodObj: *MethodID00007, BeginDateTime:  "2013-10-09 22:00:00", BeginDateTimeUTCOffset:  "-4", EndDateTime:  ", EndDateTimeUTCOffset:  ", ActionDescription:  "Action generated by Excel Template for Specimen v.0.1.0-alpha", ActionFileLink:  "}</t>
  </si>
  <si>
    <t xml:space="preserve">  - &amp;ActionID00260 {ActionTypeCV:  "Specimen collection", MethodObj: *MethodID00007, BeginDateTime:  "2013-10-10 14:00:00", BeginDateTimeUTCOffset:  "-4", EndDateTime:  ", EndDateTimeUTCOffset:  ", ActionDescription:  "Action generated by Excel Template for Specimen v.0.1.0-alpha", ActionFileLink:  "}</t>
  </si>
  <si>
    <t xml:space="preserve">  - &amp;ActionID00261 {ActionTypeCV:  "Specimen collection", MethodObj: *MethodID00007, BeginDateTime:  "2013-10-10 18:00:00", BeginDateTimeUTCOffset:  "-4", EndDateTime:  ", EndDateTimeUTCOffset:  ", ActionDescription:  "Action generated by Excel Template for Specimen v.0.1.0-alpha", ActionFileLink:  "}</t>
  </si>
  <si>
    <t xml:space="preserve">  - &amp;ActionID00262 {ActionTypeCV:  "Specimen collection", MethodObj: *MethodID00007, BeginDateTime:  "2013-10-11 02:00:00", BeginDateTimeUTCOffset:  "-4", EndDateTime:  ", EndDateTimeUTCOffset:  ", ActionDescription:  "Action generated by Excel Template for Specimen v.0.1.0-alpha", ActionFileLink:  "}</t>
  </si>
  <si>
    <t xml:space="preserve">  - &amp;ActionID00263 {ActionTypeCV:  "Specimen collection", MethodObj: *MethodID00007, BeginDateTime:  "2013-10-11 08:00:00", BeginDateTimeUTCOffset:  "-4", EndDateTime:  ", EndDateTimeUTCOffset:  ", ActionDescription:  "Action generated by Excel Template for Specimen v.0.1.0-alpha", ActionFileLink:  "}</t>
  </si>
  <si>
    <t xml:space="preserve">  - &amp;ActionID00264 {ActionTypeCV:  "Specimen collection", MethodObj: *MethodID00007, BeginDateTime:  "2013-10-11 10:00:00", BeginDateTimeUTCOffset:  "-4", EndDateTime:  ", EndDateTimeUTCOffset:  ", ActionDescription:  "Action generated by Excel Template for Specimen v.0.1.0-alpha", ActionFileLink:  "}</t>
  </si>
  <si>
    <t xml:space="preserve">  - &amp;ActionID00265 {ActionTypeCV:  "Specimen collection", MethodObj: *MethodID00007, BeginDateTime:  "2013-10-11 16:00:00", BeginDateTimeUTCOffset:  "-4", EndDateTime:  ", EndDateTimeUTCOffset:  ", ActionDescription:  "Action generated by Excel Template for Specimen v.0.1.0-alpha", ActionFileLink:  "}</t>
  </si>
  <si>
    <t xml:space="preserve">  - &amp;ActionID00266 {ActionTypeCV:  "Specimen collection", MethodObj: *MethodID00007, BeginDateTime:  "2013-10-11 22:00:00", BeginDateTimeUTCOffset:  "-4", EndDateTime:  ", EndDateTimeUTCOffset:  ", ActionDescription:  "Action generated by Excel Template for Specimen v.0.1.0-alpha", ActionFileLink:  "}</t>
  </si>
  <si>
    <t xml:space="preserve">  - &amp;ActionID00267 {ActionTypeCV:  "Specimen collection", MethodObj: *MethodID00007, BeginDateTime:  "2013-10-12 00:00:00", BeginDateTimeUTCOffset:  "-4", EndDateTime:  ", EndDateTimeUTCOffset:  ", ActionDescription:  "Action generated by Excel Template for Specimen v.0.1.0-alpha", ActionFileLink:  "}</t>
  </si>
  <si>
    <t xml:space="preserve">  - &amp;ActionID00268 {ActionTypeCV:  "Specimen collection", MethodObj: *MethodID00007, BeginDateTime:  "2013-10-12 14:00:00", BeginDateTimeUTCOffset:  "-4", EndDateTime:  ", EndDateTimeUTCOffset:  ", ActionDescription:  "Action generated by Excel Template for Specimen v.0.1.0-alpha", ActionFileLink:  "}</t>
  </si>
  <si>
    <t xml:space="preserve">  - &amp;ActionID00269 {ActionTypeCV:  "Specimen collection", MethodObj: *MethodID00007, BeginDateTime:  "2013-10-13 14:00:00", BeginDateTimeUTCOffset:  "-4", EndDateTime:  ", EndDateTimeUTCOffset:  ", ActionDescription:  "Action generated by Excel Template for Specimen v.0.1.0-alpha", ActionFileLink:  "}</t>
  </si>
  <si>
    <t xml:space="preserve">  - &amp;ActionID00270 {ActionTypeCV:  "Specimen collection", MethodObj: *MethodID00006, BeginDateTime:  "2013-10-16 12:15:00", BeginDateTimeUTCOffset:  "-4", EndDateTime:  ", EndDateTimeUTCOffset:  ", ActionDescription:  "Action generated by Excel Template for Specimen v.0.1.0-alpha", ActionFileLink:  "}</t>
  </si>
  <si>
    <t xml:space="preserve">  - &amp;ActionID00271 {ActionTypeCV:  "Specimen collection", MethodObj: *MethodID00006, BeginDateTime:  "2013-10-16 14:00:00", BeginDateTimeUTCOffset:  "-4", EndDateTime:  ", EndDateTimeUTCOffset:  ", ActionDescription:  "Action generated by Excel Template for Specimen v.0.1.0-alpha", ActionFileLink:  "}</t>
  </si>
  <si>
    <t xml:space="preserve">  - &amp;ActionID00272 {ActionTypeCV:  "Specimen collection", MethodObj: *MethodID00006, BeginDateTime:  "2013-11-06 11:30:00", BeginDateTimeUTCOffset:  "-4", EndDateTime:  ", EndDateTimeUTCOffset:  ", ActionDescription:  "Action generated by Excel Template for Specimen v.0.1.0-alpha", ActionFileLink:  "}</t>
  </si>
  <si>
    <t xml:space="preserve">  - &amp;ActionID00273 {ActionTypeCV:  "Specimen collection", MethodObj: *MethodID00006, BeginDateTime:  "2013-11-06 13:25:00", BeginDateTimeUTCOffset:  "-4", EndDateTime:  ", EndDateTimeUTCOffset:  ", ActionDescription:  "Action generated by Excel Template for Specimen v.0.1.0-alpha", ActionFileLink:  "}</t>
  </si>
  <si>
    <t xml:space="preserve">  - &amp;ActionID00274 {ActionTypeCV:  "Specimen collection", MethodObj: *MethodID00006, BeginDateTime:  "2013-11-06 14:09:00", BeginDateTimeUTCOffset:  "-4", EndDateTime:  ", EndDateTimeUTCOffset:  ", ActionDescription:  "Action generated by Excel Template for Specimen v.0.1.0-alpha", ActionFileLink:  "}</t>
  </si>
  <si>
    <t xml:space="preserve">  - &amp;ActionID00275 {ActionTypeCV:  "Specimen collection", MethodObj: *MethodID00006, BeginDateTime:  "2013-12-12 10:11:00", BeginDateTimeUTCOffset:  "-5", EndDateTime:  ", EndDateTimeUTCOffset:  ", ActionDescription:  "Action generated by Excel Template for Specimen v.0.1.0-alpha", ActionFileLink:  "}</t>
  </si>
  <si>
    <t xml:space="preserve">  - &amp;ActionID00276 {ActionTypeCV:  "Specimen collection", MethodObj: *MethodID00006, BeginDateTime:  "2013-12-12 13:40:00", BeginDateTimeUTCOffset:  "-5", EndDateTime:  ", EndDateTimeUTCOffset:  ", ActionDescription:  "Action generated by Excel Template for Specimen v.0.1.0-alpha", ActionFileLink:  "}</t>
  </si>
  <si>
    <t xml:space="preserve">  - &amp;ActionID00277 {ActionTypeCV:  "Specimen collection", MethodObj: *MethodID00006, BeginDateTime:  "2013-12-12 14:10:00", BeginDateTimeUTCOffset:  "-5", EndDateTime:  ", EndDateTimeUTCOffset:  ", ActionDescription:  "Action generated by Excel Template for Specimen v.0.1.0-alpha", ActionFileLink:  "}</t>
  </si>
  <si>
    <t xml:space="preserve">  - {ActionObj:  *ActionID00001, AffiliationObj:  *AffiliationID00001, IsActionLead: TRUE, RoleDescription: "}</t>
  </si>
  <si>
    <t xml:space="preserve">  - {ActionObj:  *ActionID00002, AffiliationObj:  *AffiliationID00001, IsActionLead: TRUE, RoleDescription: "}</t>
  </si>
  <si>
    <t xml:space="preserve">  - {ActionObj:  *ActionID00003, AffiliationObj:  *AffiliationID00001, IsActionLead: TRUE, RoleDescription: "}</t>
  </si>
  <si>
    <t xml:space="preserve">  - {ActionObj:  *ActionID00004, AffiliationObj:  *AffiliationID00001, IsActionLead: TRUE, RoleDescription: "}</t>
  </si>
  <si>
    <t xml:space="preserve">  - {ActionObj:  *ActionID00005, AffiliationObj:  *AffiliationID00001, IsActionLead: TRUE, RoleDescription: "}</t>
  </si>
  <si>
    <t xml:space="preserve">  - {ActionObj:  *ActionID00006, AffiliationObj:  *AffiliationID00001, IsActionLead: TRUE, RoleDescription: "}</t>
  </si>
  <si>
    <t xml:space="preserve">  - {ActionObj:  *ActionID00007, AffiliationObj:  *AffiliationID00002, IsActionLead: TRUE, RoleDescription: "}</t>
  </si>
  <si>
    <t xml:space="preserve">  - {ActionObj:  *ActionID00008, AffiliationObj:  *AffiliationID00002, IsActionLead: TRUE, RoleDescription: "}</t>
  </si>
  <si>
    <t xml:space="preserve">  - {ActionObj:  *ActionID00009, AffiliationObj:  *AffiliationID00002, IsActionLead: TRUE, RoleDescription: "}</t>
  </si>
  <si>
    <t xml:space="preserve">  - {ActionObj:  *ActionID00010, AffiliationObj:  *AffiliationID00002, IsActionLead: TRUE, RoleDescription: "}</t>
  </si>
  <si>
    <t xml:space="preserve">  - {ActionObj:  *ActionID00011, AffiliationObj:  *AffiliationID00002, IsActionLead: TRUE, RoleDescription: "}</t>
  </si>
  <si>
    <t xml:space="preserve">  - {ActionObj:  *ActionID00012, AffiliationObj:  *AffiliationID00002, IsActionLead: TRUE, RoleDescription: "}</t>
  </si>
  <si>
    <t xml:space="preserve">  - {ActionObj:  *ActionID00013, AffiliationObj:  *AffiliationID00002, IsActionLead: TRUE, RoleDescription: "}</t>
  </si>
  <si>
    <t xml:space="preserve">  - {ActionObj:  *ActionID00014, AffiliationObj:  *AffiliationID00002, IsActionLead: TRUE, RoleDescription: "}</t>
  </si>
  <si>
    <t xml:space="preserve">  - {ActionObj:  *ActionID00015, AffiliationObj:  *AffiliationID00002, IsActionLead: TRUE, RoleDescription: "}</t>
  </si>
  <si>
    <t xml:space="preserve">  - {ActionObj:  *ActionID00016, AffiliationObj:  *AffiliationID00002, IsActionLead: TRUE, RoleDescription: "}</t>
  </si>
  <si>
    <t xml:space="preserve">  - {ActionObj:  *ActionID00017, AffiliationObj:  *AffiliationID00001, IsActionLead: TRUE, RoleDescription: "}</t>
  </si>
  <si>
    <t xml:space="preserve">  - {ActionObj:  *ActionID00018, AffiliationObj:  *AffiliationID00002, IsActionLead: TRUE, RoleDescription: "}</t>
  </si>
  <si>
    <t xml:space="preserve">  - {ActionObj:  *ActionID00019, AffiliationObj:  *AffiliationID00002, IsActionLead: TRUE, RoleDescription: "}</t>
  </si>
  <si>
    <t xml:space="preserve">  - {ActionObj:  *ActionID00020, AffiliationObj:  *AffiliationID00002, IsActionLead: TRUE, RoleDescription: "}</t>
  </si>
  <si>
    <t xml:space="preserve">  - {ActionObj:  *ActionID00021, AffiliationObj:  *AffiliationID00002, IsActionLead: TRUE, RoleDescription: "}</t>
  </si>
  <si>
    <t xml:space="preserve">  - {ActionObj:  *ActionID00022, AffiliationObj:  *AffiliationID00002, IsActionLead: TRUE, RoleDescription: "}</t>
  </si>
  <si>
    <t xml:space="preserve">  - {ActionObj:  *ActionID00023, AffiliationObj:  *AffiliationID00002, IsActionLead: TRUE, RoleDescription: "}</t>
  </si>
  <si>
    <t xml:space="preserve">  - {ActionObj:  *ActionID00024, AffiliationObj:  *AffiliationID00002, IsActionLead: TRUE, RoleDescription: "}</t>
  </si>
  <si>
    <t xml:space="preserve">  - {ActionObj:  *ActionID00025, AffiliationObj:  *AffiliationID00002, IsActionLead: TRUE, RoleDescription: "}</t>
  </si>
  <si>
    <t xml:space="preserve">  - {ActionObj:  *ActionID00026, AffiliationObj:  *AffiliationID00002, IsActionLead: TRUE, RoleDescription: "}</t>
  </si>
  <si>
    <t xml:space="preserve">  - {ActionObj:  *ActionID00027, AffiliationObj:  *AffiliationID00002, IsActionLead: TRUE, RoleDescription: "}</t>
  </si>
  <si>
    <t xml:space="preserve">  - {ActionObj:  *ActionID00028, AffiliationObj:  *AffiliationID00002, IsActionLead: TRUE, RoleDescription: "}</t>
  </si>
  <si>
    <t xml:space="preserve">  - {ActionObj:  *ActionID00029, AffiliationObj:  *AffiliationID00002, IsActionLead: TRUE, RoleDescription: "}</t>
  </si>
  <si>
    <t xml:space="preserve">  - {ActionObj:  *ActionID00030, AffiliationObj:  *AffiliationID00001, IsActionLead: TRUE, RoleDescription: "}</t>
  </si>
  <si>
    <t xml:space="preserve">  - {ActionObj:  *ActionID00031, AffiliationObj:  *AffiliationID00001, IsActionLead: TRUE, RoleDescription: "}</t>
  </si>
  <si>
    <t xml:space="preserve">  - {ActionObj:  *ActionID00032, AffiliationObj:  *AffiliationID00001, IsActionLead: TRUE, RoleDescription: "}</t>
  </si>
  <si>
    <t xml:space="preserve">  - {ActionObj:  *ActionID00033, AffiliationObj:  *AffiliationID00001, IsActionLead: TRUE, RoleDescription: "}</t>
  </si>
  <si>
    <t xml:space="preserve">  - {ActionObj:  *ActionID00034, AffiliationObj:  *AffiliationID00001, IsActionLead: TRUE, RoleDescription: "}</t>
  </si>
  <si>
    <t xml:space="preserve">  - {ActionObj:  *ActionID00035, AffiliationObj:  *AffiliationID00002, IsActionLead: TRUE, RoleDescription: "}</t>
  </si>
  <si>
    <t xml:space="preserve">  - {ActionObj:  *ActionID00036, AffiliationObj:  *AffiliationID00002, IsActionLead: TRUE, RoleDescription: "}</t>
  </si>
  <si>
    <t xml:space="preserve">  - {ActionObj:  *ActionID00037, AffiliationObj:  *AffiliationID00002, IsActionLead: TRUE, RoleDescription: "}</t>
  </si>
  <si>
    <t xml:space="preserve">  - {ActionObj:  *ActionID00038, AffiliationObj:  *AffiliationID00002, IsActionLead: TRUE, RoleDescription: "}</t>
  </si>
  <si>
    <t xml:space="preserve">  - {ActionObj:  *ActionID00039, AffiliationObj:  *AffiliationID00002, IsActionLead: TRUE, RoleDescription: "}</t>
  </si>
  <si>
    <t xml:space="preserve">  - {ActionObj:  *ActionID00040, AffiliationObj:  *AffiliationID00002, IsActionLead: TRUE, RoleDescription: "}</t>
  </si>
  <si>
    <t xml:space="preserve">  - {ActionObj:  *ActionID00041, AffiliationObj:  *AffiliationID00002, IsActionLead: TRUE, RoleDescription: "}</t>
  </si>
  <si>
    <t xml:space="preserve">  - {ActionObj:  *ActionID00042, AffiliationObj:  *AffiliationID00002, IsActionLead: TRUE, RoleDescription: "}</t>
  </si>
  <si>
    <t xml:space="preserve">  - {ActionObj:  *ActionID00043, AffiliationObj:  *AffiliationID00002, IsActionLead: TRUE, RoleDescription: "}</t>
  </si>
  <si>
    <t xml:space="preserve">  - {ActionObj:  *ActionID00044, AffiliationObj:  *AffiliationID00002, IsActionLead: TRUE, RoleDescription: "}</t>
  </si>
  <si>
    <t xml:space="preserve">  - {ActionObj:  *ActionID00045, AffiliationObj:  *AffiliationID00002, IsActionLead: TRUE, RoleDescription: "}</t>
  </si>
  <si>
    <t xml:space="preserve">  - {ActionObj:  *ActionID00046, AffiliationObj:  *AffiliationID00002, IsActionLead: TRUE, RoleDescription: "}</t>
  </si>
  <si>
    <t xml:space="preserve">  - {ActionObj:  *ActionID00047, AffiliationObj:  *AffiliationID00002, IsActionLead: TRUE, RoleDescription: "}</t>
  </si>
  <si>
    <t xml:space="preserve">  - {ActionObj:  *ActionID00048, AffiliationObj:  *AffiliationID00001, IsActionLead: TRUE, RoleDescription: "}</t>
  </si>
  <si>
    <t xml:space="preserve">  - {ActionObj:  *ActionID00049, AffiliationObj:  *AffiliationID00001, IsActionLead: TRUE, RoleDescription: "}</t>
  </si>
  <si>
    <t xml:space="preserve">  - {ActionObj:  *ActionID00050, AffiliationObj:  *AffiliationID00001, IsActionLead: TRUE, RoleDescription: "}</t>
  </si>
  <si>
    <t xml:space="preserve">  - {ActionObj:  *ActionID00051, AffiliationObj:  *AffiliationID00003, IsActionLead: TRUE, RoleDescription: "}</t>
  </si>
  <si>
    <t xml:space="preserve">  - {ActionObj:  *ActionID00052, AffiliationObj:  *AffiliationID00003, IsActionLead: TRUE, RoleDescription: "}</t>
  </si>
  <si>
    <t xml:space="preserve">  - {ActionObj:  *ActionID00053, AffiliationObj:  *AffiliationID00001, IsActionLead: TRUE, RoleDescription: "}</t>
  </si>
  <si>
    <t xml:space="preserve">  - {ActionObj:  *ActionID00054, AffiliationObj:  *AffiliationID00001, IsActionLead: TRUE, RoleDescription: "}</t>
  </si>
  <si>
    <t xml:space="preserve">  - {ActionObj:  *ActionID00055, AffiliationObj:  *AffiliationID00001, IsActionLead: TRUE, RoleDescription: "}</t>
  </si>
  <si>
    <t xml:space="preserve">  - {ActionObj:  *ActionID00056, AffiliationObj:  *AffiliationID00001, IsActionLead: TRUE, RoleDescription: "}</t>
  </si>
  <si>
    <t xml:space="preserve">  - {ActionObj:  *ActionID00057, AffiliationObj:  *AffiliationID00001, IsActionLead: TRUE, RoleDescription: "}</t>
  </si>
  <si>
    <t xml:space="preserve">  - {ActionObj:  *ActionID00058, AffiliationObj:  *AffiliationID00001, IsActionLead: TRUE, RoleDescription: "}</t>
  </si>
  <si>
    <t xml:space="preserve">  - {ActionObj:  *ActionID00059, AffiliationObj:  *AffiliationID00001, IsActionLead: TRUE, RoleDescription: "}</t>
  </si>
  <si>
    <t xml:space="preserve">  - {ActionObj:  *ActionID00060, AffiliationObj:  *AffiliationID00001, IsActionLead: TRUE, RoleDescription: "}</t>
  </si>
  <si>
    <t xml:space="preserve">  - {ActionObj:  *ActionID00061, AffiliationObj:  *AffiliationID00001, IsActionLead: TRUE, RoleDescription: "}</t>
  </si>
  <si>
    <t xml:space="preserve">  - {ActionObj:  *ActionID00062, AffiliationObj:  *AffiliationID00001, IsActionLead: TRUE, RoleDescription: "}</t>
  </si>
  <si>
    <t xml:space="preserve">  - {ActionObj:  *ActionID00063, AffiliationObj:  *AffiliationID00001, IsActionLead: TRUE, RoleDescription: "}</t>
  </si>
  <si>
    <t xml:space="preserve">  - {ActionObj:  *ActionID00064, AffiliationObj:  *AffiliationID00001, IsActionLead: TRUE, RoleDescription: "}</t>
  </si>
  <si>
    <t xml:space="preserve">  - {ActionObj:  *ActionID00065, AffiliationObj:  *AffiliationID00001, IsActionLead: TRUE, RoleDescription: "}</t>
  </si>
  <si>
    <t xml:space="preserve">  - {ActionObj:  *ActionID00066, AffiliationObj:  *AffiliationID00001, IsActionLead: TRUE, RoleDescription: "}</t>
  </si>
  <si>
    <t xml:space="preserve">  - {ActionObj:  *ActionID00067, AffiliationObj:  *AffiliationID00001, IsActionLead: TRUE, RoleDescription: "}</t>
  </si>
  <si>
    <t xml:space="preserve">  - {ActionObj:  *ActionID00068, AffiliationObj:  *AffiliationID00001, IsActionLead: TRUE, RoleDescription: "}</t>
  </si>
  <si>
    <t xml:space="preserve">  - {ActionObj:  *ActionID00069, AffiliationObj:  *AffiliationID00001, IsActionLead: TRUE, RoleDescription: "}</t>
  </si>
  <si>
    <t xml:space="preserve">  - {ActionObj:  *ActionID00070, AffiliationObj:  *AffiliationID00001, IsActionLead: TRUE, RoleDescription: "}</t>
  </si>
  <si>
    <t xml:space="preserve">  - {ActionObj:  *ActionID00071, AffiliationObj:  *AffiliationID00001, IsActionLead: TRUE, RoleDescription: "}</t>
  </si>
  <si>
    <t xml:space="preserve">  - {ActionObj:  *ActionID00072, AffiliationObj:  *AffiliationID00001, IsActionLead: TRUE, RoleDescription: "}</t>
  </si>
  <si>
    <t xml:space="preserve">  - {ActionObj:  *ActionID00073, AffiliationObj:  *AffiliationID00001, IsActionLead: TRUE, RoleDescription: "}</t>
  </si>
  <si>
    <t xml:space="preserve">  - {ActionObj:  *ActionID00074, AffiliationObj:  *AffiliationID00001, IsActionLead: TRUE, RoleDescription: "}</t>
  </si>
  <si>
    <t xml:space="preserve">  - {ActionObj:  *ActionID00075, AffiliationObj:  *AffiliationID00001, IsActionLead: TRUE, RoleDescription: "}</t>
  </si>
  <si>
    <t xml:space="preserve">  - {ActionObj:  *ActionID00076, AffiliationObj:  *AffiliationID00001, IsActionLead: TRUE, RoleDescription: "}</t>
  </si>
  <si>
    <t xml:space="preserve">  - {ActionObj:  *ActionID00077, AffiliationObj:  *AffiliationID00001, IsActionLead: TRUE, RoleDescription: "}</t>
  </si>
  <si>
    <t xml:space="preserve">  - {ActionObj:  *ActionID00078, AffiliationObj:  *AffiliationID00001, IsActionLead: TRUE, RoleDescription: "}</t>
  </si>
  <si>
    <t xml:space="preserve">  - {ActionObj:  *ActionID00079, AffiliationObj:  *AffiliationID00001, IsActionLead: TRUE, RoleDescription: "}</t>
  </si>
  <si>
    <t xml:space="preserve">  - {ActionObj:  *ActionID00080, AffiliationObj:  *AffiliationID00001, IsActionLead: TRUE, RoleDescription: "}</t>
  </si>
  <si>
    <t xml:space="preserve">  - {ActionObj:  *ActionID00081, AffiliationObj:  *AffiliationID00003, IsActionLead: TRUE, RoleDescription: "}</t>
  </si>
  <si>
    <t xml:space="preserve">  - {ActionObj:  *ActionID00082, AffiliationObj:  *AffiliationID00001, IsActionLead: TRUE, RoleDescription: "}</t>
  </si>
  <si>
    <t xml:space="preserve">  - {ActionObj:  *ActionID00083, AffiliationObj:  *AffiliationID00001, IsActionLead: TRUE, RoleDescription: "}</t>
  </si>
  <si>
    <t xml:space="preserve">  - {ActionObj:  *ActionID00084, AffiliationObj:  *AffiliationID00001, IsActionLead: TRUE, RoleDescription: "}</t>
  </si>
  <si>
    <t xml:space="preserve">  - {ActionObj:  *ActionID00085, AffiliationObj:  *AffiliationID00001, IsActionLead: TRUE, RoleDescription: "}</t>
  </si>
  <si>
    <t xml:space="preserve">  - {ActionObj:  *ActionID00086, AffiliationObj:  *AffiliationID00001, IsActionLead: TRUE, RoleDescription: "}</t>
  </si>
  <si>
    <t xml:space="preserve">  - {ActionObj:  *ActionID00087, AffiliationObj:  *AffiliationID00001, IsActionLead: TRUE, RoleDescription: "}</t>
  </si>
  <si>
    <t xml:space="preserve">  - {ActionObj:  *ActionID00088, AffiliationObj:  *AffiliationID00001, IsActionLead: TRUE, RoleDescription: "}</t>
  </si>
  <si>
    <t xml:space="preserve">  - {ActionObj:  *ActionID00089, AffiliationObj:  *AffiliationID00001, IsActionLead: TRUE, RoleDescription: "}</t>
  </si>
  <si>
    <t xml:space="preserve">  - {ActionObj:  *ActionID00090, AffiliationObj:  *AffiliationID00001, IsActionLead: TRUE, RoleDescription: "}</t>
  </si>
  <si>
    <t xml:space="preserve">  - {ActionObj:  *ActionID00091, AffiliationObj:  *AffiliationID00001, IsActionLead: TRUE, RoleDescription: "}</t>
  </si>
  <si>
    <t xml:space="preserve">  - {ActionObj:  *ActionID00092, AffiliationObj:  *AffiliationID00001, IsActionLead: TRUE, RoleDescription: "}</t>
  </si>
  <si>
    <t xml:space="preserve">  - {ActionObj:  *ActionID00093, AffiliationObj:  *AffiliationID00001, IsActionLead: TRUE, RoleDescription: "}</t>
  </si>
  <si>
    <t xml:space="preserve">  - {ActionObj:  *ActionID00094, AffiliationObj:  *AffiliationID00001, IsActionLead: TRUE, RoleDescription: "}</t>
  </si>
  <si>
    <t xml:space="preserve">  - {ActionObj:  *ActionID00095, AffiliationObj:  *AffiliationID00001, IsActionLead: TRUE, RoleDescription: "}</t>
  </si>
  <si>
    <t xml:space="preserve">  - {ActionObj:  *ActionID00096, AffiliationObj:  *AffiliationID00001, IsActionLead: TRUE, RoleDescription: "}</t>
  </si>
  <si>
    <t xml:space="preserve">  - {ActionObj:  *ActionID00097, AffiliationObj:  *AffiliationID00001, IsActionLead: TRUE, RoleDescription: "}</t>
  </si>
  <si>
    <t xml:space="preserve">  - {ActionObj:  *ActionID00098, AffiliationObj:  *AffiliationID00001, IsActionLead: TRUE, RoleDescription: "}</t>
  </si>
  <si>
    <t xml:space="preserve">  - {ActionObj:  *ActionID00099, AffiliationObj:  *AffiliationID00001, IsActionLead: TRUE, RoleDescription: "}</t>
  </si>
  <si>
    <t xml:space="preserve">  - {ActionObj:  *ActionID00100, AffiliationObj:  *AffiliationID00001, IsActionLead: TRUE, RoleDescription: "}</t>
  </si>
  <si>
    <t xml:space="preserve">  - {ActionObj:  *ActionID00101, AffiliationObj:  *AffiliationID00001, IsActionLead: TRUE, RoleDescription: "}</t>
  </si>
  <si>
    <t xml:space="preserve">  - {ActionObj:  *ActionID00102, AffiliationObj:  *AffiliationID00001, IsActionLead: TRUE, RoleDescription: "}</t>
  </si>
  <si>
    <t xml:space="preserve">  - {ActionObj:  *ActionID00103, AffiliationObj:  *AffiliationID00004, IsActionLead: TRUE, RoleDescription: "}</t>
  </si>
  <si>
    <t xml:space="preserve">  - {ActionObj:  *ActionID00104, AffiliationObj:  *AffiliationID00002, IsActionLead: TRUE, RoleDescription: "}</t>
  </si>
  <si>
    <t xml:space="preserve">  - {ActionObj:  *ActionID00105, AffiliationObj:  *AffiliationID00004, IsActionLead: TRUE, RoleDescription: "}</t>
  </si>
  <si>
    <t xml:space="preserve">  - {ActionObj:  *ActionID00106, AffiliationObj:  *AffiliationID00002, IsActionLead: TRUE, RoleDescription: "}</t>
  </si>
  <si>
    <t xml:space="preserve">  - {ActionObj:  *ActionID00107, AffiliationObj:  *AffiliationID00002, IsActionLead: TRUE, RoleDescription: "}</t>
  </si>
  <si>
    <t xml:space="preserve">  - {ActionObj:  *ActionID00108, AffiliationObj:  *AffiliationID00004, IsActionLead: TRUE, RoleDescription: "}</t>
  </si>
  <si>
    <t xml:space="preserve">  - {ActionObj:  *ActionID00109, AffiliationObj:  *AffiliationID00002, IsActionLead: TRUE, RoleDescription: "}</t>
  </si>
  <si>
    <t xml:space="preserve">  - {ActionObj:  *ActionID00110, AffiliationObj:  *AffiliationID00004, IsActionLead: TRUE, RoleDescription: "}</t>
  </si>
  <si>
    <t xml:space="preserve">  - {ActionObj:  *ActionID00111, AffiliationObj:  *AffiliationID00002, IsActionLead: TRUE, RoleDescription: "}</t>
  </si>
  <si>
    <t xml:space="preserve">  - {ActionObj:  *ActionID00112, AffiliationObj:  *AffiliationID00002, IsActionLead: TRUE, RoleDescription: "}</t>
  </si>
  <si>
    <t xml:space="preserve">  - {ActionObj:  *ActionID00113, AffiliationObj:  *AffiliationID00002, IsActionLead: TRUE, RoleDescription: "}</t>
  </si>
  <si>
    <t xml:space="preserve">  - {ActionObj:  *ActionID00114, AffiliationObj:  *AffiliationID00002, IsActionLead: TRUE, RoleDescription: "}</t>
  </si>
  <si>
    <t xml:space="preserve">  - {ActionObj:  *ActionID00115, AffiliationObj:  *AffiliationID00004, IsActionLead: TRUE, RoleDescription: "}</t>
  </si>
  <si>
    <t xml:space="preserve">  - {ActionObj:  *ActionID00116, AffiliationObj:  *AffiliationID00001, IsActionLead: TRUE, RoleDescription: "}</t>
  </si>
  <si>
    <t xml:space="preserve">  - {ActionObj:  *ActionID00117, AffiliationObj:  *AffiliationID00004, IsActionLead: TRUE, RoleDescription: "}</t>
  </si>
  <si>
    <t xml:space="preserve">  - {ActionObj:  *ActionID00118, AffiliationObj:  *AffiliationID00001, IsActionLead: TRUE, RoleDescription: "}</t>
  </si>
  <si>
    <t xml:space="preserve">  - {ActionObj:  *ActionID00119, AffiliationObj:  *AffiliationID00001, IsActionLead: TRUE, RoleDescription: "}</t>
  </si>
  <si>
    <t xml:space="preserve">  - {ActionObj:  *ActionID00120, AffiliationObj:  *AffiliationID00001, IsActionLead: TRUE, RoleDescription: "}</t>
  </si>
  <si>
    <t xml:space="preserve">  - {ActionObj:  *ActionID00121, AffiliationObj:  *AffiliationID00001, IsActionLead: TRUE, RoleDescription: "}</t>
  </si>
  <si>
    <t xml:space="preserve">  - {ActionObj:  *ActionID00122, AffiliationObj:  *AffiliationID00001, IsActionLead: TRUE, RoleDescription: "}</t>
  </si>
  <si>
    <t xml:space="preserve">  - {ActionObj:  *ActionID00123, AffiliationObj:  *AffiliationID00001, IsActionLead: TRUE, RoleDescription: "}</t>
  </si>
  <si>
    <t xml:space="preserve">  - {ActionObj:  *ActionID00124, AffiliationObj:  *AffiliationID00004, IsActionLead: TRUE, RoleDescription: "}</t>
  </si>
  <si>
    <t xml:space="preserve">  - {ActionObj:  *ActionID00125, AffiliationObj:  *AffiliationID00004, IsActionLead: TRUE, RoleDescription: "}</t>
  </si>
  <si>
    <t xml:space="preserve">  - {ActionObj:  *ActionID00126, AffiliationObj:  *AffiliationID00004, IsActionLead: TRUE, RoleDescription: "}</t>
  </si>
  <si>
    <t xml:space="preserve">  - {ActionObj:  *ActionID00127, AffiliationObj:  *AffiliationID00001, IsActionLead: TRUE, RoleDescription: "}</t>
  </si>
  <si>
    <t xml:space="preserve">  - {ActionObj:  *ActionID00128, AffiliationObj:  *AffiliationID00001, IsActionLead: TRUE, RoleDescription: "}</t>
  </si>
  <si>
    <t xml:space="preserve">  - {ActionObj:  *ActionID00129, AffiliationObj:  *AffiliationID00001, IsActionLead: TRUE, RoleDescription: "}</t>
  </si>
  <si>
    <t xml:space="preserve">  - {ActionObj:  *ActionID00130, AffiliationObj:  *AffiliationID00001, IsActionLead: TRUE, RoleDescription: "}</t>
  </si>
  <si>
    <t xml:space="preserve">  - {ActionObj:  *ActionID00131, AffiliationObj:  *AffiliationID00001, IsActionLead: TRUE, RoleDescription: "}</t>
  </si>
  <si>
    <t xml:space="preserve">  - {ActionObj:  *ActionID00132, AffiliationObj:  *AffiliationID00001, IsActionLead: TRUE, RoleDescription: "}</t>
  </si>
  <si>
    <t xml:space="preserve">  - {ActionObj:  *ActionID00133, AffiliationObj:  *AffiliationID00001, IsActionLead: TRUE, RoleDescription: "}</t>
  </si>
  <si>
    <t xml:space="preserve">  - {ActionObj:  *ActionID00134, AffiliationObj:  *AffiliationID00001, IsActionLead: TRUE, RoleDescription: "}</t>
  </si>
  <si>
    <t xml:space="preserve">  - {ActionObj:  *ActionID00135, AffiliationObj:  *AffiliationID00004, IsActionLead: TRUE, RoleDescription: "}</t>
  </si>
  <si>
    <t xml:space="preserve">  - {ActionObj:  *ActionID00136, AffiliationObj:  *AffiliationID00004, IsActionLead: TRUE, RoleDescription: "}</t>
  </si>
  <si>
    <t xml:space="preserve">  - {ActionObj:  *ActionID00137, AffiliationObj:  *AffiliationID00004, IsActionLead: TRUE, RoleDescription: "}</t>
  </si>
  <si>
    <t xml:space="preserve">  - {ActionObj:  *ActionID00138, AffiliationObj:  *AffiliationID00004, IsActionLead: TRUE, RoleDescription: "}</t>
  </si>
  <si>
    <t xml:space="preserve">  - {ActionObj:  *ActionID00139, AffiliationObj:  *AffiliationID00004, IsActionLead: TRUE, RoleDescription: "}</t>
  </si>
  <si>
    <t xml:space="preserve">  - {ActionObj:  *ActionID00140, AffiliationObj:  *AffiliationID00004, IsActionLead: TRUE, RoleDescription: "}</t>
  </si>
  <si>
    <t xml:space="preserve">  - {ActionObj:  *ActionID00141, AffiliationObj:  *AffiliationID00004, IsActionLead: TRUE, RoleDescription: "}</t>
  </si>
  <si>
    <t xml:space="preserve">  - {ActionObj:  *ActionID00142, AffiliationObj:  *AffiliationID00004, IsActionLead: TRUE, RoleDescription: "}</t>
  </si>
  <si>
    <t xml:space="preserve">  - {ActionObj:  *ActionID00143, AffiliationObj:  *AffiliationID00004, IsActionLead: TRUE, RoleDescription: "}</t>
  </si>
  <si>
    <t xml:space="preserve">  - {ActionObj:  *ActionID00144, AffiliationObj:  *AffiliationID00004, IsActionLead: TRUE, RoleDescription: "}</t>
  </si>
  <si>
    <t xml:space="preserve">  - {ActionObj:  *ActionID00145, AffiliationObj:  *AffiliationID00001, IsActionLead: TRUE, RoleDescription: "}</t>
  </si>
  <si>
    <t xml:space="preserve">  - {ActionObj:  *ActionID00146, AffiliationObj:  *AffiliationID00001, IsActionLead: TRUE, RoleDescription: "}</t>
  </si>
  <si>
    <t xml:space="preserve">  - {ActionObj:  *ActionID00147, AffiliationObj:  *AffiliationID00001, IsActionLead: TRUE, RoleDescription: "}</t>
  </si>
  <si>
    <t xml:space="preserve">  - {ActionObj:  *ActionID00148, AffiliationObj:  *AffiliationID00001, IsActionLead: TRUE, RoleDescription: "}</t>
  </si>
  <si>
    <t xml:space="preserve">  - {ActionObj:  *ActionID00149, AffiliationObj:  *AffiliationID00001, IsActionLead: TRUE, RoleDescription: "}</t>
  </si>
  <si>
    <t xml:space="preserve">  - {ActionObj:  *ActionID00150, AffiliationObj:  *AffiliationID00001, IsActionLead: TRUE, RoleDescription: "}</t>
  </si>
  <si>
    <t xml:space="preserve">  - {ActionObj:  *ActionID00151, AffiliationObj:  *AffiliationID00001, IsActionLead: TRUE, RoleDescription: "}</t>
  </si>
  <si>
    <t xml:space="preserve">  - {ActionObj:  *ActionID00152, AffiliationObj:  *AffiliationID00001, IsActionLead: TRUE, RoleDescription: "}</t>
  </si>
  <si>
    <t xml:space="preserve">  - {ActionObj:  *ActionID00153, AffiliationObj:  *AffiliationID00001, IsActionLead: TRUE, RoleDescription: "}</t>
  </si>
  <si>
    <t xml:space="preserve">  - {ActionObj:  *ActionID00154, AffiliationObj:  *AffiliationID00001, IsActionLead: TRUE, RoleDescription: "}</t>
  </si>
  <si>
    <t xml:space="preserve">  - {ActionObj:  *ActionID00155, AffiliationObj:  *AffiliationID00001, IsActionLead: TRUE, RoleDescription: "}</t>
  </si>
  <si>
    <t xml:space="preserve">  - {ActionObj:  *ActionID00156, AffiliationObj:  *AffiliationID00001, IsActionLead: TRUE, RoleDescription: "}</t>
  </si>
  <si>
    <t xml:space="preserve">  - {ActionObj:  *ActionID00157, AffiliationObj:  *AffiliationID00001, IsActionLead: TRUE, RoleDescription: "}</t>
  </si>
  <si>
    <t xml:space="preserve">  - {ActionObj:  *ActionID00158, AffiliationObj:  *AffiliationID00001, IsActionLead: TRUE, RoleDescription: "}</t>
  </si>
  <si>
    <t xml:space="preserve">  - {ActionObj:  *ActionID00159, AffiliationObj:  *AffiliationID00001, IsActionLead: TRUE, RoleDescription: "}</t>
  </si>
  <si>
    <t xml:space="preserve">  - {ActionObj:  *ActionID00160, AffiliationObj:  *AffiliationID00001, IsActionLead: TRUE, RoleDescription: "}</t>
  </si>
  <si>
    <t xml:space="preserve">  - {ActionObj:  *ActionID00161, AffiliationObj:  *AffiliationID00001, IsActionLead: TRUE, RoleDescription: "}</t>
  </si>
  <si>
    <t xml:space="preserve">  - {ActionObj:  *ActionID00162, AffiliationObj:  *AffiliationID00001, IsActionLead: TRUE, RoleDescription: "}</t>
  </si>
  <si>
    <t xml:space="preserve">  - {ActionObj:  *ActionID00163, AffiliationObj:  *AffiliationID00002, IsActionLead: TRUE, RoleDescription: "}</t>
  </si>
  <si>
    <t xml:space="preserve">  - {ActionObj:  *ActionID00164, AffiliationObj:  *AffiliationID00002, IsActionLead: TRUE, RoleDescription: "}</t>
  </si>
  <si>
    <t xml:space="preserve">  - {ActionObj:  *ActionID00165, AffiliationObj:  *AffiliationID00002, IsActionLead: TRUE, RoleDescription: "}</t>
  </si>
  <si>
    <t xml:space="preserve">  - {ActionObj:  *ActionID00166, AffiliationObj:  *AffiliationID00002, IsActionLead: TRUE, RoleDescription: "}</t>
  </si>
  <si>
    <t xml:space="preserve">  - {ActionObj:  *ActionID00167, AffiliationObj:  *AffiliationID00002, IsActionLead: TRUE, RoleDescription: "}</t>
  </si>
  <si>
    <t xml:space="preserve">  - {ActionObj:  *ActionID00168, AffiliationObj:  *AffiliationID00002, IsActionLead: TRUE, RoleDescription: "}</t>
  </si>
  <si>
    <t xml:space="preserve">  - {ActionObj:  *ActionID00169, AffiliationObj:  *AffiliationID00002, IsActionLead: TRUE, RoleDescription: "}</t>
  </si>
  <si>
    <t xml:space="preserve">  - {ActionObj:  *ActionID00170, AffiliationObj:  *AffiliationID00002, IsActionLead: TRUE, RoleDescription: "}</t>
  </si>
  <si>
    <t xml:space="preserve">  - {ActionObj:  *ActionID00171, AffiliationObj:  *AffiliationID00002, IsActionLead: TRUE, RoleDescription: "}</t>
  </si>
  <si>
    <t xml:space="preserve">  - {ActionObj:  *ActionID00172, AffiliationObj:  *AffiliationID00002, IsActionLead: TRUE, RoleDescription: "}</t>
  </si>
  <si>
    <t xml:space="preserve">  - {ActionObj:  *ActionID00173, AffiliationObj:  *AffiliationID00002, IsActionLead: TRUE, RoleDescription: "}</t>
  </si>
  <si>
    <t xml:space="preserve">  - {ActionObj:  *ActionID00174, AffiliationObj:  *AffiliationID00002, IsActionLead: TRUE, RoleDescription: "}</t>
  </si>
  <si>
    <t xml:space="preserve">  - {ActionObj:  *ActionID00175, AffiliationObj:  *AffiliationID00001, IsActionLead: TRUE, RoleDescription: "}</t>
  </si>
  <si>
    <t xml:space="preserve">  - {ActionObj:  *ActionID00176, AffiliationObj:  *AffiliationID00001, IsActionLead: TRUE, RoleDescription: "}</t>
  </si>
  <si>
    <t xml:space="preserve">  - {ActionObj:  *ActionID00177, AffiliationObj:  *AffiliationID00001, IsActionLead: TRUE, RoleDescription: "}</t>
  </si>
  <si>
    <t xml:space="preserve">  - {ActionObj:  *ActionID00178, AffiliationObj:  *AffiliationID00001, IsActionLead: TRUE, RoleDescription: "}</t>
  </si>
  <si>
    <t xml:space="preserve">  - {ActionObj:  *ActionID00179, AffiliationObj:  *AffiliationID00006, IsActionLead: TRUE, RoleDescription: "}</t>
  </si>
  <si>
    <t xml:space="preserve">  - {ActionObj:  *ActionID00180, AffiliationObj:  *AffiliationID00001, IsActionLead: TRUE, RoleDescription: "}</t>
  </si>
  <si>
    <t xml:space="preserve">  - {ActionObj:  *ActionID00181, AffiliationObj:  *AffiliationID00001, IsActionLead: TRUE, RoleDescription: "}</t>
  </si>
  <si>
    <t xml:space="preserve">  - {ActionObj:  *ActionID00182, AffiliationObj:  *AffiliationID00001, IsActionLead: TRUE, RoleDescription: "}</t>
  </si>
  <si>
    <t xml:space="preserve">  - {ActionObj:  *ActionID00183, AffiliationObj:  *AffiliationID00001, IsActionLead: TRUE, RoleDescription: "}</t>
  </si>
  <si>
    <t xml:space="preserve">  - {ActionObj:  *ActionID00184, AffiliationObj:  *AffiliationID00001, IsActionLead: TRUE, RoleDescription: "}</t>
  </si>
  <si>
    <t xml:space="preserve">  - {ActionObj:  *ActionID00185, AffiliationObj:  *AffiliationID00001, IsActionLead: TRUE, RoleDescription: "}</t>
  </si>
  <si>
    <t xml:space="preserve">  - {ActionObj:  *ActionID00186, AffiliationObj:  *AffiliationID00001, IsActionLead: TRUE, RoleDescription: "}</t>
  </si>
  <si>
    <t xml:space="preserve">  - {ActionObj:  *ActionID00187, AffiliationObj:  *AffiliationID00001, IsActionLead: TRUE, RoleDescription: "}</t>
  </si>
  <si>
    <t xml:space="preserve">  - {ActionObj:  *ActionID00188, AffiliationObj:  *AffiliationID00001, IsActionLead: TRUE, RoleDescription: "}</t>
  </si>
  <si>
    <t xml:space="preserve">  - {ActionObj:  *ActionID00189, AffiliationObj:  *AffiliationID00001, IsActionLead: TRUE, RoleDescription: "}</t>
  </si>
  <si>
    <t xml:space="preserve">  - {ActionObj:  *ActionID00190, AffiliationObj:  *AffiliationID00001, IsActionLead: TRUE, RoleDescription: "}</t>
  </si>
  <si>
    <t xml:space="preserve">  - {ActionObj:  *ActionID00191, AffiliationObj:  *AffiliationID00001, IsActionLead: TRUE, RoleDescription: "}</t>
  </si>
  <si>
    <t xml:space="preserve">  - {ActionObj:  *ActionID00192, AffiliationObj:  *AffiliationID00001, IsActionLead: TRUE, RoleDescription: "}</t>
  </si>
  <si>
    <t xml:space="preserve">  - {ActionObj:  *ActionID00193, AffiliationObj:  *AffiliationID00001, IsActionLead: TRUE, RoleDescription: "}</t>
  </si>
  <si>
    <t xml:space="preserve">  - {ActionObj:  *ActionID00194, AffiliationObj:  *AffiliationID00001, IsActionLead: TRUE, RoleDescription: "}</t>
  </si>
  <si>
    <t xml:space="preserve">  - {ActionObj:  *ActionID00195, AffiliationObj:  *AffiliationID00006, IsActionLead: TRUE, RoleDescription: "}</t>
  </si>
  <si>
    <t xml:space="preserve">  - {ActionObj:  *ActionID00196, AffiliationObj:  *AffiliationID00001, IsActionLead: TRUE, RoleDescription: "}</t>
  </si>
  <si>
    <t xml:space="preserve">  - {ActionObj:  *ActionID00197, AffiliationObj:  *AffiliationID00001, IsActionLead: TRUE, RoleDescription: "}</t>
  </si>
  <si>
    <t xml:space="preserve">  - {ActionObj:  *ActionID00198, AffiliationObj:  *AffiliationID00001, IsActionLead: TRUE, RoleDescription: "}</t>
  </si>
  <si>
    <t xml:space="preserve">  - {ActionObj:  *ActionID00199, AffiliationObj:  *AffiliationID00001, IsActionLead: TRUE, RoleDescription: "}</t>
  </si>
  <si>
    <t xml:space="preserve">  - {ActionObj:  *ActionID00200, AffiliationObj:  *AffiliationID00001, IsActionLead: TRUE, RoleDescription: "}</t>
  </si>
  <si>
    <t xml:space="preserve">  - {ActionObj:  *ActionID00201, AffiliationObj:  *AffiliationID00001, IsActionLead: TRUE, RoleDescription: "}</t>
  </si>
  <si>
    <t xml:space="preserve">  - {ActionObj:  *ActionID00202, AffiliationObj:  *AffiliationID00001, IsActionLead: TRUE, RoleDescription: "}</t>
  </si>
  <si>
    <t xml:space="preserve">  - {ActionObj:  *ActionID00203, AffiliationObj:  *AffiliationID00001, IsActionLead: TRUE, RoleDescription: "}</t>
  </si>
  <si>
    <t xml:space="preserve">  - {ActionObj:  *ActionID00204, AffiliationObj:  *AffiliationID00001, IsActionLead: TRUE, RoleDescription: "}</t>
  </si>
  <si>
    <t xml:space="preserve">  - {ActionObj:  *ActionID00205, AffiliationObj:  *AffiliationID00005, IsActionLead: TRUE, RoleDescription: "}</t>
  </si>
  <si>
    <t xml:space="preserve">  - {ActionObj:  *ActionID00206, AffiliationObj:  *AffiliationID00005, IsActionLead: TRUE, RoleDescription: "}</t>
  </si>
  <si>
    <t xml:space="preserve">  - {ActionObj:  *ActionID00207, AffiliationObj:  *AffiliationID00005, IsActionLead: TRUE, RoleDescription: "}</t>
  </si>
  <si>
    <t xml:space="preserve">  - {ActionObj:  *ActionID00208, AffiliationObj:  *AffiliationID00005, IsActionLead: TRUE, RoleDescription: "}</t>
  </si>
  <si>
    <t xml:space="preserve">  - {ActionObj:  *ActionID00209, AffiliationObj:  *AffiliationID00005, IsActionLead: TRUE, RoleDescription: "}</t>
  </si>
  <si>
    <t xml:space="preserve">  - {ActionObj:  *ActionID00210, AffiliationObj:  *AffiliationID00005, IsActionLead: TRUE, RoleDescription: "}</t>
  </si>
  <si>
    <t xml:space="preserve">  - {ActionObj:  *ActionID00211, AffiliationObj:  *AffiliationID00005, IsActionLead: TRUE, RoleDescription: "}</t>
  </si>
  <si>
    <t xml:space="preserve">  - {ActionObj:  *ActionID00212, AffiliationObj:  *AffiliationID00005, IsActionLead: TRUE, RoleDescription: "}</t>
  </si>
  <si>
    <t xml:space="preserve">  - {ActionObj:  *ActionID00213, AffiliationObj:  *AffiliationID00005, IsActionLead: TRUE, RoleDescription: "}</t>
  </si>
  <si>
    <t xml:space="preserve">  - {ActionObj:  *ActionID00214, AffiliationObj:  *AffiliationID00005, IsActionLead: TRUE, RoleDescription: "}</t>
  </si>
  <si>
    <t xml:space="preserve">  - {ActionObj:  *ActionID00215, AffiliationObj:  *AffiliationID00001, IsActionLead: TRUE, RoleDescription: "}</t>
  </si>
  <si>
    <t xml:space="preserve">  - {ActionObj:  *ActionID00216, AffiliationObj:  *AffiliationID00001, IsActionLead: TRUE, RoleDescription: "}</t>
  </si>
  <si>
    <t xml:space="preserve">  - {ActionObj:  *ActionID00217, AffiliationObj:  *AffiliationID00001, IsActionLead: TRUE, RoleDescription: "}</t>
  </si>
  <si>
    <t xml:space="preserve">  - {ActionObj:  *ActionID00218, AffiliationObj:  *AffiliationID00001, IsActionLead: TRUE, RoleDescription: "}</t>
  </si>
  <si>
    <t xml:space="preserve">  - {ActionObj:  *ActionID00219, AffiliationObj:  *AffiliationID00001, IsActionLead: TRUE, RoleDescription: "}</t>
  </si>
  <si>
    <t xml:space="preserve">  - {ActionObj:  *ActionID00220, AffiliationObj:  *AffiliationID00001, IsActionLead: TRUE, RoleDescription: "}</t>
  </si>
  <si>
    <t xml:space="preserve">  - {ActionObj:  *ActionID00221, AffiliationObj:  *AffiliationID00002, IsActionLead: TRUE, RoleDescription: "}</t>
  </si>
  <si>
    <t xml:space="preserve">  - {ActionObj:  *ActionID00222, AffiliationObj:  *AffiliationID00002, IsActionLead: TRUE, RoleDescription: "}</t>
  </si>
  <si>
    <t xml:space="preserve">  - {ActionObj:  *ActionID00223, AffiliationObj:  *AffiliationID00002, IsActionLead: TRUE, RoleDescription: "}</t>
  </si>
  <si>
    <t xml:space="preserve">  - {ActionObj:  *ActionID00224, AffiliationObj:  *AffiliationID00002, IsActionLead: TRUE, RoleDescription: "}</t>
  </si>
  <si>
    <t xml:space="preserve">  - {ActionObj:  *ActionID00225, AffiliationObj:  *AffiliationID00002, IsActionLead: TRUE, RoleDescription: "}</t>
  </si>
  <si>
    <t xml:space="preserve">  - {ActionObj:  *ActionID00226, AffiliationObj:  *AffiliationID00002, IsActionLead: TRUE, RoleDescription: "}</t>
  </si>
  <si>
    <t xml:space="preserve">  - {ActionObj:  *ActionID00227, AffiliationObj:  *AffiliationID00002, IsActionLead: TRUE, RoleDescription: "}</t>
  </si>
  <si>
    <t xml:space="preserve">  - {ActionObj:  *ActionID00228, AffiliationObj:  *AffiliationID00002, IsActionLead: TRUE, RoleDescription: "}</t>
  </si>
  <si>
    <t xml:space="preserve">  - {ActionObj:  *ActionID00229, AffiliationObj:  *AffiliationID00002, IsActionLead: TRUE, RoleDescription: "}</t>
  </si>
  <si>
    <t xml:space="preserve">  - {ActionObj:  *ActionID00230, AffiliationObj:  *AffiliationID00002, IsActionLead: TRUE, RoleDescription: "}</t>
  </si>
  <si>
    <t xml:space="preserve">  - {ActionObj:  *ActionID00231, AffiliationObj:  *AffiliationID00002, IsActionLead: TRUE, RoleDescription: "}</t>
  </si>
  <si>
    <t xml:space="preserve">  - {ActionObj:  *ActionID00232, AffiliationObj:  *AffiliationID00005, IsActionLead: TRUE, RoleDescription: "}</t>
  </si>
  <si>
    <t xml:space="preserve">  - {ActionObj:  *ActionID00233, AffiliationObj:  *AffiliationID00005, IsActionLead: TRUE, RoleDescription: "}</t>
  </si>
  <si>
    <t xml:space="preserve">  - {ActionObj:  *ActionID00234, AffiliationObj:  *AffiliationID00005, IsActionLead: TRUE, RoleDescription: "}</t>
  </si>
  <si>
    <t xml:space="preserve">  - {ActionObj:  *ActionID00235, AffiliationObj:  *AffiliationID00001, IsActionLead: TRUE, RoleDescription: "}</t>
  </si>
  <si>
    <t xml:space="preserve">  - {ActionObj:  *ActionID00236, AffiliationObj:  *AffiliationID00001, IsActionLead: TRUE, RoleDescription: "}</t>
  </si>
  <si>
    <t xml:space="preserve">  - {ActionObj:  *ActionID00237, AffiliationObj:  *AffiliationID00001, IsActionLead: TRUE, RoleDescription: "}</t>
  </si>
  <si>
    <t xml:space="preserve">  - {ActionObj:  *ActionID00238, AffiliationObj:  *AffiliationID00006, IsActionLead: TRUE, RoleDescription: "}</t>
  </si>
  <si>
    <t xml:space="preserve">  - {ActionObj:  *ActionID00239, AffiliationObj:  *AffiliationID00001, IsActionLead: TRUE, RoleDescription: "}</t>
  </si>
  <si>
    <t xml:space="preserve">  - {ActionObj:  *ActionID00240, AffiliationObj:  *AffiliationID00001, IsActionLead: TRUE, RoleDescription: "}</t>
  </si>
  <si>
    <t xml:space="preserve">  - {ActionObj:  *ActionID00241, AffiliationObj:  *AffiliationID00001, IsActionLead: TRUE, RoleDescription: "}</t>
  </si>
  <si>
    <t xml:space="preserve">  - {ActionObj:  *ActionID00242, AffiliationObj:  *AffiliationID00001, IsActionLead: TRUE, RoleDescription: "}</t>
  </si>
  <si>
    <t xml:space="preserve">  - {ActionObj:  *ActionID00243, AffiliationObj:  *AffiliationID00001, IsActionLead: TRUE, RoleDescription: "}</t>
  </si>
  <si>
    <t xml:space="preserve">  - {ActionObj:  *ActionID00244, AffiliationObj:  *AffiliationID00001, IsActionLead: TRUE, RoleDescription: "}</t>
  </si>
  <si>
    <t xml:space="preserve">  - {ActionObj:  *ActionID00245, AffiliationObj:  *AffiliationID00001, IsActionLead: TRUE, RoleDescription: "}</t>
  </si>
  <si>
    <t xml:space="preserve">  - {ActionObj:  *ActionID00246, AffiliationObj:  *AffiliationID00001, IsActionLead: TRUE, RoleDescription: "}</t>
  </si>
  <si>
    <t xml:space="preserve">  - {ActionObj:  *ActionID00247, AffiliationObj:  *AffiliationID00001, IsActionLead: TRUE, RoleDescription: "}</t>
  </si>
  <si>
    <t xml:space="preserve">  - {ActionObj:  *ActionID00248, AffiliationObj:  *AffiliationID00006, IsActionLead: TRUE, RoleDescription: "}</t>
  </si>
  <si>
    <t xml:space="preserve">  - {ActionObj:  *ActionID00249, AffiliationObj:  *AffiliationID00005, IsActionLead: TRUE, RoleDescription: "}</t>
  </si>
  <si>
    <t xml:space="preserve">  - {ActionObj:  *ActionID00250, AffiliationObj:  *AffiliationID00005, IsActionLead: TRUE, RoleDescription: "}</t>
  </si>
  <si>
    <t xml:space="preserve">  - {ActionObj:  *ActionID00251, AffiliationObj:  *AffiliationID00005, IsActionLead: TRUE, RoleDescription: "}</t>
  </si>
  <si>
    <t xml:space="preserve">  - {ActionObj:  *ActionID00252, AffiliationObj:  *AffiliationID00005, IsActionLead: TRUE, RoleDescription: "}</t>
  </si>
  <si>
    <t xml:space="preserve">  - {ActionObj:  *ActionID00253, AffiliationObj:  *AffiliationID00005, IsActionLead: TRUE, RoleDescription: "}</t>
  </si>
  <si>
    <t xml:space="preserve">  - {ActionObj:  *ActionID00254, AffiliationObj:  *AffiliationID00005, IsActionLead: TRUE, RoleDescription: "}</t>
  </si>
  <si>
    <t xml:space="preserve">  - {ActionObj:  *ActionID00255, AffiliationObj:  *AffiliationID00005, IsActionLead: TRUE, RoleDescription: "}</t>
  </si>
  <si>
    <t xml:space="preserve">  - {ActionObj:  *ActionID00256, AffiliationObj:  *AffiliationID00005, IsActionLead: TRUE, RoleDescription: "}</t>
  </si>
  <si>
    <t xml:space="preserve">  - {ActionObj:  *ActionID00257, AffiliationObj:  *AffiliationID00005, IsActionLead: TRUE, RoleDescription: "}</t>
  </si>
  <si>
    <t xml:space="preserve">  - {ActionObj:  *ActionID00258, AffiliationObj:  *AffiliationID00005, IsActionLead: TRUE, RoleDescription: "}</t>
  </si>
  <si>
    <t xml:space="preserve">  - {ActionObj:  *ActionID00259, AffiliationObj:  *AffiliationID00005, IsActionLead: TRUE, RoleDescription: "}</t>
  </si>
  <si>
    <t xml:space="preserve">  - {ActionObj:  *ActionID00260, AffiliationObj:  *AffiliationID00005, IsActionLead: TRUE, RoleDescription: "}</t>
  </si>
  <si>
    <t xml:space="preserve">  - {ActionObj:  *ActionID00261, AffiliationObj:  *AffiliationID00005, IsActionLead: TRUE, RoleDescription: "}</t>
  </si>
  <si>
    <t xml:space="preserve">  - {ActionObj:  *ActionID00262, AffiliationObj:  *AffiliationID00005, IsActionLead: TRUE, RoleDescription: "}</t>
  </si>
  <si>
    <t xml:space="preserve">  - {ActionObj:  *ActionID00263, AffiliationObj:  *AffiliationID00005, IsActionLead: TRUE, RoleDescription: "}</t>
  </si>
  <si>
    <t xml:space="preserve">  - {ActionObj:  *ActionID00264, AffiliationObj:  *AffiliationID00005, IsActionLead: TRUE, RoleDescription: "}</t>
  </si>
  <si>
    <t xml:space="preserve">  - {ActionObj:  *ActionID00265, AffiliationObj:  *AffiliationID00005, IsActionLead: TRUE, RoleDescription: "}</t>
  </si>
  <si>
    <t xml:space="preserve">  - {ActionObj:  *ActionID00266, AffiliationObj:  *AffiliationID00005, IsActionLead: TRUE, RoleDescription: "}</t>
  </si>
  <si>
    <t xml:space="preserve">  - {ActionObj:  *ActionID00267, AffiliationObj:  *AffiliationID00005, IsActionLead: TRUE, RoleDescription: "}</t>
  </si>
  <si>
    <t xml:space="preserve">  - {ActionObj:  *ActionID00268, AffiliationObj:  *AffiliationID00005, IsActionLead: TRUE, RoleDescription: "}</t>
  </si>
  <si>
    <t xml:space="preserve">  - {ActionObj:  *ActionID00269, AffiliationObj:  *AffiliationID00005, IsActionLead: TRUE, RoleDescription: "}</t>
  </si>
  <si>
    <t xml:space="preserve">  - {ActionObj:  *ActionID00270, AffiliationObj:  *AffiliationID00006, IsActionLead: TRUE, RoleDescription: "}</t>
  </si>
  <si>
    <t xml:space="preserve">  - {ActionObj:  *ActionID00271, AffiliationObj:  *AffiliationID00006, IsActionLead: TRUE, RoleDescription: "}</t>
  </si>
  <si>
    <t xml:space="preserve">  - {ActionObj:  *ActionID00272, AffiliationObj:  *AffiliationID00006, IsActionLead: TRUE, RoleDescription: "}</t>
  </si>
  <si>
    <t xml:space="preserve">  - {ActionObj:  *ActionID00273, AffiliationObj:  *AffiliationID00006, IsActionLead: TRUE, RoleDescription: "}</t>
  </si>
  <si>
    <t xml:space="preserve">  - {ActionObj:  *ActionID00274, AffiliationObj:  *AffiliationID00006, IsActionLead: TRUE, RoleDescription: "}</t>
  </si>
  <si>
    <t xml:space="preserve">  - {ActionObj:  *ActionID00275, AffiliationObj:  *AffiliationID00006, IsActionLead: TRUE, RoleDescription: "}</t>
  </si>
  <si>
    <t xml:space="preserve">  - {ActionObj:  *ActionID00276, AffiliationObj:  *AffiliationID00006, IsActionLead: TRUE, RoleDescription: "}</t>
  </si>
  <si>
    <t xml:space="preserve">  - {ActionObj:  *ActionID00277, AffiliationObj:  *AffiliationID00006, IsActionLead: TRUE, RoleDescription: "}</t>
  </si>
  <si>
    <t xml:space="preserve">  - &amp;MeasurementResultID00278 {ResultObj: *ResultID00278,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</si>
  <si>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&amp;MeasurementResultID00279 {ResultObj: *ResultID00279,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</si>
  <si>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&amp;MeasurementResultID00280 {ResultObj: *ResultID00280,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</si>
  <si>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&amp;MeasurementResultID00281 {ResultObj: *ResultID00281,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</si>
  <si>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&amp;MeasurementResultID00282 {ResultObj: *ResultID00282,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</si>
  <si>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&amp;MeasurementResultID00283 {ResultObj: *ResultID00283,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</si>
  <si>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&amp;MeasurementResultID00284 {ResultObj: *ResultID00284,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</si>
  <si>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&amp;MeasurementResultID00285 {ResultObj: *ResultID00285,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</si>
  <si>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&amp;MeasurementResultID00286 {ResultObj: *ResultID00286,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</si>
  <si>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&amp;MeasurementResultID00287 {ResultObj: *ResultID00287,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</si>
  <si>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&amp;MeasurementResultID00288 {ResultObj: *ResultID00288,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</si>
  <si>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&amp;MeasurementResultID00289 {ResultObj: *ResultID00289,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</si>
  <si>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&amp;MeasurementResultID00290 {ResultObj: *ResultID00290,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</si>
  <si>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&amp;MeasurementResultID00291 {ResultObj: *ResultID00291,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</si>
  <si>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&amp;MeasurementResultID00292 {ResultObj: *ResultID00292,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</si>
  <si>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&amp;MeasurementResultID00293 {ResultObj: *ResultID00293,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</si>
  <si>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&amp;MeasurementResultID00294 {ResultObj: *ResultID00294,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</si>
  <si>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&amp;MeasurementResultID00295 {ResultObj: *ResultID00295,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</si>
  <si>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&amp;MeasurementResultID00296 {ResultObj: *ResultID00296,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</si>
  <si>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&amp;MeasurementResultID00297 {ResultObj: *ResultID00297,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</si>
  <si>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&amp;MeasurementResultID00298 {ResultObj: *ResultID00298,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</si>
  <si>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&amp;MeasurementResultID00299 {ResultObj: *ResultID00299,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</si>
  <si>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&amp;MeasurementResultID00300 {ResultObj: *ResultID00300,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</si>
  <si>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&amp;MeasurementResultID00301 {ResultObj: *ResultID00301,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</si>
  <si>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&amp;MeasurementResultID00302 {ResultObj: *ResultID00302,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</si>
  <si>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&amp;MeasurementResultID00303 {ResultObj: *ResultID00303,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</si>
  <si>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&amp;MeasurementResultID00304 {ResultObj: *ResultID00304,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</si>
  <si>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&amp;MeasurementResultID00305 {ResultObj: *ResultID00305,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</si>
  <si>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&amp;MeasurementResultID00306 {ResultObj: *ResultID00306,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</si>
  <si>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&amp;MeasurementResultID00307 {ResultObj: *ResultID00307,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</si>
  <si>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&amp;MeasurementResultID00308 {ResultObj: *ResultID00308,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</si>
  <si>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&amp;MeasurementResultID00309 {ResultObj: *ResultID00309,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</si>
  <si>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&amp;MeasurementResultID00310 {ResultObj: *ResultID00310,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</si>
  <si>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&amp;MeasurementResultID00311 {ResultObj: *ResultID00311,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</si>
  <si>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&amp;MeasurementResultID00312 {ResultObj: *ResultID00312,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</si>
  <si>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&amp;MeasurementResultID00313 {ResultObj: *ResultID00313,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</si>
  <si>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&amp;MeasurementResultID00314 {ResultObj: *ResultID00314,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</si>
  <si>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&amp;MeasurementResultID00315 {ResultObj: *ResultID00315,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</si>
  <si>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&amp;MeasurementResultID00316 {ResultObj: *ResultID00316,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</si>
  <si>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&amp;MeasurementResultID00317 {ResultObj: *ResultID00317,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</si>
  <si>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&amp;MeasurementResultID00318 {ResultObj: *ResultID00318,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</si>
  <si>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&amp;MeasurementResultID00319 {ResultObj: *ResultID00319,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</si>
  <si>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&amp;MeasurementResultID00320 {ResultObj: *ResultID00320,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</si>
  <si>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&amp;MeasurementResultID00321 {ResultObj: *ResultID00321,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</si>
  <si>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&amp;MeasurementResultID00322 {ResultObj: *ResultID00322,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</si>
  <si>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&amp;MeasurementResultID00323 {ResultObj: *ResultID00323,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</si>
  <si>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&amp;MeasurementResultID00324 {ResultObj: *ResultID00324,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</si>
  <si>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&amp;MeasurementResultID00325 {ResultObj: *ResultID00325,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</si>
  <si>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&amp;MeasurementResultID00326 {ResultObj: *ResultID00326,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</si>
  <si>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&amp;MeasurementResultID00327 {ResultObj: *ResultID00327,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</si>
  <si>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&amp;MeasurementResultID00328 {ResultObj: *ResultID00328,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</si>
  <si>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&amp;MeasurementResultID00329 {ResultObj: *ResultID00329,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</si>
  <si>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&amp;MeasurementResultID00330 {ResultObj: *ResultID00330,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</si>
  <si>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&amp;MeasurementResultID00331 {ResultObj: *ResultID00331,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</si>
  <si>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&amp;MeasurementResultID00332 {ResultObj: *ResultID00332,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</si>
  <si>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&amp;MeasurementResultID00333 {ResultObj: *ResultID00333,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</si>
  <si>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&amp;MeasurementResultID00334 {ResultObj: *ResultID00334,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</si>
  <si>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&amp;MeasurementResultID00335 {ResultObj: *ResultID00335,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</si>
  <si>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&amp;MeasurementResultID00336 {ResultObj: *ResultID00336,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</si>
  <si>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&amp;MeasurementResultID00337 {ResultObj: *ResultID00337,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</si>
  <si>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&amp;MeasurementResultID00338 {ResultObj: *ResultID00338,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</si>
  <si>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&amp;MeasurementResultID00339 {ResultObj: *ResultID00339,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</si>
  <si>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&amp;MeasurementResultID00340 {ResultObj: *ResultID00340,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</si>
  <si>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&amp;MeasurementResultID00341 {ResultObj: *ResultID00341,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</si>
  <si>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&amp;MeasurementResultID00342 {ResultObj: *ResultID00342,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</si>
  <si>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&amp;MeasurementResultID00343 {ResultObj: *ResultID00343,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</si>
  <si>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&amp;MeasurementResultID00344 {ResultObj: *ResultID00344,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</si>
  <si>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&amp;MeasurementResultID00345 {ResultObj: *ResultID00345,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</si>
  <si>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&amp;MeasurementResultID00346 {ResultObj: *ResultID00346,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</si>
  <si>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&amp;MeasurementResultID00347 {ResultObj: *ResultID00347,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</si>
  <si>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&amp;MeasurementResultID00348 {ResultObj: *ResultID00348,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</si>
  <si>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&amp;MeasurementResultID00349 {ResultObj: *ResultID00349,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</si>
  <si>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&amp;MeasurementResultID00350 {ResultObj: *ResultID00350,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</si>
  <si>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&amp;MeasurementResultID00351 {ResultObj: *ResultID00351,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</si>
  <si>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&amp;MeasurementResultID00352 {ResultObj: *ResultID00352,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</si>
  <si>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&amp;MeasurementResultID00353 {ResultObj: *ResultID00353,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</si>
  <si>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&amp;MeasurementResultID00354 {ResultObj: *ResultID00354,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</si>
  <si>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&amp;MeasurementResultID00355 {ResultObj: *ResultID00355,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</si>
  <si>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&amp;MeasurementResultID00356 {ResultObj: *ResultID00356,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</si>
  <si>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&amp;MeasurementResultID00357 {ResultObj: *ResultID00357,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</si>
  <si>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&amp;MeasurementResultID00358 {ResultObj: *ResultID00358,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</si>
  <si>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&amp;MeasurementResultID00359 {ResultObj: *ResultID00359,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</si>
  <si>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&amp;MeasurementResultID00360 {ResultObj: *ResultID00360,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</si>
  <si>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&amp;MeasurementResultID00361 {ResultObj: *ResultID00361,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</si>
  <si>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&amp;MeasurementResultID00362 {ResultObj: *ResultID00362,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</si>
  <si>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&amp;MeasurementResultID00363 {ResultObj: *ResultID00363,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</si>
  <si>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&amp;MeasurementResultID00364 {ResultObj: *ResultID00364,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</si>
  <si>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&amp;MeasurementResultID00365 {ResultObj: *ResultID00365,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</si>
  <si>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&amp;MeasurementResultID00366 {ResultObj: *ResultID00366,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</si>
  <si>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&amp;MeasurementResultID00367 {ResultObj: *ResultID00367,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</si>
  <si>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&amp;MeasurementResultID00368 {ResultObj: *ResultID00368,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</si>
  <si>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&amp;MeasurementResultID00369 {ResultObj: *ResultID00369,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</si>
  <si>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&amp;MeasurementResultID00370 {ResultObj: *ResultID00370,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</si>
  <si>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&amp;MeasurementResultID00371 {ResultObj: *ResultID00371,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</si>
  <si>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&amp;MeasurementResultID00372 {ResultObj: *ResultID00372,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</si>
  <si>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&amp;MeasurementResultID00373 {ResultObj: *ResultID00373,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</si>
  <si>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&amp;MeasurementResultID00374 {ResultObj: *ResultID00374,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</si>
  <si>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&amp;MeasurementResultID00375 {ResultObj: *ResultID00375,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</si>
  <si>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&amp;MeasurementResultID00376 {ResultObj: *ResultID00376,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</si>
  <si>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&amp;MeasurementResultID00377 {ResultObj: *ResultID00377,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</si>
  <si>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&amp;MeasurementResultID00378 {ResultObj: *ResultID00378,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</si>
  <si>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&amp;MeasurementResultID00379 {ResultObj: *ResultID00379,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</si>
  <si>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&amp;MeasurementResultID00380 {ResultObj: *ResultID00380,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</si>
  <si>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&amp;MeasurementResultID00381 {ResultObj: *ResultID00381,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</si>
  <si>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&amp;MeasurementResultID00382 {ResultObj: *ResultID00382,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</si>
  <si>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&amp;MeasurementResultID00383 {ResultObj: *ResultID00383,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</si>
  <si>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&amp;MeasurementResultID00384 {ResultObj: *ResultID00384,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</si>
  <si>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&amp;MeasurementResultID00385 {ResultObj: *ResultID00385,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</si>
  <si>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&amp;MeasurementResultID00386 {ResultObj: *ResultID00386,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</si>
  <si>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&amp;MeasurementResultID00387 {ResultObj: *ResultID00387,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</si>
  <si>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&amp;MeasurementResultID00388 {ResultObj: *ResultID00388,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</si>
  <si>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&amp;MeasurementResultID00389 {ResultObj: *ResultID00389,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</si>
  <si>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&amp;MeasurementResultID00390 {ResultObj: *ResultID00390,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</si>
  <si>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&amp;MeasurementResultID00391 {ResultObj: *ResultID00391,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</si>
  <si>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&amp;MeasurementResultID00392 {ResultObj: *ResultID00392,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</si>
  <si>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&amp;MeasurementResultID00393 {ResultObj: *ResultID00393,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</si>
  <si>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&amp;MeasurementResultID00394 {ResultObj: *ResultID00394,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</si>
  <si>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&amp;MeasurementResultID00395 {ResultObj: *ResultID00395,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</si>
  <si>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&amp;MeasurementResultID00396 {ResultObj: *ResultID00396,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</si>
  <si>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&amp;MeasurementResultID00397 {ResultObj: *ResultID00397,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</si>
  <si>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&amp;MeasurementResultID00398 {ResultObj: *ResultID00398,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</si>
  <si>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&amp;MeasurementResultID00399 {ResultObj: *ResultID00399,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</si>
  <si>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&amp;MeasurementResultID00400 {ResultObj: *ResultID00400,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</si>
  <si>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&amp;MeasurementResultID00401 {ResultObj: *ResultID00401,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</si>
  <si>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&amp;MeasurementResultID00402 {ResultObj: *ResultID00402,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</si>
  <si>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&amp;MeasurementResultID00403 {ResultObj: *ResultID00403,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</si>
  <si>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&amp;MeasurementResultID00404 {ResultObj: *ResultID00404,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</si>
  <si>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&amp;MeasurementResultID00405 {ResultObj: *ResultID00405,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</si>
  <si>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&amp;MeasurementResultID00406 {ResultObj: *ResultID00406,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</si>
  <si>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&amp;MeasurementResultID00407 {ResultObj: *ResultID00407,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</si>
  <si>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&amp;MeasurementResultID00408 {ResultObj: *ResultID00408,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</si>
  <si>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&amp;MeasurementResultID00409 {ResultObj: *ResultID00409,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</si>
  <si>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&amp;MeasurementResultID00410 {ResultObj: *ResultID00410,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</si>
  <si>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&amp;MeasurementResultID00411 {ResultObj: *ResultID00411,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</si>
  <si>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&amp;MeasurementResultID00412 {ResultObj: *ResultID00412,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</si>
  <si>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&amp;MeasurementResultID00413 {ResultObj: *ResultID00413,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</si>
  <si>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&amp;MeasurementResultID00414 {ResultObj: *ResultID00414,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</si>
  <si>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&amp;MeasurementResultID00415 {ResultObj: *ResultID00415,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</si>
  <si>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&amp;MeasurementResultID00416 {ResultObj: *ResultID00416,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</si>
  <si>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&amp;MeasurementResultID00417 {ResultObj: *ResultID00417,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</si>
  <si>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&amp;MeasurementResultID00418 {ResultObj: *ResultID00418,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</si>
  <si>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&amp;MeasurementResultID00419 {ResultObj: *ResultID00419,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</si>
  <si>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&amp;MeasurementResultID00420 {ResultObj: *ResultID00420,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</si>
  <si>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&amp;MeasurementResultID00421 {ResultObj: *ResultID00421,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</si>
  <si>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&amp;MeasurementResultID00422 {ResultObj: *ResultID00422,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</si>
  <si>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&amp;MeasurementResultID00423 {ResultObj: *ResultID00423,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</si>
  <si>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&amp;MeasurementResultID00424 {ResultObj: *ResultID00424,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</si>
  <si>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&amp;MeasurementResultID00425 {ResultObj: *ResultID00425,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</si>
  <si>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&amp;MeasurementResultID00426 {ResultObj: *ResultID00426,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</si>
  <si>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&amp;MeasurementResultID00427 {ResultObj: *ResultID00427,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</si>
  <si>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&amp;MeasurementResultID00428 {ResultObj: *ResultID00428,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</si>
  <si>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&amp;MeasurementResultID00429 {ResultObj: *ResultID00429,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</si>
  <si>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&amp;MeasurementResultID00430 {ResultObj: *ResultID00430,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</si>
  <si>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&amp;MeasurementResultID00431 {ResultObj: *ResultID00431,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</si>
  <si>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&amp;MeasurementResultID00432 {ResultObj: *ResultID00432,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</si>
  <si>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&amp;MeasurementResultID00433 {ResultObj: *ResultID00433,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</si>
  <si>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&amp;MeasurementResultID00434 {ResultObj: *ResultID00434,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</si>
  <si>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&amp;MeasurementResultID00435 {ResultObj: *ResultID00435,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</si>
  <si>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&amp;MeasurementResultID00436 {ResultObj: *ResultID00436,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</si>
  <si>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&amp;MeasurementResultID00437 {ResultObj: *ResultID00437,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</si>
  <si>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&amp;MeasurementResultID00438 {ResultObj: *ResultID00438,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</si>
  <si>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&amp;MeasurementResultID00439 {ResultObj: *ResultID00439,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</si>
  <si>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&amp;MeasurementResultID00442 {ResultObj: *ResultID00442,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</si>
  <si>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&amp;MeasurementResultID00443 {ResultObj: *ResultID00443,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</si>
  <si>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&amp;MeasurementResultID00444 {ResultObj: *ResultID00444,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</si>
  <si>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&amp;MeasurementResultID00445 {ResultObj: *ResultID00445,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</si>
  <si>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&amp;MeasurementResultID00446 {ResultObj: *ResultID00446,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</si>
  <si>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&amp;MeasurementResultID00447 {ResultObj: *ResultID00447,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</si>
  <si>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&amp;MeasurementResultID00448 {ResultObj: *ResultID00448,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</si>
  <si>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&amp;MeasurementResultID00449 {ResultObj: *ResultID00449,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</si>
  <si>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&amp;MeasurementResultID00450 {ResultObj: *ResultID00450,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</si>
  <si>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&amp;MeasurementResultID00451 {ResultObj: *ResultID00451,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</si>
  <si>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&amp;MeasurementResultID00452 {ResultObj: *ResultID00452,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</si>
  <si>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&amp;MeasurementResultID00453 {ResultObj: *ResultID00453,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</si>
  <si>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&amp;MeasurementResultID00454 {ResultObj: *ResultID00454,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</si>
  <si>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&amp;MeasurementResultID00455 {ResultObj: *ResultID00455,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</si>
  <si>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&amp;MeasurementResultID00456 {ResultObj: *ResultID00456,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</si>
  <si>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&amp;MeasurementResultID00457 {ResultObj: *ResultID00457,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</si>
  <si>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&amp;MeasurementResultID00458 {ResultObj: *ResultID00458,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</si>
  <si>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&amp;MeasurementResultID00459 {ResultObj: *ResultID00459,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</si>
  <si>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&amp;MeasurementResultID00460 {ResultObj: *ResultID00460,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</si>
  <si>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&amp;MeasurementResultID00461 {ResultObj: *ResultID00461,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</si>
  <si>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&amp;MeasurementResultID00462 {ResultObj: *ResultID00462,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</si>
  <si>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&amp;MeasurementResultID00463 {ResultObj: *ResultID00463,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</si>
  <si>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&amp;MeasurementResultID00464 {ResultObj: *ResultID00464,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</si>
  <si>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&amp;MeasurementResultID00465 {ResultObj: *ResultID00465,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</si>
  <si>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&amp;MeasurementResultID00466 {ResultObj: *ResultID00466,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</si>
  <si>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&amp;MeasurementResultID00467 {ResultObj: *ResultID00467,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</si>
  <si>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&amp;MeasurementResultID00468 {ResultObj: *ResultID00468,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</si>
  <si>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&amp;MeasurementResultID00469 {ResultObj: *ResultID00469,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</si>
  <si>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&amp;MeasurementResultID00470 {ResultObj: *ResultID00470,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</si>
  <si>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&amp;MeasurementResultID00471 {ResultObj: *ResultID00471,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</si>
  <si>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&amp;MeasurementResultID00472 {ResultObj: *ResultID00472,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</si>
  <si>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&amp;MeasurementResultID00473 {ResultObj: *ResultID00473,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</si>
  <si>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&amp;MeasurementResultID00474 {ResultObj: *ResultID00474,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</si>
  <si>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&amp;MeasurementResultID00475 {ResultObj: *ResultID00475,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</si>
  <si>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&amp;MeasurementResultID00476 {ResultObj: *ResultID00476,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</si>
  <si>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&amp;MeasurementResultID00477 {ResultObj: *ResultID00477,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</si>
  <si>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&amp;MeasurementResultID00478 {ResultObj: *ResultID00478,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</si>
  <si>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&amp;MeasurementResultID00479 {ResultObj: *ResultID00479,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</si>
  <si>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&amp;MeasurementResultID00480 {ResultObj: *ResultID00480,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</si>
  <si>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&amp;MeasurementResultID00481 {ResultObj: *ResultID00481,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</si>
  <si>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&amp;MeasurementResultID00482 {ResultObj: *ResultID00482,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</si>
  <si>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&amp;MeasurementResultID00483 {ResultObj: *ResultID00483,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</si>
  <si>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&amp;MeasurementResultID00484 {ResultObj: *ResultID00484,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</si>
  <si>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&amp;MeasurementResultID00485 {ResultObj: *ResultID00485,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</si>
  <si>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&amp;MeasurementResultID00486 {ResultObj: *ResultID00486,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</si>
  <si>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&amp;MeasurementResultID00487 {ResultObj: *ResultID00487,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</si>
  <si>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&amp;MeasurementResultID00488 {ResultObj: *ResultID00488,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</si>
  <si>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&amp;MeasurementResultID00489 {ResultObj: *ResultID00489,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</si>
  <si>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&amp;MeasurementResultID00490 {ResultObj: *ResultID00490,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</si>
  <si>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&amp;MeasurementResultID00491 {ResultObj: *ResultID00491,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</si>
  <si>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&amp;MeasurementResultID00492 {ResultObj: *ResultID00492,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</si>
  <si>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&amp;MeasurementResultID00493 {ResultObj: *ResultID00493,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</si>
  <si>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&amp;MeasurementResultID00494 {ResultObj: *ResultID00494,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</si>
  <si>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&amp;MeasurementResultID00495 {ResultObj: *ResultID00495,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</si>
  <si>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&amp;MeasurementResultID00496 {ResultObj: *ResultID00496,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</si>
  <si>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&amp;MeasurementResultID00497 {ResultObj: *ResultID00497,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</si>
  <si>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&amp;MeasurementResultID00498 {ResultObj: *ResultID00498,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</si>
  <si>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&amp;MeasurementResultID00499 {ResultObj: *ResultID00499,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</si>
  <si>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&amp;MeasurementResultID00500 {ResultObj: *ResultID00500,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</si>
  <si>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&amp;MeasurementResultID00501 {ResultObj: *ResultID00501,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</si>
  <si>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&amp;MeasurementResultID00502 {ResultObj: *ResultID00502,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</si>
  <si>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&amp;MeasurementResultID00503 {ResultObj: *ResultID00503,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</si>
  <si>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&amp;MeasurementResultID00504 {ResultObj: *ResultID00504,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</si>
  <si>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&amp;MeasurementResultID00505 {ResultObj: *ResultID00505,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</si>
  <si>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&amp;MeasurementResultID00506 {ResultObj: *ResultID00506,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</si>
  <si>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&amp;MeasurementResultID00507 {ResultObj: *ResultID00507,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</si>
  <si>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&amp;MeasurementResultID00508 {ResultObj: *ResultID00508,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</si>
  <si>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&amp;MeasurementResultID00509 {ResultObj: *ResultID00509,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</si>
  <si>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&amp;MeasurementResultID00510 {ResultObj: *ResultID00510,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</si>
  <si>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&amp;MeasurementResultID00511 {ResultObj: *ResultID00511,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</si>
  <si>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&amp;MeasurementResultID00512 {ResultObj: *ResultID00512,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</si>
  <si>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&amp;MeasurementResultID00513 {ResultObj: *ResultID00513,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</si>
  <si>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&amp;MeasurementResultID00514 {ResultObj: *ResultID00514,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</si>
  <si>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&amp;MeasurementResultID00515 {ResultObj: *ResultID00515,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</si>
  <si>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&amp;MeasurementResultID00516 {ResultObj: *ResultID00516,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</si>
  <si>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&amp;MeasurementResultID00517 {ResultObj: *ResultID00517,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</si>
  <si>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&amp;MeasurementResultID00518 {ResultObj: *ResultID00518,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</si>
  <si>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&amp;MeasurementResultID00519 {ResultObj: *ResultID00519,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</si>
  <si>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&amp;MeasurementResultID00520 {ResultObj: *ResultID00520,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</si>
  <si>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&amp;MeasurementResultID00521 {ResultObj: *ResultID00521,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</si>
  <si>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&amp;MeasurementResultID00522 {ResultObj: *ResultID00522,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</si>
  <si>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&amp;MeasurementResultID00523 {ResultObj: *ResultID00523,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</si>
  <si>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&amp;MeasurementResultID00524 {ResultObj: *ResultID00524,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</si>
  <si>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&amp;MeasurementResultID00525 {ResultObj: *ResultID00525,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</si>
  <si>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&amp;MeasurementResultID00526 {ResultObj: *ResultID00526,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</si>
  <si>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&amp;MeasurementResultID00527 {ResultObj: *ResultID00527,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</si>
  <si>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&amp;MeasurementResultID00528 {ResultObj: *ResultID00528,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</si>
  <si>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&amp;MeasurementResultID00529 {ResultObj: *ResultID00529,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</si>
  <si>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&amp;MeasurementResultID00530 {ResultObj: *ResultID00530,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</si>
  <si>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&amp;MeasurementResultID00531 {ResultObj: *ResultID00531,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</si>
  <si>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&amp;MeasurementResultID00532 {ResultObj: *ResultID00532,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</si>
  <si>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&amp;MeasurementResultID00533 {ResultObj: *ResultID00533,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</si>
  <si>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&amp;MeasurementResultID00534 {ResultObj: *ResultID00534,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</si>
  <si>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&amp;MeasurementResultID00535 {ResultObj: *ResultID00535,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</si>
  <si>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&amp;MeasurementResultID00536 {ResultObj: *ResultID00536,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</si>
  <si>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&amp;MeasurementResultID00537 {ResultObj: *ResultID00537,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</si>
  <si>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&amp;MeasurementResultID00538 {ResultObj: *ResultID00538,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</si>
  <si>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&amp;MeasurementResultID00539 {ResultObj: *ResultID00539,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</si>
  <si>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&amp;MeasurementResultID00540 {ResultObj: *ResultID00540,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</si>
  <si>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&amp;MeasurementResultID00541 {ResultObj: *ResultID00541,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</si>
  <si>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&amp;MeasurementResultID00542 {ResultObj: *ResultID00542,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</si>
  <si>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&amp;MeasurementResultID00543 {ResultObj: *ResultID00543,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</si>
  <si>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&amp;MeasurementResultID00544 {ResultObj: *ResultID00544,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</si>
  <si>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&amp;MeasurementResultID00545 {ResultObj: *ResultID00545,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</si>
  <si>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&amp;MeasurementResultID00546 {ResultObj: *ResultID00546,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</si>
  <si>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&amp;MeasurementResultID00547 {ResultObj: *ResultID00547,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</si>
  <si>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&amp;MeasurementResultID00548 {ResultObj: *ResultID00548,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</si>
  <si>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&amp;MeasurementResultID00549 {ResultObj: *ResultID00549,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</si>
  <si>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&amp;MeasurementResultID00550 {ResultObj: *ResultID00550,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</si>
  <si>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&amp;MeasurementResultID00551 {ResultObj: *ResultID00551,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</si>
  <si>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&amp;MeasurementResultID00552 {ResultObj: *ResultID00552,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</si>
  <si>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&amp;MeasurementResultID00553 {ResultObj: *ResultID00553,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</si>
  <si>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&amp;MeasurementResultID00554 {ResultObj: *ResultID00554,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</si>
  <si>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&amp;MeasurementResultID00555 {ResultObj: *ResultID00555,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</si>
  <si>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&amp;MeasurementResultID00558 {ResultObj: *ResultID00558,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</si>
  <si>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&amp;MeasurementResultID00561 {ResultObj: *ResultID00561,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</si>
  <si>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&amp;MeasurementResultID00562 {ResultObj: *ResultID00562,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</si>
  <si>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&amp;MeasurementResultID00563 {ResultObj: *ResultID00563,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</si>
  <si>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&amp;MeasurementResultID00564 {ResultObj: *ResultID00564,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</si>
  <si>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&amp;MeasurementResultID00565 {ResultObj: *ResultID00565,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</si>
  <si>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&amp;MeasurementResultID00566 {ResultObj: *ResultID00566,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</si>
  <si>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&amp;MeasurementResultID00567 {ResultObj: *ResultID00567,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</si>
  <si>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&amp;MeasurementResultID00568 {ResultObj: *ResultID00568,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</si>
  <si>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&amp;MeasurementResultID00569 {ResultObj: *ResultID00569,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</si>
  <si>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&amp;MeasurementResultID00570 {ResultObj: *ResultID00570,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</si>
  <si>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&amp;MeasurementResultID00571 {ResultObj: *ResultID00571,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</si>
  <si>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&amp;MeasurementResultID00572 {ResultObj: *ResultID00572,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</si>
  <si>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&amp;MeasurementResultID00573 {ResultObj: *ResultID00573,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</si>
  <si>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&amp;MeasurementResultID00574 {ResultObj: *ResultID00574,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</si>
  <si>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&amp;MeasurementResultID00575 {ResultObj: *ResultID00575,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</si>
  <si>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&amp;MeasurementResultID00576 {ResultObj: *ResultID00576,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</si>
  <si>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&amp;MeasurementResultID00577 {ResultObj: *ResultID00577,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</si>
  <si>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&amp;MeasurementResultID00578 {ResultObj: *ResultID00578,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</si>
  <si>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&amp;MeasurementResultID00579 {ResultObj: *ResultID00579,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</si>
  <si>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&amp;MeasurementResultID00580 {ResultObj: *ResultID00580,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</si>
  <si>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&amp;MeasurementResultID00581 {ResultObj: *ResultID00581,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</si>
  <si>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&amp;MeasurementResultID00582 {ResultObj: *ResultID00582,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</si>
  <si>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&amp;MeasurementResultID00583 {ResultObj: *ResultID00583,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</si>
  <si>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&amp;MeasurementResultID00586 {ResultObj: *ResultID00586,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</si>
  <si>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&amp;MeasurementResultID00589 {ResultObj: *ResultID00589,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</si>
  <si>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&amp;MeasurementResultID00590 {ResultObj: *ResultID00590,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</si>
  <si>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&amp;MeasurementResultID00591 {ResultObj: *ResultID00591,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</si>
  <si>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&amp;MeasurementResultID00592 {ResultObj: *ResultID00592,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</si>
  <si>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&amp;MeasurementResultID00593 {ResultObj: *ResultID00593,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</si>
  <si>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&amp;MeasurementResultID00594 {ResultObj: *ResultID00594,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</si>
  <si>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&amp;MeasurementResultID00595 {ResultObj: *ResultID00595,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</si>
  <si>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&amp;MeasurementResultID00596 {ResultObj: *ResultID00596,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</si>
  <si>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&amp;MeasurementResultID00597 {ResultObj: *ResultID00597,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</si>
  <si>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&amp;MeasurementResultID00598 {ResultObj: *ResultID00598,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</si>
  <si>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&amp;MeasurementResultID00599 {ResultObj: *ResultID00599,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</si>
  <si>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&amp;MeasurementResultID00600 {ResultObj: *ResultID00600,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</si>
  <si>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&amp;MeasurementResultID00601 {ResultObj: *ResultID00601,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</si>
  <si>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&amp;MeasurementResultID00602 {ResultObj: *ResultID00602,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</si>
  <si>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&amp;MeasurementResultID00603 {ResultObj: *ResultID00603,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</si>
  <si>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&amp;MeasurementResultID00605 {ResultObj: *ResultID00605,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</si>
  <si>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&amp;MeasurementResultID00606 {ResultObj: *ResultID00606,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</si>
  <si>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&amp;MeasurementResultID00610 {ResultObj: *ResultID00610,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</si>
  <si>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&amp;MeasurementResultID00617 {ResultObj: *ResultID00617,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</si>
  <si>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&amp;MeasurementResultID00626 {ResultObj: *ResultID00626,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</si>
  <si>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&amp;MeasurementResultID00627 {ResultObj: *ResultID00627,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</si>
  <si>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&amp;MeasurementResultID00628 {ResultObj: *ResultID00628,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</si>
  <si>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&amp;MeasurementResultID00629 {ResultObj: *ResultID00629,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</si>
  <si>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&amp;MeasurementResultID00630 {ResultObj: *ResultID00630,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</si>
  <si>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&amp;MeasurementResultID00631 {ResultObj: *ResultID00631,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</si>
  <si>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&amp;MeasurementResultID00632 {ResultObj: *ResultID00632,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</si>
  <si>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&amp;MeasurementResultID00633 {ResultObj: *ResultID00633,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</si>
  <si>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&amp;MeasurementResultID00634 {ResultObj: *ResultID00634,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</si>
  <si>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&amp;MeasurementResultID00635 {ResultObj: *ResultID00635,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</si>
  <si>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&amp;MeasurementResultID00638 {ResultObj: *ResultID00638,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</si>
  <si>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&amp;MeasurementResultID00639 {ResultObj: *ResultID00639,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</si>
  <si>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&amp;MeasurementResultID00640 {ResultObj: *ResultID00640,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</si>
  <si>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&amp;MeasurementResultID00641 {ResultObj: *ResultID00641,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</si>
  <si>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&amp;MeasurementResultID00642 {ResultObj: *ResultID00642,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</si>
  <si>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&amp;MeasurementResultID00643 {ResultObj: *ResultID00643,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</si>
  <si>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&amp;MeasurementResultID00644 {ResultObj: *ResultID00644,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</si>
  <si>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&amp;MeasurementResultID00645 {ResultObj: *ResultID00645,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</si>
  <si>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&amp;MeasurementResultID00646 {ResultObj: *ResultID00646,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</si>
  <si>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&amp;MeasurementResultID00647 {ResultObj: *ResultID00647,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</si>
  <si>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&amp;MeasurementResultID00648 {ResultObj: *ResultID00648,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</si>
  <si>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&amp;MeasurementResultID00649 {ResultObj: *ResultID00649,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</si>
  <si>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&amp;MeasurementResultID00650 {ResultObj: *ResultID00650,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</si>
  <si>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&amp;MeasurementResultID00651 {ResultObj: *ResultID00651,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</si>
  <si>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&amp;MeasurementResultID00652 {ResultObj: *ResultID00652,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</si>
  <si>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&amp;MeasurementResultID00653 {ResultObj: *ResultID00653,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</si>
  <si>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&amp;MeasurementResultID00654 {ResultObj: *ResultID00654,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</si>
  <si>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&amp;MeasurementResultID00655 {ResultObj: *ResultID00655,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</si>
  <si>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&amp;MeasurementResultID00656 {ResultObj: *ResultID00656,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</si>
  <si>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&amp;MeasurementResultID00657 {ResultObj: *ResultID00657,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</si>
  <si>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&amp;MeasurementResultID00658 {ResultObj: *ResultID00658,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</si>
  <si>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&amp;MeasurementResultID00659 {ResultObj: *ResultID00659,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</si>
  <si>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&amp;MeasurementResultID00660 {ResultObj: *ResultID00660,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</si>
  <si>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&amp;MeasurementResultID00661 {ResultObj: *ResultID00661,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</si>
  <si>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&amp;MeasurementResultID00662 {ResultObj: *ResultID00662,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</si>
  <si>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&amp;MeasurementResultID00663 {ResultObj: *ResultID00663,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</si>
  <si>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&amp;MeasurementResultID00664 {ResultObj: *ResultID00664,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</si>
  <si>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&amp;MeasurementResultID00665 {ResultObj: *ResultID00665,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</si>
  <si>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&amp;MeasurementResultID00666 {ResultObj: *ResultID00666,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</si>
  <si>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&amp;MeasurementResultID00667 {ResultObj: *ResultID00667,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</si>
  <si>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&amp;MeasurementResultID00668 {ResultObj: *ResultID00668,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</si>
  <si>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&amp;MeasurementResultID00669 {ResultObj: *ResultID00669,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</si>
  <si>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&amp;MeasurementResultID00670 {ResultObj: *ResultID00670,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</si>
  <si>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&amp;MeasurementResultID00671 {ResultObj: *ResultID00671,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</si>
  <si>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&amp;MeasurementResultID00672 {ResultObj: *ResultID00672,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</si>
  <si>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&amp;MeasurementResultID00673 {ResultObj: *ResultID00673,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</si>
  <si>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&amp;MeasurementResultID00674 {ResultObj: *ResultID00674,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</si>
  <si>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&amp;MeasurementResultID00675 {ResultObj: *ResultID00675,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</si>
  <si>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&amp;MeasurementResultID00676 {ResultObj: *ResultID00676,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</si>
  <si>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&amp;MeasurementResultID00677 {ResultObj: *ResultID00677,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</si>
  <si>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&amp;MeasurementResultID00678 {ResultObj: *ResultID00678,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</si>
  <si>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&amp;MeasurementResultID00679 {ResultObj: *ResultID00679,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</si>
  <si>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&amp;MeasurementResultID00680 {ResultObj: *ResultID00680,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</si>
  <si>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&amp;MeasurementResultID00681 {ResultObj: *ResultID00681,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</si>
  <si>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&amp;MeasurementResultID00682 {ResultObj: *ResultID00682,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</si>
  <si>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&amp;MeasurementResultID00683 {ResultObj: *ResultID00683,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</si>
  <si>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&amp;MeasurementResultID00684 {ResultObj: *ResultID00684,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</si>
  <si>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&amp;MeasurementResultID00685 {ResultObj: *ResultID00685,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</si>
  <si>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&amp;MeasurementResultID00686 {ResultObj: *ResultID00686,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</si>
  <si>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&amp;MeasurementResultID00687 {ResultObj: *ResultID00687,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</si>
  <si>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&amp;MeasurementResultID00688 {ResultObj: *ResultID00688,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</si>
  <si>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&amp;MeasurementResultID00689 {ResultObj: *ResultID00689,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</si>
  <si>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&amp;MeasurementResultID00690 {ResultObj: *ResultID00690,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</si>
  <si>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&amp;MeasurementResultID00691 {ResultObj: *ResultID00691,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</si>
  <si>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&amp;MeasurementResultID00692 {ResultObj: *ResultID00692,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</si>
  <si>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&amp;MeasurementResultID00693 {ResultObj: *ResultID00693,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</si>
  <si>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&amp;MeasurementResultID00694 {ResultObj: *ResultID00694,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</si>
  <si>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&amp;MeasurementResultID00695 {ResultObj: *ResultID00695,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</si>
  <si>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&amp;MeasurementResultID00696 {ResultObj: *ResultID00696,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</si>
  <si>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&amp;MeasurementResultID00697 {ResultObj: *ResultID00697,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</si>
  <si>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&amp;MeasurementResultID00698 {ResultObj: *ResultID00698,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</si>
  <si>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&amp;MeasurementResultID00699 {ResultObj: *ResultID00699,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</si>
  <si>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&amp;MeasurementResultID00700 {ResultObj: *ResultID00700,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</si>
  <si>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&amp;MeasurementResultID00701 {ResultObj: *ResultID00701,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</si>
  <si>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&amp;MeasurementResultID00702 {ResultObj: *ResultID00702,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</si>
  <si>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&amp;MeasurementResultID00703 {ResultObj: *ResultID00703,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</si>
  <si>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&amp;MeasurementResultID00704 {ResultObj: *ResultID00704,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</si>
  <si>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&amp;MeasurementResultID00705 {ResultObj: *ResultID00705,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</si>
  <si>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&amp;MeasurementResultID00706 {ResultObj: *ResultID00706,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</si>
  <si>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&amp;MeasurementResultID00707 {ResultObj: *ResultID00707,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</si>
  <si>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&amp;MeasurementResultID00708 {ResultObj: *ResultID00708,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</si>
  <si>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&amp;MeasurementResultID00709 {ResultObj: *ResultID00709,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</si>
  <si>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&amp;MeasurementResultID00710 {ResultObj: *ResultID00710,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</si>
  <si>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&amp;MeasurementResultID00711 {ResultObj: *ResultID00711,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</si>
  <si>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&amp;MeasurementResultID00712 {ResultObj: *ResultID00712,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</si>
  <si>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&amp;MeasurementResultID00713 {ResultObj: *ResultID00713,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</si>
  <si>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&amp;MeasurementResultID00714 {ResultObj: *ResultID00714,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</si>
  <si>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&amp;MeasurementResultID00715 {ResultObj: *ResultID00715,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</si>
  <si>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&amp;MeasurementResultID00716 {ResultObj: *ResultID00716,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</si>
  <si>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&amp;MeasurementResultID00719 {ResultObj: *ResultID00719,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</si>
  <si>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&amp;MeasurementResultID00720 {ResultObj: *ResultID00720,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</si>
  <si>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&amp;MeasurementResultID00721 {ResultObj: *ResultID00721,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</si>
  <si>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&amp;MeasurementResultID00722 {ResultObj: *ResultID00722,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</si>
  <si>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&amp;MeasurementResultID00723 {ResultObj: *ResultID00723,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</si>
  <si>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&amp;MeasurementResultID00724 {ResultObj: *ResultID00724,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</si>
  <si>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&amp;MeasurementResultID00725 {ResultObj: *ResultID00725,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</si>
  <si>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&amp;MeasurementResultID00726 {ResultObj: *ResultID00726,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</si>
  <si>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&amp;MeasurementResultID00727 {ResultObj: *ResultID00727,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</si>
  <si>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&amp;MeasurementResultID00728 {ResultObj: *ResultID00728,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</si>
  <si>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&amp;MeasurementResultID00729 {ResultObj: *ResultID00729,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</si>
  <si>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&amp;MeasurementResultID00730 {ResultObj: *ResultID00730,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</si>
  <si>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&amp;MeasurementResultID00731 {ResultObj: *ResultID00731,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</si>
  <si>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&amp;MeasurementResultID00732 {ResultObj: *ResultID00732,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</si>
  <si>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&amp;MeasurementResultID00733 {ResultObj: *ResultID00733,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</si>
  <si>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&amp;MeasurementResultID00734 {ResultObj: *ResultID00734,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</si>
  <si>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&amp;MeasurementResultID00735 {ResultObj: *ResultID00735,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</si>
  <si>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&amp;MeasurementResultID00736 {ResultObj: *ResultID00736,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</si>
  <si>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&amp;MeasurementResultID00737 {ResultObj: *ResultID00737,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</si>
  <si>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&amp;MeasurementResultID00738 {ResultObj: *ResultID00738,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</si>
  <si>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&amp;MeasurementResultID00739 {ResultObj: *ResultID00739,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</si>
  <si>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&amp;MeasurementResultID00740 {ResultObj: *ResultID00740,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</si>
  <si>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&amp;MeasurementResultID00741 {ResultObj: *ResultID00741,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</si>
  <si>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&amp;MeasurementResultID00742 {ResultObj: *ResultID00742,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</si>
  <si>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&amp;MeasurementResultID00743 {ResultObj: *ResultID00743,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</si>
  <si>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&amp;MeasurementResultID00744 {ResultObj: *ResultID00744,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</si>
  <si>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&amp;MeasurementResultID00745 {ResultObj: *ResultID00745,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</si>
  <si>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&amp;MeasurementResultID00746 {ResultObj: *ResultID00746,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</si>
  <si>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&amp;MeasurementResultID00747 {ResultObj: *ResultID00747,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</si>
  <si>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&amp;MeasurementResultID00748 {ResultObj: *ResultID00748,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</si>
  <si>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&amp;MeasurementResultID00749 {ResultObj: *ResultID00749,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</si>
  <si>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&amp;MeasurementResultID00750 {ResultObj: *ResultID00750,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</si>
  <si>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&amp;MeasurementResultID00751 {ResultObj: *ResultID00751,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</si>
  <si>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&amp;MeasurementResultID00752 {ResultObj: *ResultID00752,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</si>
  <si>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&amp;MeasurementResultID00753 {ResultObj: *ResultID00753,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</si>
  <si>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&amp;MeasurementResultID00754 {ResultObj: *ResultID00754,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</si>
  <si>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&amp;MeasurementResultID00755 {ResultObj: *ResultID00755,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</si>
  <si>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&amp;MeasurementResultID00756 {ResultObj: *ResultID00756,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</si>
  <si>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&amp;MeasurementResultID00758 {ResultObj: *ResultID00758,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</si>
  <si>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&amp;MeasurementResultID00759 {ResultObj: *ResultID00759,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</si>
  <si>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&amp;MeasurementResultID00760 {ResultObj: *ResultID00760,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</si>
  <si>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&amp;MeasurementResultID00761 {ResultObj: *ResultID00761,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</si>
  <si>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&amp;MeasurementResultID00762 {ResultObj: *ResultID00762,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</si>
  <si>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&amp;MeasurementResultID00763 {ResultObj: *ResultID00763,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</si>
  <si>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&amp;MeasurementResultID00764 {ResultObj: *ResultID00764,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</si>
  <si>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&amp;MeasurementResultID00765 {ResultObj: *ResultID00765,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</si>
  <si>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&amp;MeasurementResultID00766 {ResultObj: *ResultID00766,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</si>
  <si>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&amp;MeasurementResultID00767 {ResultObj: *ResultID00767,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</si>
  <si>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&amp;MeasurementResultID00768 {ResultObj: *ResultID00768,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</si>
  <si>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&amp;MeasurementResultID00769 {ResultObj: *ResultID00769,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</si>
  <si>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&amp;MeasurementResultID00770 {ResultObj: *ResultID00770,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</si>
  <si>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&amp;MeasurementResultID00771 {ResultObj: *ResultID00771,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</si>
  <si>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&amp;MeasurementResultID00772 {ResultObj: *ResultID00772,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</si>
  <si>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&amp;MeasurementResultID00773 {ResultObj: *ResultID00773,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</si>
  <si>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&amp;MeasurementResultID00774 {ResultObj: *ResultID00774,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</si>
  <si>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&amp;MeasurementResultID00775 {ResultObj: *ResultID00775,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</si>
  <si>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&amp;MeasurementResultID00776 {ResultObj: *ResultID00776,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</si>
  <si>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&amp;MeasurementResultID00777 {ResultObj: *ResultID00777,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</si>
  <si>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&amp;MeasurementResultID00778 {ResultObj: *ResultID00778,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</si>
  <si>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&amp;MeasurementResultID00781 {ResultObj: *ResultID00781,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</si>
  <si>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&amp;MeasurementResultID00782 {ResultObj: *ResultID00782,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</si>
  <si>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&amp;MeasurementResultID00783 {ResultObj: *ResultID00783,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</si>
  <si>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&amp;MeasurementResultID00784 {ResultObj: *ResultID00784,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</si>
  <si>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&amp;MeasurementResultID00785 {ResultObj: *ResultID00785,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</si>
  <si>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&amp;MeasurementResultID00786 {ResultObj: *ResultID00786,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</si>
  <si>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&amp;MeasurementResultID00787 {ResultObj: *ResultID00787,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</si>
  <si>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&amp;MeasurementResultID00788 {ResultObj: *ResultID00788,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</si>
  <si>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&amp;MeasurementResultID00789 {ResultObj: *ResultID00789,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</si>
  <si>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&amp;MeasurementResultID00790 {ResultObj: *ResultID00790,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</si>
  <si>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&amp;MeasurementResultID00791 {ResultObj: *ResultID00791,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</si>
  <si>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&amp;MeasurementResultID00792 {ResultObj: *ResultID00792,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</si>
  <si>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&amp;MeasurementResultID00793 {ResultObj: *ResultID00793,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</si>
  <si>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&amp;MeasurementResultID00794 {ResultObj: *ResultID00794,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</si>
  <si>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&amp;MeasurementResultID00795 {ResultObj: *ResultID00795,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</si>
  <si>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&amp;MeasurementResultID00796 {ResultObj: *ResultID00796,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</si>
  <si>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&amp;MeasurementResultID00797 {ResultObj: *ResultID00797,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</si>
  <si>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&amp;MeasurementResultID00798 {ResultObj: *ResultID00798,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</si>
  <si>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&amp;MeasurementResultID00799 {ResultObj: *ResultID00799,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</si>
  <si>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&amp;MeasurementResultID00800 {ResultObj: *ResultID00800,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</si>
  <si>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&amp;MeasurementResultID00801 {ResultObj: *ResultID00801,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</si>
  <si>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&amp;MeasurementResultID00802 {ResultObj: *ResultID00802,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</si>
  <si>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&amp;MeasurementResultID00803 {ResultObj: *ResultID00803,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</si>
  <si>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&amp;MeasurementResultID00804 {ResultObj: *ResultID00804,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</si>
  <si>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&amp;MeasurementResultID00805 {ResultObj: *ResultID00805,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</si>
  <si>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&amp;MeasurementResultID00806 {ResultObj: *ResultID00806,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</si>
  <si>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&amp;MeasurementResultID00807 {ResultObj: *ResultID00807,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</si>
  <si>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&amp;MeasurementResultID00808 {ResultObj: *ResultID00808,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</si>
  <si>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&amp;MeasurementResultID00809 {ResultObj: *ResultID00809,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</si>
  <si>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&amp;MeasurementResultID00810 {ResultObj: *ResultID00810,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</si>
  <si>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&amp;MeasurementResultID00811 {ResultObj: *ResultID00811,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</si>
  <si>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&amp;MeasurementResultID00812 {ResultObj: *ResultID00812,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</si>
  <si>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&amp;MeasurementResultID00813 {ResultObj: *ResultID00813,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</si>
  <si>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&amp;MeasurementResultID00814 {ResultObj: *ResultID00814,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</si>
  <si>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&amp;MeasurementResultID00815 {ResultObj: *ResultID00815,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</si>
  <si>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&amp;MeasurementResultID00816 {ResultObj: *ResultID00816,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</si>
  <si>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&amp;MeasurementResultID00817 {ResultObj: *ResultID00817,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</si>
  <si>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&amp;MeasurementResultID00818 {ResultObj: *ResultID00818,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</si>
  <si>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&amp;MeasurementResultID00819 {ResultObj: *ResultID00819,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</si>
  <si>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&amp;MeasurementResultID00820 {ResultObj: *ResultID00820,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</si>
  <si>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&amp;MeasurementResultID00821 {ResultObj: *ResultID00821,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</si>
  <si>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&amp;MeasurementResultID00822 {ResultObj: *ResultID00822,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</si>
  <si>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&amp;MeasurementResultID00823 {ResultObj: *ResultID00823,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</si>
  <si>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&amp;MeasurementResultID00824 {ResultObj: *ResultID00824,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</si>
  <si>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&amp;MeasurementResultID00825 {ResultObj: *ResultID00825,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</si>
  <si>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&amp;MeasurementResultID00826 {ResultObj: *ResultID00826,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</si>
  <si>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&amp;MeasurementResultID00827 {ResultObj: *ResultID00827,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</si>
  <si>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&amp;MeasurementResultID00828 {ResultObj: *ResultID00828,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</si>
  <si>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&amp;MeasurementResultID00829 {ResultObj: *ResultID00829,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</si>
  <si>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&amp;MeasurementResultID00830 {ResultObj: *ResultID00830,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</si>
  <si>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&amp;MeasurementResultID00831 {ResultObj: *ResultID00831,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</si>
  <si>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&amp;MeasurementResultID00832 {ResultObj: *ResultID00832,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</si>
  <si>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&amp;MeasurementResultID00835 {ResultObj: *ResultID00835,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</si>
  <si>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&amp;MeasurementResultID00838 {ResultObj: *ResultID00838,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</si>
  <si>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&amp;MeasurementResultID00839 {ResultObj: *ResultID00839,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</si>
  <si>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&amp;MeasurementResultID00840 {ResultObj: *ResultID00840,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</si>
  <si>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&amp;MeasurementResultID00841 {ResultObj: *ResultID00841,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</si>
  <si>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&amp;MeasurementResultID00842 {ResultObj: *ResultID00842,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</si>
  <si>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&amp;MeasurementResultID00843 {ResultObj: *ResultID00843,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</si>
  <si>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&amp;MeasurementResultID00844 {ResultObj: *ResultID00844,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</si>
  <si>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&amp;MeasurementResultID00845 {ResultObj: *ResultID00845,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</si>
  <si>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&amp;MeasurementResultID00846 {ResultObj: *ResultID00846,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</si>
  <si>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&amp;MeasurementResultID00847 {ResultObj: *ResultID00847,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</si>
  <si>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&amp;MeasurementResultID00848 {ResultObj: *ResultID00848,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</si>
  <si>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&amp;MeasurementResultID00863 {ResultObj: *ResultID00863,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</si>
  <si>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&amp;MeasurementResultID00869 {ResultObj: *ResultID00869,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</si>
  <si>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&amp;MeasurementResultID00870 {ResultObj: *ResultID00870,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</si>
  <si>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&amp;MeasurementResultID00871 {ResultObj: *ResultID00871,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</si>
  <si>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&amp;MeasurementResultID00872 {ResultObj: *ResultID00872,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</si>
  <si>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&amp;MeasurementResultID00873 {ResultObj: *ResultID00873,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</si>
  <si>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&amp;MeasurementResultID00874 {ResultObj: *ResultID00874,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</si>
  <si>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&amp;MeasurementResultID00875 {ResultObj: *ResultID00875,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</si>
  <si>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&amp;MeasurementResultID00876 {ResultObj: *ResultID00876,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</si>
  <si>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&amp;MeasurementResultID00877 {ResultObj: *ResultID00877,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</si>
  <si>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&amp;MeasurementResultID00878 {ResultObj: *ResultID00878,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</si>
  <si>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&amp;MeasurementResultID00879 {ResultObj: *ResultID00879,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</si>
  <si>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&amp;MeasurementResultID00880 {ResultObj: *ResultID00880,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</si>
  <si>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&amp;MeasurementResultID00882 {ResultObj: *ResultID00882,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</si>
  <si>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&amp;MeasurementResultID00883 {ResultObj: *ResultID00883,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</si>
  <si>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&amp;MeasurementResultID00887 {ResultObj: *ResultID00887,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</si>
  <si>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&amp;MeasurementResultID00894 {ResultObj: *ResultID00894,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</si>
  <si>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&amp;MeasurementResultID00903 {ResultObj: *ResultID00903,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</si>
  <si>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&amp;MeasurementResultID00904 {ResultObj: *ResultID00904,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</si>
  <si>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&amp;MeasurementResultID00905 {ResultObj: *ResultID00905,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</si>
  <si>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&amp;MeasurementResultID00906 {ResultObj: *ResultID00906,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</si>
  <si>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&amp;MeasurementResultID00907 {ResultObj: *ResultID00907,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</si>
  <si>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&amp;MeasurementResultID00908 {ResultObj: *ResultID00908,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</si>
  <si>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&amp;MeasurementResultID00909 {ResultObj: *ResultID00909,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</si>
  <si>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&amp;MeasurementResultID00910 {ResultObj: *ResultID00910,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</si>
  <si>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&amp;MeasurementResultID00911 {ResultObj: *ResultID00911,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</si>
  <si>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&amp;MeasurementResultID00912 {ResultObj: *ResultID00912,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</si>
  <si>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&amp;MeasurementResultID00915 {ResultObj: *ResultID00915,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</si>
  <si>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&amp;MeasurementResultID00917 {ResultObj: *ResultID00917,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</si>
  <si>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&amp;MeasurementResultID00918 {ResultObj: *ResultID00918,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</si>
  <si>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&amp;MeasurementResultID00919 {ResultObj: *ResultID00919,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</si>
  <si>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&amp;MeasurementResultID00920 {ResultObj: *ResultID00920,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</si>
  <si>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&amp;MeasurementResultID00921 {ResultObj: *ResultID00921,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</si>
  <si>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&amp;MeasurementResultID00922 {ResultObj: *ResultID00922,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</si>
  <si>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&amp;MeasurementResultID00923 {ResultObj: *ResultID00923,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</si>
  <si>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&amp;MeasurementResultID00924 {ResultObj: *ResultID00924,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</si>
  <si>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&amp;MeasurementResultID00925 {ResultObj: *ResultID00925,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</si>
  <si>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&amp;MeasurementResultID00926 {ResultObj: *ResultID00926,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</si>
  <si>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&amp;MeasurementResultID00927 {ResultObj: *ResultID00927,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</si>
  <si>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&amp;MeasurementResultID00928 {ResultObj: *ResultID00928,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</si>
  <si>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&amp;MeasurementResultID00929 {ResultObj: *ResultID00929,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</si>
  <si>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&amp;MeasurementResultID00930 {ResultObj: *ResultID00930,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</si>
  <si>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&amp;MeasurementResultID00931 {ResultObj: *ResultID00931,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</si>
  <si>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&amp;MeasurementResultID00932 {ResultObj: *ResultID00932,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</si>
  <si>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&amp;MeasurementResultID00933 {ResultObj: *ResultID00933,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</si>
  <si>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&amp;MeasurementResultID00934 {ResultObj: *ResultID00934,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</si>
  <si>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&amp;MeasurementResultID00935 {ResultObj: *ResultID00935,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</si>
  <si>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&amp;MeasurementResultID00936 {ResultObj: *ResultID00936,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</si>
  <si>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&amp;MeasurementResultID00937 {ResultObj: *ResultID00937,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</si>
  <si>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&amp;MeasurementResultID00938 {ResultObj: *ResultID00938,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</si>
  <si>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&amp;MeasurementResultID00939 {ResultObj: *ResultID00939,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</si>
  <si>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&amp;MeasurementResultID00940 {ResultObj: *ResultID00940,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</si>
  <si>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&amp;MeasurementResultID00941 {ResultObj: *ResultID00941,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</si>
  <si>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&amp;MeasurementResultID00942 {ResultObj: *ResultID00942,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</si>
  <si>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&amp;MeasurementResultID00943 {ResultObj: *ResultID00943,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</si>
  <si>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&amp;MeasurementResultID00944 {ResultObj: *ResultID00944,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</si>
  <si>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&amp;MeasurementResultID00945 {ResultObj: *ResultID00945,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</si>
  <si>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&amp;MeasurementResultID00946 {ResultObj: *ResultID00946,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</si>
  <si>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&amp;MeasurementResultID00947 {ResultObj: *ResultID00947,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</si>
  <si>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&amp;MeasurementResultID00948 {ResultObj: *ResultID00948,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</si>
  <si>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&amp;MeasurementResultID00949 {ResultObj: *ResultID00949,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</si>
  <si>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&amp;MeasurementResultID00952 {ResultObj: *ResultID00952,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</si>
  <si>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&amp;MeasurementResultID00953 {ResultObj: *ResultID00953,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</si>
  <si>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&amp;MeasurementResultID00954 {ResultObj: *ResultID00954,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</si>
  <si>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&amp;MeasurementResultID00958 {ResultObj: *ResultID00958,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</si>
  <si>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&amp;MeasurementResultID00959 {ResultObj: *ResultID00959,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</si>
  <si>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&amp;MeasurementResultID00960 {ResultObj: *ResultID00960,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</si>
  <si>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&amp;MeasurementResultID00961 {ResultObj: *ResultID00961,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</si>
  <si>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&amp;MeasurementResultID00962 {ResultObj: *ResultID00962,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</si>
  <si>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&amp;MeasurementResultID00963 {ResultObj: *ResultID00963,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</si>
  <si>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&amp;MeasurementResultID00966 {ResultObj: *ResultID00966,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</si>
  <si>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&amp;MeasurementResultID00967 {ResultObj: *ResultID00967,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</si>
  <si>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&amp;MeasurementResultID00968 {ResultObj: *ResultID00968,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</si>
  <si>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&amp;MeasurementResultID00969 {ResultObj: *ResultID00969,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</si>
  <si>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&amp;MeasurementResultID00970 {ResultObj: *ResultID00970,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</si>
  <si>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&amp;MeasurementResultID00971 {ResultObj: *ResultID00971,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</si>
  <si>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&amp;MeasurementResultID00972 {ResultObj: *ResultID00972,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</si>
  <si>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&amp;MeasurementResultID00973 {ResultObj: *ResultID00973,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</si>
  <si>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&amp;MeasurementResultID00974 {ResultObj: *ResultID00974,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</si>
  <si>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&amp;MeasurementResultID00975 {ResultObj: *ResultID00975,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</si>
  <si>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&amp;MeasurementResultID00976 {ResultObj: *ResultID00976,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</si>
  <si>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&amp;MeasurementResultID00977 {ResultObj: *ResultID00977,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</si>
  <si>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&amp;MeasurementResultID00978 {ResultObj: *ResultID00978,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</si>
  <si>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&amp;MeasurementResultID00979 {ResultObj: *ResultID00979,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</si>
  <si>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&amp;MeasurementResultID00980 {ResultObj: *ResultID00980,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</si>
  <si>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&amp;MeasurementResultID00981 {ResultObj: *ResultID00981,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</si>
  <si>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&amp;MeasurementResultID00983 {ResultObj: *ResultID00983,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</si>
  <si>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&amp;MeasurementResultID00984 {ResultObj: *ResultID00984,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</si>
  <si>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&amp;MeasurementResultID00985 {ResultObj: *ResultID00985,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</si>
  <si>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&amp;MeasurementResultID00987 {ResultObj: *ResultID00987,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</si>
  <si>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&amp;MeasurementResultID00988 {ResultObj: *ResultID00988,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</si>
  <si>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&amp;MeasurementResultID00989 {ResultObj: *ResultID00989,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</si>
  <si>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&amp;MeasurementResultID00991 {ResultObj: *ResultID00991,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</si>
  <si>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&amp;MeasurementResultID00992 {ResultObj: *ResultID00992,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</si>
  <si>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&amp;MeasurementResultID00993 {ResultObj: *ResultID00993,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</si>
  <si>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&amp;MeasurementResultID00996 {ResultObj: *ResultID00996,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</si>
  <si>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&amp;MeasurementResultID00997 {ResultObj: *ResultID00997,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</si>
  <si>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&amp;MeasurementResultID00998 {ResultObj: *ResultID00998,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</si>
  <si>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&amp;MeasurementResultID00999 {ResultObj: *ResultID00999,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</si>
  <si>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&amp;MeasurementResultID01000 {ResultObj: *ResultID01000,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</si>
  <si>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&amp;MeasurementResultID01001 {ResultObj: *ResultID01001,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</si>
  <si>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&amp;MeasurementResultID01002 {ResultObj: *ResultID01002,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</si>
  <si>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&amp;MeasurementResultID01003 {ResultObj: *ResultID01003,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</si>
  <si>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&amp;MeasurementResultID01004 {ResultObj: *ResultID01004,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</si>
  <si>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&amp;MeasurementResultID01005 {ResultObj: *ResultID01005,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</si>
  <si>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&amp;MeasurementResultID01006 {ResultObj: *ResultID01006,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</si>
  <si>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&amp;MeasurementResultID01007 {ResultObj: *ResultID01007,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</si>
  <si>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&amp;MeasurementResultID01008 {ResultObj: *ResultID01008,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</si>
  <si>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&amp;MeasurementResultID01010 {ResultObj: *ResultID01010,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</si>
  <si>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&amp;MeasurementResultID01011 {ResultObj: *ResultID01011,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</si>
  <si>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&amp;MeasurementResultID01012 {ResultObj: *ResultID01012,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</si>
  <si>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&amp;MeasurementResultID01015 {ResultObj: *ResultID01015,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</si>
  <si>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&amp;MeasurementResultID01016 {ResultObj: *ResultID01016,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</si>
  <si>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&amp;MeasurementResultID01017 {ResultObj: *ResultID01017,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</si>
  <si>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&amp;MeasurementResultID01020 {ResultObj: *ResultID01020,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</si>
  <si>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&amp;MeasurementResultID01021 {ResultObj: *ResultID01021,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</si>
  <si>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&amp;MeasurementResultID01022 {ResultObj: *ResultID01022,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</si>
  <si>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&amp;MeasurementResultID01026 {ResultObj: *ResultID01026,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</si>
  <si>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&amp;MeasurementResultID01027 {ResultObj: *ResultID01027,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</si>
  <si>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&amp;MeasurementResultID01028 {ResultObj: *ResultID01028,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</si>
  <si>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&amp;MeasurementResultID01029 {ResultObj: *ResultID01029,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</si>
  <si>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&amp;MeasurementResultID01030 {ResultObj: *ResultID01030,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</si>
  <si>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&amp;MeasurementResultID01038 {ResultObj: *ResultID01038,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</si>
  <si>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&amp;MeasurementResultID01044 {ResultObj: *ResultID01044,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</si>
  <si>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&amp;MeasurementResultID01049 {ResultObj: *ResultID01049,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</si>
  <si>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&amp;MeasurementResultID01050 {ResultObj: *ResultID01050,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</si>
  <si>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&amp;MeasurementResultID01051 {ResultObj: *ResultID01051,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</si>
  <si>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&amp;MeasurementResultID01052 {ResultObj: *ResultID01052,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</si>
  <si>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&amp;MeasurementResultID01053 {ResultObj: *ResultID01053,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</si>
  <si>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&amp;MeasurementResultID01054 {ResultObj: *ResultID01054,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</si>
  <si>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&amp;MeasurementResultID01055 {ResultObj: *ResultID01055,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</si>
  <si>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&amp;MeasurementResultID01056 {ResultObj: *ResultID01056,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</si>
  <si>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&amp;MeasurementResultID01057 {ResultObj: *ResultID01057,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</si>
  <si>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&amp;MeasurementResultID01058 {ResultObj: *ResultID01058,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</si>
  <si>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&amp;MeasurementResultID01059 {ResultObj: *ResultID01059,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</si>
  <si>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&amp;MeasurementResultID01060 {ResultObj: *ResultID01060,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</si>
  <si>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&amp;MeasurementResultID01061 {ResultObj: *ResultID01061,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</si>
  <si>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&amp;MeasurementResultID01062 {ResultObj: *ResultID01062,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</si>
  <si>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&amp;MeasurementResultID01109 {ResultObj: *ResultID01109,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</si>
  <si>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&amp;MeasurementResultID01110 {ResultObj: *ResultID01110,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</si>
  <si>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&amp;MeasurementResultID01111 {ResultObj: *ResultID01111,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</si>
  <si>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&amp;MeasurementResultID01112 {ResultObj: *ResultID01112,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</si>
  <si>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&amp;MeasurementResultID01113 {ResultObj: *ResultID01113,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</si>
  <si>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&amp;MeasurementResultID01114 {ResultObj: *ResultID01114,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</si>
  <si>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&amp;MeasurementResultID01115 {ResultObj: *ResultID01115,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</si>
  <si>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&amp;MeasurementResultID01116 {ResultObj: *ResultID01116,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</si>
  <si>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&amp;MeasurementResultID01117 {ResultObj: *ResultID01117,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</si>
  <si>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&amp;MeasurementResultID01118 {ResultObj: *ResultID01118,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</si>
  <si>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&amp;MeasurementResultID01119 {ResultObj: *ResultID01119,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</si>
  <si>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&amp;MeasurementResultID01120 {ResultObj: *ResultID01120,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</si>
  <si>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&amp;MeasurementResultID01121 {ResultObj: *ResultID01121,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</si>
  <si>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&amp;MeasurementResultID01122 {ResultObj: *ResultID01122,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</si>
  <si>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&amp;MeasurementResultID01123 {ResultObj: *ResultID01123,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</si>
  <si>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&amp;MeasurementResultID01124 {ResultObj: *ResultID01124,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</si>
  <si>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&amp;MeasurementResultID01125 {ResultObj: *ResultID01125,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</si>
  <si>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&amp;MeasurementResultID01126 {ResultObj: *ResultID01126,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</si>
  <si>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&amp;MeasurementResultID01127 {ResultObj: *ResultID01127,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</si>
  <si>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&amp;MeasurementResultID01128 {ResultObj: *ResultID01128,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</si>
  <si>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&amp;MeasurementResultID01129 {ResultObj: *ResultID01129,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</si>
  <si>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&amp;MeasurementResultID01130 {ResultObj: *ResultID01130,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</si>
  <si>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&amp;MeasurementResultID01131 {ResultObj: *ResultID01131,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</si>
  <si>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&amp;MeasurementResultID01132 {ResultObj: *ResultID01132,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</si>
  <si>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&amp;MeasurementResultID01133 {ResultObj: *ResultID01133,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</si>
  <si>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&amp;MeasurementResultID01134 {ResultObj: *ResultID01134,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</si>
  <si>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&amp;MeasurementResultID01135 {ResultObj: *ResultID01135,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</si>
  <si>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&amp;MeasurementResultID01136 {ResultObj: *ResultID01136,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</si>
  <si>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&amp;MeasurementResultID01137 {ResultObj: *ResultID01137,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</si>
  <si>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&amp;MeasurementResultID01138 {ResultObj: *ResultID01138,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</si>
  <si>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&amp;MeasurementResultID01139 {ResultObj: *ResultID01139,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</si>
  <si>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&amp;MeasurementResultID01140 {ResultObj: *ResultID01140,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</si>
  <si>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&amp;MeasurementResultID01141 {ResultObj: *ResultID01141,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</si>
  <si>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&amp;MeasurementResultID01142 {ResultObj: *ResultID01142,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</si>
  <si>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&amp;MeasurementResultID01143 {ResultObj: *ResultID01143,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</si>
  <si>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&amp;MeasurementResultID01144 {ResultObj: *ResultID01144,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</si>
  <si>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&amp;MeasurementResultID01145 {ResultObj: *ResultID01145,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</si>
  <si>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&amp;MeasurementResultID01146 {ResultObj: *ResultID01146,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</si>
  <si>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&amp;MeasurementResultID01147 {ResultObj: *ResultID01147,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</si>
  <si>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&amp;MeasurementResultID01148 {ResultObj: *ResultID01148,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</si>
  <si>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&amp;MeasurementResultID01149 {ResultObj: *ResultID01149,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</si>
  <si>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&amp;MeasurementResultID01150 {ResultObj: *ResultID01150,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</si>
  <si>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&amp;MeasurementResultID01151 {ResultObj: *ResultID01151,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</si>
  <si>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&amp;MeasurementResultID01152 {ResultObj: *ResultID01152,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</si>
  <si>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&amp;MeasurementResultID01153 {ResultObj: *ResultID01153,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</si>
  <si>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&amp;MeasurementResultID01154 {ResultObj: *ResultID01154,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</si>
  <si>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&amp;MeasurementResultID01155 {ResultObj: *ResultID01155,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</si>
  <si>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&amp;MeasurementResultID01156 {ResultObj: *ResultID01156,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</si>
  <si>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&amp;MeasurementResultID01157 {ResultObj: *ResultID01157,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</si>
  <si>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&amp;MeasurementResultID01158 {ResultObj: *ResultID01158,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</si>
  <si>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&amp;MeasurementResultID01159 {ResultObj: *ResultID01159,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</si>
  <si>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&amp;MeasurementResultID01160 {ResultObj: *ResultID01160,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</si>
  <si>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&amp;MeasurementResultID01164 {ResultObj: *ResultID01164,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</si>
  <si>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&amp;MeasurementResultID01171 {ResultObj: *ResultID01171,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</si>
  <si>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&amp;MeasurementResultID01180 {ResultObj: *ResultID01180,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</si>
  <si>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&amp;MeasurementResultID01181 {ResultObj: *ResultID01181,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</si>
  <si>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&amp;MeasurementResultID01182 {ResultObj: *ResultID01182,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</si>
  <si>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&amp;MeasurementResultID01183 {ResultObj: *ResultID01183,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</si>
  <si>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&amp;MeasurementResultID01184 {ResultObj: *ResultID01184,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</si>
  <si>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&amp;MeasurementResultID01185 {ResultObj: *ResultID01185,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</si>
  <si>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&amp;MeasurementResultID01186 {ResultObj: *ResultID01186,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</si>
  <si>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&amp;MeasurementResultID01187 {ResultObj: *ResultID01187,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</si>
  <si>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&amp;MeasurementResultID01188 {ResultObj: *ResultID01188,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</si>
  <si>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&amp;MeasurementResultID01189 {ResultObj: *ResultID01189,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</si>
  <si>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&amp;MeasurementResultID01190 {ResultObj: *ResultID01190,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</si>
  <si>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&amp;MeasurementResultID01191 {ResultObj: *ResultID01191,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</si>
  <si>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&amp;MeasurementResultID01192 {ResultObj: *ResultID01192,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</si>
  <si>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&amp;MeasurementResultID01193 {ResultObj: *ResultID01193,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</si>
  <si>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&amp;MeasurementResultID01194 {ResultObj: *ResultID01194,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</si>
  <si>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&amp;MeasurementResultID01195 {ResultObj: *ResultID01195,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</si>
  <si>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&amp;MeasurementResultID01196 {ResultObj: *ResultID01196,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</si>
  <si>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&amp;MeasurementResultID01197 {ResultObj: *ResultID01197,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</si>
  <si>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&amp;MeasurementResultID01198 {ResultObj: *ResultID01198,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</si>
  <si>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&amp;MeasurementResultID01199 {ResultObj: *ResultID01199,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</si>
  <si>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&amp;MeasurementResultID01200 {ResultObj: *ResultID01200,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</si>
  <si>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&amp;MeasurementResultID01201 {ResultObj: *ResultID01201,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</si>
  <si>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&amp;MeasurementResultID01202 {ResultObj: *ResultID01202,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</si>
  <si>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&amp;MeasurementResultID01203 {ResultObj: *ResultID01203,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</si>
  <si>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&amp;MeasurementResultID01204 {ResultObj: *ResultID01204,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</si>
  <si>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&amp;MeasurementResultID01205 {ResultObj: *ResultID01205,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</si>
  <si>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&amp;MeasurementResultID01206 {ResultObj: *ResultID01206,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</si>
  <si>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&amp;MeasurementResultID01207 {ResultObj: *ResultID01207,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</si>
  <si>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&amp;MeasurementResultID01208 {ResultObj: *ResultID01208,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</si>
  <si>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&amp;MeasurementResultID01209 {ResultObj: *ResultID01209,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</si>
  <si>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&amp;MeasurementResultID01210 {ResultObj: *ResultID01210,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</si>
  <si>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&amp;MeasurementResultID01211 {ResultObj: *ResultID01211,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</si>
  <si>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&amp;MeasurementResultID01212 {ResultObj: *ResultID01212,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</si>
  <si>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&amp;MeasurementResultID01213 {ResultObj: *ResultID01213,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</si>
  <si>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&amp;MeasurementResultID01214 {ResultObj: *ResultID01214,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</si>
  <si>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&amp;MeasurementResultID01215 {ResultObj: *ResultID01215,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</si>
  <si>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&amp;MeasurementResultID01216 {ResultObj: *ResultID01216,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</si>
  <si>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&amp;MeasurementResultID01217 {ResultObj: *ResultID01217,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</si>
  <si>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&amp;MeasurementResultID01218 {ResultObj: *ResultID01218,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</si>
  <si>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&amp;MeasurementResultID01219 {ResultObj: *ResultID01219,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</si>
  <si>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&amp;MeasurementResultID01220 {ResultObj: *ResultID01220,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</si>
  <si>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&amp;MeasurementResultID01221 {ResultObj: *ResultID01221,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</si>
  <si>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&amp;MeasurementResultID01222 {ResultObj: *ResultID01222,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</si>
  <si>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&amp;MeasurementResultID01223 {ResultObj: *ResultID01223,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</si>
  <si>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&amp;MeasurementResultID01224 {ResultObj: *ResultID01224,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</si>
  <si>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&amp;MeasurementResultID01225 {ResultObj: *ResultID01225,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</si>
  <si>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&amp;MeasurementResultID01226 {ResultObj: *ResultID01226,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</si>
  <si>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&amp;MeasurementResultID01227 {ResultObj: *ResultID01227,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</si>
  <si>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&amp;MeasurementResultID01228 {ResultObj: *ResultID01228,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</si>
  <si>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&amp;MeasurementResultID01229 {ResultObj: *ResultID01229,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</si>
  <si>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&amp;MeasurementResultID01230 {ResultObj: *ResultID01230,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</si>
  <si>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&amp;MeasurementResultID01231 {ResultObj: *ResultID01231,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</si>
  <si>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&amp;MeasurementResultID01235 {ResultObj: *ResultID01235,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</si>
  <si>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&amp;MeasurementResultID01236 {ResultObj: *ResultID01236,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</si>
  <si>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&amp;MeasurementResultID01237 {ResultObj: *ResultID01237,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</si>
  <si>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&amp;MeasurementResultID01238 {ResultObj: *ResultID01238,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</si>
  <si>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&amp;MeasurementResultID01239 {ResultObj: *ResultID01239,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</si>
  <si>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&amp;MeasurementResultID01240 {ResultObj: *ResultID01240,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</si>
  <si>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&amp;MeasurementResultID01241 {ResultObj: *ResultID01241,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</si>
  <si>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&amp;MeasurementResultID01242 {ResultObj: *ResultID01242,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</si>
  <si>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&amp;MeasurementResultID01243 {ResultObj: *ResultID01243,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</si>
  <si>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&amp;MeasurementResultID01244 {ResultObj: *ResultID01244,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</si>
  <si>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&amp;MeasurementResultID01245 {ResultObj: *ResultID01245,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</si>
  <si>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&amp;MeasurementResultID01246 {ResultObj: *ResultID01246,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</si>
  <si>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&amp;MeasurementResultID01247 {ResultObj: *ResultID01247,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</si>
  <si>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&amp;MeasurementResultID01248 {ResultObj: *ResultID01248,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</si>
  <si>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&amp;MeasurementResultID01249 {ResultObj: *ResultID01249,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</si>
  <si>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&amp;MeasurementResultID01250 {ResultObj: *ResultID01250,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</si>
  <si>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&amp;MeasurementResultID01251 {ResultObj: *ResultID01251,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</si>
  <si>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&amp;MeasurementResultID01252 {ResultObj: *ResultID01252,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</si>
  <si>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&amp;MeasurementResultID01253 {ResultObj: *ResultID01253,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</si>
  <si>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&amp;MeasurementResultID01254 {ResultObj: *ResultID01254,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</si>
  <si>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&amp;MeasurementResultID01255 {ResultObj: *ResultID01255,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</si>
  <si>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&amp;MeasurementResultID01256 {ResultObj: *ResultID01256,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</si>
  <si>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&amp;MeasurementResultID01257 {ResultObj: *ResultID01257,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</si>
  <si>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&amp;MeasurementResultID01258 {ResultObj: *ResultID01258,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</si>
  <si>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&amp;MeasurementResultID01259 {ResultObj: *ResultID01259,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</si>
  <si>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&amp;MeasurementResultID01260 {ResultObj: *ResultID01260,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</si>
  <si>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&amp;MeasurementResultID01261 {ResultObj: *ResultID01261,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</si>
  <si>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&amp;MeasurementResultID01262 {ResultObj: *ResultID01262,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</si>
  <si>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&amp;MeasurementResultID01263 {ResultObj: *ResultID01263,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</si>
  <si>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&amp;MeasurementResultID01264 {ResultObj: *ResultID01264,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</si>
  <si>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&amp;MeasurementResultID01265 {ResultObj: *ResultID01265,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</si>
  <si>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&amp;MeasurementResultID01266 {ResultObj: *ResultID01266,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</si>
  <si>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&amp;MeasurementResultID01267 {ResultObj: *ResultID01267,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</si>
  <si>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&amp;MeasurementResultID01268 {ResultObj: *ResultID01268,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</si>
  <si>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&amp;MeasurementResultID01269 {ResultObj: *ResultID01269,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</si>
  <si>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&amp;MeasurementResultID01270 {ResultObj: *ResultID01270,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</si>
  <si>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&amp;MeasurementResultID01273 {ResultObj: *ResultID01273,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</si>
  <si>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&amp;MeasurementResultID01274 {ResultObj: *ResultID01274,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</si>
  <si>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&amp;MeasurementResultID01275 {ResultObj: *ResultID01275,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</si>
  <si>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&amp;MeasurementResultID01276 {ResultObj: *ResultID01276,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</si>
  <si>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&amp;MeasurementResultID01277 {ResultObj: *ResultID01277,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</si>
  <si>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&amp;MeasurementResultID01278 {ResultObj: *ResultID01278,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</si>
  <si>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&amp;MeasurementResultID01279 {ResultObj: *ResultID01279,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</si>
  <si>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&amp;MeasurementResultID01280 {ResultObj: *ResultID01280,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</si>
  <si>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&amp;MeasurementResultID01281 {ResultObj: *ResultID01281,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</si>
  <si>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&amp;MeasurementResultID01282 {ResultObj: *ResultID01282,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</si>
  <si>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&amp;MeasurementResultID01283 {ResultObj: *ResultID01283,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</si>
  <si>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&amp;MeasurementResultID01284 {ResultObj: *ResultID01284,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</si>
  <si>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&amp;MeasurementResultID01285 {ResultObj: *ResultID01285,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</si>
  <si>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&amp;MeasurementResultID01286 {ResultObj: *ResultID01286,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</si>
  <si>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&amp;MeasurementResultID01287 {ResultObj: *ResultID01287,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</si>
  <si>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&amp;MeasurementResultID01288 {ResultObj: *ResultID01288,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</si>
  <si>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&amp;MeasurementResultID01289 {ResultObj: *ResultID01289,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</si>
  <si>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&amp;MeasurementResultID01290 {ResultObj: *ResultID01290,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</si>
  <si>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&amp;MeasurementResultID01291 {ResultObj: *ResultID01291,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</si>
  <si>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&amp;MeasurementResultID01292 {ResultObj: *ResultID01292,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</si>
  <si>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&amp;MeasurementResultID01293 {ResultObj: *ResultID01293,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</si>
  <si>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&amp;MeasurementResultID01294 {ResultObj: *ResultID01294,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</si>
  <si>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&amp;MeasurementResultID01295 {ResultObj: *ResultID01295,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</si>
  <si>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&amp;MeasurementResultID01296 {ResultObj: *ResultID01296,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</si>
  <si>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&amp;MeasurementResultID01297 {ResultObj: *ResultID01297,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</si>
  <si>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&amp;MeasurementResultID01298 {ResultObj: *ResultID01298,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</si>
  <si>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&amp;MeasurementResultID01299 {ResultObj: *ResultID01299,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</si>
  <si>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&amp;MeasurementResultID01300 {ResultObj: *ResultID01300,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</si>
  <si>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&amp;MeasurementResultID01301 {ResultObj: *ResultID01301,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</si>
  <si>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&amp;MeasurementResultID01302 {ResultObj: *ResultID01302,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</si>
  <si>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&amp;MeasurementResultID01303 {ResultObj: *ResultID01303,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</si>
  <si>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&amp;MeasurementResultID01304 {ResultObj: *ResultID01304,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</si>
  <si>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&amp;MeasurementResultID01305 {ResultObj: *ResultID01305,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</si>
  <si>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&amp;MeasurementResultID01306 {ResultObj: *ResultID01306,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</si>
  <si>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&amp;MeasurementResultID01307 {ResultObj: *ResultID01307,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</si>
  <si>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&amp;MeasurementResultID01308 {ResultObj: *ResultID01308,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</si>
  <si>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&amp;MeasurementResultID01309 {ResultObj: *ResultID01309,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</si>
  <si>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&amp;MeasurementResultID01310 {ResultObj: *ResultID01310,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</si>
  <si>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&amp;MeasurementResultID01311 {ResultObj: *ResultID01311,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</si>
  <si>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&amp;MeasurementResultID01312 {ResultObj: *ResultID01312,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</si>
  <si>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&amp;MeasurementResultID01313 {ResultObj: *ResultID01313,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</si>
  <si>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&amp;MeasurementResultID01314 {ResultObj: *ResultID01314,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</si>
  <si>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&amp;MeasurementResultID01315 {ResultObj: *ResultID01315,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</si>
  <si>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&amp;MeasurementResultID01316 {ResultObj: *ResultID01316,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</si>
  <si>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&amp;MeasurementResultID01317 {ResultObj: *ResultID01317,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</si>
  <si>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&amp;MeasurementResultID01318 {ResultObj: *ResultID01318,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</si>
  <si>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&amp;MeasurementResultID01319 {ResultObj: *ResultID01319,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</si>
  <si>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&amp;MeasurementResultID01320 {ResultObj: *ResultID01320,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</si>
  <si>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&amp;MeasurementResultID01321 {ResultObj: *ResultID01321,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</si>
  <si>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&amp;MeasurementResultID01322 {ResultObj: *ResultID01322,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</si>
  <si>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&amp;MeasurementResultID01323 {ResultObj: *ResultID01323,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</si>
  <si>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&amp;MeasurementResultID01324 {ResultObj: *ResultID01324,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</si>
  <si>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&amp;MeasurementResultID01325 {ResultObj: *ResultID01325,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</si>
  <si>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&amp;MeasurementResultID01326 {ResultObj: *ResultID01326,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</si>
  <si>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&amp;MeasurementResultID01327 {ResultObj: *ResultID01327,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</si>
  <si>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&amp;MeasurementResultID01328 {ResultObj: *ResultID01328,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</si>
  <si>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&amp;MeasurementResultID01329 {ResultObj: *ResultID01329,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</si>
  <si>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&amp;MeasurementResultID01330 {ResultObj: *ResultID01330,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</si>
  <si>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&amp;MeasurementResultID01331 {ResultObj: *ResultID01331,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</si>
  <si>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&amp;MeasurementResultID01332 {ResultObj: *ResultID01332,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</si>
  <si>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&amp;MeasurementResultID01333 {ResultObj: *ResultID01333,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</si>
  <si>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&amp;MeasurementResultID01334 {ResultObj: *ResultID01334,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</si>
  <si>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&amp;MeasurementResultID01335 {ResultObj: *ResultID01335,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</si>
  <si>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&amp;MeasurementResultID01336 {ResultObj: *ResultID01336,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</si>
  <si>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&amp;MeasurementResultID01337 {ResultObj: *ResultID01337,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</si>
  <si>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&amp;MeasurementResultID01338 {ResultObj: *ResultID01338,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</si>
  <si>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&amp;MeasurementResultID01339 {ResultObj: *ResultID01339,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</si>
  <si>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&amp;MeasurementResultID01340 {ResultObj: *ResultID01340,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</si>
  <si>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&amp;MeasurementResultID01341 {ResultObj: *ResultID01341,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</si>
  <si>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&amp;MeasurementResultID01342 {ResultObj: *ResultID01342,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</si>
  <si>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&amp;MeasurementResultID01343 {ResultObj: *ResultID01343,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</si>
  <si>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&amp;MeasurementResultID01344 {ResultObj: *ResultID01344,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</si>
  <si>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&amp;MeasurementResultID01345 {ResultObj: *ResultID01345,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</si>
  <si>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&amp;MeasurementResultID01346 {ResultObj: *ResultID01346,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</si>
  <si>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&amp;MeasurementResultID01347 {ResultObj: *ResultID01347,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</si>
  <si>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&amp;MeasurementResultID01348 {ResultObj: *ResultID01348,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</si>
  <si>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&amp;MeasurementResultID01349 {ResultObj: *ResultID01349,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</si>
  <si>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&amp;MeasurementResultID01350 {ResultObj: *ResultID01350,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</si>
  <si>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&amp;MeasurementResultID01351 {ResultObj: *ResultID01351,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</si>
  <si>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&amp;MeasurementResultID01352 {ResultObj: *ResultID01352,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</si>
  <si>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&amp;MeasurementResultID01353 {ResultObj: *ResultID01353,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</si>
  <si>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&amp;MeasurementResultID01354 {ResultObj: *ResultID01354,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</si>
  <si>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&amp;MeasurementResultID01355 {ResultObj: *ResultID01355,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</si>
  <si>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&amp;MeasurementResultID01356 {ResultObj: *ResultID01356,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</si>
  <si>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&amp;MeasurementResultID01378 {ResultObj: *ResultID01378,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</si>
  <si>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&amp;MeasurementResultID01379 {ResultObj: *ResultID01379,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</si>
  <si>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&amp;MeasurementResultID01380 {ResultObj: *ResultID01380,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</si>
  <si>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&amp;MeasurementResultID01381 {ResultObj: *ResultID01381,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</si>
  <si>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&amp;MeasurementResultID01382 {ResultObj: *ResultID01382,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</si>
  <si>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&amp;MeasurementResultID01383 {ResultObj: *ResultID01383,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</si>
  <si>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&amp;MeasurementResultID01384 {ResultObj: *ResultID01384,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</si>
  <si>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&amp;MeasurementResultID01385 {ResultObj: *ResultID01385,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</si>
  <si>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&amp;MeasurementResultID01579 {ResultObj: *ResultID01579,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</si>
  <si>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&amp;MeasurementResultID01580 {ResultObj: *ResultID01580,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</si>
  <si>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&amp;MeasurementResultID01581 {ResultObj: *ResultID01581,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</si>
  <si>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&amp;MeasurementResultID01582 {ResultObj: *ResultID01582,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</si>
  <si>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&amp;MeasurementResultID01583 {ResultObj: *ResultID01583,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</si>
  <si>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&amp;MeasurementResultID01584 {ResultObj: *ResultID01584,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</si>
  <si>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&amp;MeasurementResultID01585 {ResultObj: *ResultID01585,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</si>
  <si>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&amp;MeasurementResultID01586 {ResultObj: *ResultID01586,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</si>
  <si>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&amp;MeasurementResultID01587 {ResultObj: *ResultID01587,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</si>
  <si>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&amp;MeasurementResultID01588 {ResultObj: *ResultID01588,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</si>
  <si>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&amp;MeasurementResultID01589 {ResultObj: *ResultID01589,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</si>
  <si>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&amp;MeasurementResultID01590 {ResultObj: *ResultID01590,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</si>
  <si>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&amp;MeasurementResultID01591 {ResultObj: *ResultID01591,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</si>
  <si>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&amp;MeasurementResultID01592 {ResultObj: *ResultID01592,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</si>
  <si>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&amp;MeasurementResultID01593 {ResultObj: *ResultID01593,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</si>
  <si>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&amp;MeasurementResultID01594 {ResultObj: *ResultID01594,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</si>
  <si>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&amp;MeasurementResultID01595 {ResultObj: *ResultID01595,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</si>
  <si>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&amp;MeasurementResultID01596 {ResultObj: *ResultID01596,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</si>
  <si>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&amp;MeasurementResultID01597 {ResultObj: *ResultID01597,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</si>
  <si>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&amp;MeasurementResultID01598 {ResultObj: *ResultID01598,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</si>
  <si>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&amp;MeasurementResultID01599 {ResultObj: *ResultID01599,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</si>
  <si>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&amp;MeasurementResultID01600 {ResultObj: *ResultID01600,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</si>
  <si>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&amp;MeasurementResultID01601 {ResultObj: *ResultID01601,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</si>
  <si>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&amp;MeasurementResultID01602 {ResultObj: *ResultID01602,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</si>
  <si>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&amp;MeasurementResultID01603 {ResultObj: *ResultID01603,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</si>
  <si>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&amp;MeasurementResultID01604 {ResultObj: *ResultID01604,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</si>
  <si>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&amp;MeasurementResultID01605 {ResultObj: *ResultID01605,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</si>
  <si>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&amp;MeasurementResultID01606 {ResultObj: *ResultID01606,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</si>
  <si>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&amp;MeasurementResultID01607 {ResultObj: *ResultID01607,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</si>
  <si>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&amp;MeasurementResultID01608 {ResultObj: *ResultID01608,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</si>
  <si>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&amp;MeasurementResultID01609 {ResultObj: *ResultID01609,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</si>
  <si>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&amp;MeasurementResultID01610 {ResultObj: *ResultID01610,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</si>
  <si>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&amp;MeasurementResultID01611 {ResultObj: *ResultID01611,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</si>
  <si>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&amp;MeasurementResultID01612 {ResultObj: *ResultID01612,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</si>
  <si>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&amp;MeasurementResultID01613 {ResultObj: *ResultID01613,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</si>
  <si>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&amp;MeasurementResultID01614 {ResultObj: *ResultID01614,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</si>
  <si>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&amp;MeasurementResultID01615 {ResultObj: *ResultID01615,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</si>
  <si>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&amp;MeasurementResultID01616 {ResultObj: *ResultID01616,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</si>
  <si>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&amp;MeasurementResultID01620 {ResultObj: *ResultID01620,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</si>
  <si>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&amp;MeasurementResultID01621 {ResultObj: *ResultID01621,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</si>
  <si>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&amp;MeasurementResultID01622 {ResultObj: *ResultID01622,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</si>
  <si>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&amp;MeasurementResultID01623 {ResultObj: *ResultID01623,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</si>
  <si>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&amp;MeasurementResultID01624 {ResultObj: *ResultID01624,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</si>
  <si>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&amp;MeasurementResultID01625 {ResultObj: *ResultID01625,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</si>
  <si>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&amp;MeasurementResultID01626 {ResultObj: *ResultID01626,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</si>
  <si>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&amp;MeasurementResultID01627 {ResultObj: *ResultID01627,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</si>
  <si>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&amp;MeasurementResultID01628 {ResultObj: *ResultID01628,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</si>
  <si>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&amp;MeasurementResultID01629 {ResultObj: *ResultID01629,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</si>
  <si>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&amp;MeasurementResultID01630 {ResultObj: *ResultID01630,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</si>
  <si>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&amp;MeasurementResultID01631 {ResultObj: *ResultID01631,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</si>
  <si>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&amp;MeasurementResultID01632 {ResultObj: *ResultID01632,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</si>
  <si>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&amp;MeasurementResultID01633 {ResultObj: *ResultID01633,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</si>
  <si>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&amp;MeasurementResultID01655 {ResultObj: *ResultID01655,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</si>
  <si>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&amp;MeasurementResultID01656 {ResultObj: *ResultID01656,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</si>
  <si>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&amp;MeasurementResultID01657 {ResultObj: *ResultID01657,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</si>
  <si>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&amp;MeasurementResultID01658 {ResultObj: *ResultID01658,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</si>
  <si>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&amp;MeasurementResultID01659 {ResultObj: *ResultID01659,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</si>
  <si>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&amp;MeasurementResultID01660 {ResultObj: *ResultID01660,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</si>
  <si>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&amp;MeasurementResultID01661 {ResultObj: *ResultID01661,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</si>
  <si>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&amp;MeasurementResultID01662 {ResultObj: *ResultID01662, XLocation:  ", XLocationUnitsObj:  , YLocation:  ", YLocationUnitsObj:  , ZLocation:  ", ZLocationUnitsObj:  , SpatialReferenceObj:  , CensorCodeCV: "Not censored", QualityCodeCV:  "Good", AggregationStatisticCV:  "Average", TimeAggregationInterval:  "0", TimeAggregationUnitsObj:  "sec"}</t>
  </si>
  <si>
    <t xml:space="preserve">  - &amp;SamplingFeatureID00008 {SamplingFeatureUUID:  NULL, SamplingFeatureTypeCV:  "Specimen", SamplingFeatureCode:  "1100003", SamplingFeatureName:  NULL, SamplingFeatureDescription:  NULL, SamplingFeatureGeotypeCV:  Point, FeatureGeometry:  ", Elevation_m:  ", ElevationDatumCV:  "}</t>
  </si>
  <si>
    <t xml:space="preserve">  - &amp;SamplingFeatureID00009 {SamplingFeatureUUID:  NULL, SamplingFeatureTypeCV:  "Specimen", SamplingFeatureCode:  "1100072", SamplingFeatureName:  NULL, SamplingFeatureDescription:  NULL, SamplingFeatureGeotypeCV:  Point, FeatureGeometry:  ", Elevation_m:  ", ElevationDatumCV:  "}</t>
  </si>
  <si>
    <t xml:space="preserve">  - &amp;SamplingFeatureID00010 {SamplingFeatureUUID:  NULL, SamplingFeatureTypeCV:  "Specimen", SamplingFeatureCode:  "1100073", SamplingFeatureName:  NULL, SamplingFeatureDescription:  NULL, SamplingFeatureGeotypeCV:  Point, FeatureGeometry:  ", Elevation_m:  ", ElevationDatumCV:  "}</t>
  </si>
  <si>
    <t xml:space="preserve">  - &amp;SamplingFeatureID00011 {SamplingFeatureUUID:  NULL, SamplingFeatureTypeCV:  "Specimen", SamplingFeatureCode:  "1100185", SamplingFeatureName:  NULL, SamplingFeatureDescription:  NULL, SamplingFeatureGeotypeCV:  Point, FeatureGeometry:  ", Elevation_m:  ", ElevationDatumCV:  "}</t>
  </si>
  <si>
    <t xml:space="preserve">  - &amp;SamplingFeatureID00012 {SamplingFeatureUUID:  NULL, SamplingFeatureTypeCV:  "Specimen", SamplingFeatureCode:  "1100229", SamplingFeatureName:  NULL, SamplingFeatureDescription:  NULL, SamplingFeatureGeotypeCV:  Point, FeatureGeometry:  ", Elevation_m:  ", ElevationDatumCV:  "}</t>
  </si>
  <si>
    <t xml:space="preserve">  - &amp;SamplingFeatureID00013 {SamplingFeatureUUID:  NULL, SamplingFeatureTypeCV:  "Specimen", SamplingFeatureCode:  "1100230", SamplingFeatureName:  NULL, SamplingFeatureDescription:  NULL, SamplingFeatureGeotypeCV:  Point, FeatureGeometry:  ", Elevation_m:  ", ElevationDatumCV:  "}</t>
  </si>
  <si>
    <t xml:space="preserve">  - &amp;SamplingFeatureID00014 {SamplingFeatureUUID:  NULL, SamplingFeatureTypeCV:  "Specimen", SamplingFeatureCode:  "1100285", SamplingFeatureName:  NULL, SamplingFeatureDescription:  NULL, SamplingFeatureGeotypeCV:  Point, FeatureGeometry:  ", Elevation_m:  ", ElevationDatumCV:  "}</t>
  </si>
  <si>
    <t xml:space="preserve">  - &amp;SamplingFeatureID00015 {SamplingFeatureUUID:  NULL, SamplingFeatureTypeCV:  "Specimen", SamplingFeatureCode:  "1100286", SamplingFeatureName:  NULL, SamplingFeatureDescription:  NULL, SamplingFeatureGeotypeCV:  Point, FeatureGeometry:  ", Elevation_m:  ", ElevationDatumCV:  "}</t>
  </si>
  <si>
    <t xml:space="preserve">  - &amp;SamplingFeatureID00016 {SamplingFeatureUUID:  NULL, SamplingFeatureTypeCV:  "Specimen", SamplingFeatureCode:  "1100287", SamplingFeatureName:  NULL, SamplingFeatureDescription:  NULL, SamplingFeatureGeotypeCV:  Point, FeatureGeometry:  ", Elevation_m:  ", ElevationDatumCV:  "}</t>
  </si>
  <si>
    <t xml:space="preserve">  - &amp;SamplingFeatureID00017 {SamplingFeatureUUID:  NULL, SamplingFeatureTypeCV:  "Specimen", SamplingFeatureCode:  "1100288", SamplingFeatureName:  NULL, SamplingFeatureDescription:  NULL, SamplingFeatureGeotypeCV:  Point, FeatureGeometry:  ", Elevation_m:  ", ElevationDatumCV:  "}</t>
  </si>
  <si>
    <t xml:space="preserve">  - &amp;SamplingFeatureID00018 {SamplingFeatureUUID:  NULL, SamplingFeatureTypeCV:  "Specimen", SamplingFeatureCode:  "1100289", SamplingFeatureName:  NULL, SamplingFeatureDescription:  NULL, SamplingFeatureGeotypeCV:  Point, FeatureGeometry:  ", Elevation_m:  ", ElevationDatumCV:  "}</t>
  </si>
  <si>
    <t xml:space="preserve">  - &amp;SamplingFeatureID00019 {SamplingFeatureUUID:  NULL, SamplingFeatureTypeCV:  "Specimen", SamplingFeatureCode:  "1100290", SamplingFeatureName:  NULL, SamplingFeatureDescription:  NULL, SamplingFeatureGeotypeCV:  Point, FeatureGeometry:  ", Elevation_m:  ", ElevationDatumCV:  "}</t>
  </si>
  <si>
    <t xml:space="preserve">  - &amp;SamplingFeatureID00020 {SamplingFeatureUUID:  NULL, SamplingFeatureTypeCV:  "Specimen", SamplingFeatureCode:  "1100291", SamplingFeatureName:  NULL, SamplingFeatureDescription:  NULL, SamplingFeatureGeotypeCV:  Point, FeatureGeometry:  ", Elevation_m:  ", ElevationDatumCV:  "}</t>
  </si>
  <si>
    <t xml:space="preserve">  - &amp;SamplingFeatureID00021 {SamplingFeatureUUID:  NULL, SamplingFeatureTypeCV:  "Specimen", SamplingFeatureCode:  "1100292", SamplingFeatureName:  NULL, SamplingFeatureDescription:  NULL, SamplingFeatureGeotypeCV:  Point, FeatureGeometry:  ", Elevation_m:  ", ElevationDatumCV:  "}</t>
  </si>
  <si>
    <t xml:space="preserve">  - &amp;SamplingFeatureID00022 {SamplingFeatureUUID:  NULL, SamplingFeatureTypeCV:  "Specimen", SamplingFeatureCode:  "1100293", SamplingFeatureName:  NULL, SamplingFeatureDescription:  NULL, SamplingFeatureGeotypeCV:  Point, FeatureGeometry:  ", Elevation_m:  ", ElevationDatumCV:  "}</t>
  </si>
  <si>
    <t xml:space="preserve">  - &amp;SamplingFeatureID00023 {SamplingFeatureUUID:  NULL, SamplingFeatureTypeCV:  "Specimen", SamplingFeatureCode:  "1100294", SamplingFeatureName:  NULL, SamplingFeatureDescription:  NULL, SamplingFeatureGeotypeCV:  Point, FeatureGeometry:  ", Elevation_m:  ", ElevationDatumCV:  "}</t>
  </si>
  <si>
    <t xml:space="preserve">  - &amp;SamplingFeatureID00024 {SamplingFeatureUUID:  NULL, SamplingFeatureTypeCV:  "Specimen", SamplingFeatureCode:  "1100338", SamplingFeatureName:  NULL, SamplingFeatureDescription:  NULL, SamplingFeatureGeotypeCV:  Point, FeatureGeometry:  ", Elevation_m:  ", ElevationDatumCV:  "}</t>
  </si>
  <si>
    <t xml:space="preserve">  - &amp;SamplingFeatureID00025 {SamplingFeatureUUID:  NULL, SamplingFeatureTypeCV:  "Specimen", SamplingFeatureCode:  "1100356", SamplingFeatureName:  NULL, SamplingFeatureDescription:  NULL, SamplingFeatureGeotypeCV:  Point, FeatureGeometry:  ", Elevation_m:  ", ElevationDatumCV:  "}</t>
  </si>
  <si>
    <t xml:space="preserve">  - &amp;SamplingFeatureID00026 {SamplingFeatureUUID:  NULL, SamplingFeatureTypeCV:  "Specimen", SamplingFeatureCode:  "1100357", SamplingFeatureName:  NULL, SamplingFeatureDescription:  NULL, SamplingFeatureGeotypeCV:  Point, FeatureGeometry:  ", Elevation_m:  ", ElevationDatumCV:  "}</t>
  </si>
  <si>
    <t xml:space="preserve">  - &amp;SamplingFeatureID00027 {SamplingFeatureUUID:  NULL, SamplingFeatureTypeCV:  "Specimen", SamplingFeatureCode:  "1100358", SamplingFeatureName:  NULL, SamplingFeatureDescription:  NULL, SamplingFeatureGeotypeCV:  Point, FeatureGeometry:  ", Elevation_m:  ", ElevationDatumCV:  "}</t>
  </si>
  <si>
    <t xml:space="preserve">  - &amp;SamplingFeatureID00028 {SamplingFeatureUUID:  NULL, SamplingFeatureTypeCV:  "Specimen", SamplingFeatureCode:  "1100359", SamplingFeatureName:  NULL, SamplingFeatureDescription:  NULL, SamplingFeatureGeotypeCV:  Point, FeatureGeometry:  ", Elevation_m:  ", ElevationDatumCV:  "}</t>
  </si>
  <si>
    <t xml:space="preserve">  - &amp;SamplingFeatureID00029 {SamplingFeatureUUID:  NULL, SamplingFeatureTypeCV:  "Specimen", SamplingFeatureCode:  "1100360", SamplingFeatureName:  NULL, SamplingFeatureDescription:  NULL, SamplingFeatureGeotypeCV:  Point, FeatureGeometry:  ", Elevation_m:  ", ElevationDatumCV:  "}</t>
  </si>
  <si>
    <t xml:space="preserve">  - &amp;SamplingFeatureID00030 {SamplingFeatureUUID:  NULL, SamplingFeatureTypeCV:  "Specimen", SamplingFeatureCode:  "1100361", SamplingFeatureName:  NULL, SamplingFeatureDescription:  NULL, SamplingFeatureGeotypeCV:  Point, FeatureGeometry:  ", Elevation_m:  ", ElevationDatumCV:  "}</t>
  </si>
  <si>
    <t xml:space="preserve">  - &amp;SamplingFeatureID00031 {SamplingFeatureUUID:  NULL, SamplingFeatureTypeCV:  "Specimen", SamplingFeatureCode:  "1100362", SamplingFeatureName:  NULL, SamplingFeatureDescription:  NULL, SamplingFeatureGeotypeCV:  Point, FeatureGeometry:  ", Elevation_m:  ", ElevationDatumCV:  "}</t>
  </si>
  <si>
    <t xml:space="preserve">  - &amp;SamplingFeatureID00032 {SamplingFeatureUUID:  NULL, SamplingFeatureTypeCV:  "Specimen", SamplingFeatureCode:  "1100363", SamplingFeatureName:  NULL, SamplingFeatureDescription:  NULL, SamplingFeatureGeotypeCV:  Point, FeatureGeometry:  ", Elevation_m:  ", ElevationDatumCV:  "}</t>
  </si>
  <si>
    <t xml:space="preserve">  - &amp;SamplingFeatureID00033 {SamplingFeatureUUID:  NULL, SamplingFeatureTypeCV:  "Specimen", SamplingFeatureCode:  "1100364", SamplingFeatureName:  NULL, SamplingFeatureDescription:  NULL, SamplingFeatureGeotypeCV:  Point, FeatureGeometry:  ", Elevation_m:  ", ElevationDatumCV:  "}</t>
  </si>
  <si>
    <t xml:space="preserve">  - &amp;SamplingFeatureID00034 {SamplingFeatureUUID:  NULL, SamplingFeatureTypeCV:  "Specimen", SamplingFeatureCode:  "1100365", SamplingFeatureName:  NULL, SamplingFeatureDescription:  NULL, SamplingFeatureGeotypeCV:  Point, FeatureGeometry:  ", Elevation_m:  ", ElevationDatumCV:  "}</t>
  </si>
  <si>
    <t xml:space="preserve">  - &amp;SamplingFeatureID00035 {SamplingFeatureUUID:  NULL, SamplingFeatureTypeCV:  "Specimen", SamplingFeatureCode:  "1100366", SamplingFeatureName:  NULL, SamplingFeatureDescription:  NULL, SamplingFeatureGeotypeCV:  Point, FeatureGeometry:  ", Elevation_m:  ", ElevationDatumCV:  "}</t>
  </si>
  <si>
    <t xml:space="preserve">  - &amp;SamplingFeatureID00036 {SamplingFeatureUUID:  NULL, SamplingFeatureTypeCV:  "Specimen", SamplingFeatureCode:  "1100367", SamplingFeatureName:  NULL, SamplingFeatureDescription:  NULL, SamplingFeatureGeotypeCV:  Point, FeatureGeometry:  ", Elevation_m:  ", ElevationDatumCV:  "}</t>
  </si>
  <si>
    <t xml:space="preserve">  - &amp;SamplingFeatureID00037 {SamplingFeatureUUID:  NULL, SamplingFeatureTypeCV:  "Specimen", SamplingFeatureCode:  "1100429", SamplingFeatureName:  NULL, SamplingFeatureDescription:  NULL, SamplingFeatureGeotypeCV:  Point, FeatureGeometry:  ", Elevation_m:  ", ElevationDatumCV:  "}</t>
  </si>
  <si>
    <t xml:space="preserve">  - &amp;SamplingFeatureID00038 {SamplingFeatureUUID:  NULL, SamplingFeatureTypeCV:  "Specimen", SamplingFeatureCode:  "1100430", SamplingFeatureName:  NULL, SamplingFeatureDescription:  NULL, SamplingFeatureGeotypeCV:  Point, FeatureGeometry:  ", Elevation_m:  ", ElevationDatumCV:  "}</t>
  </si>
  <si>
    <t xml:space="preserve">  - &amp;SamplingFeatureID00039 {SamplingFeatureUUID:  NULL, SamplingFeatureTypeCV:  "Specimen", SamplingFeatureCode:  "1100553", SamplingFeatureName:  NULL, SamplingFeatureDescription:  NULL, SamplingFeatureGeotypeCV:  Point, FeatureGeometry:  ", Elevation_m:  ", ElevationDatumCV:  "}</t>
  </si>
  <si>
    <t xml:space="preserve">  - &amp;SamplingFeatureID00040 {SamplingFeatureUUID:  NULL, SamplingFeatureTypeCV:  "Specimen", SamplingFeatureCode:  "1100563", SamplingFeatureName:  NULL, SamplingFeatureDescription:  NULL, SamplingFeatureGeotypeCV:  Point, FeatureGeometry:  ", Elevation_m:  ", ElevationDatumCV:  "}</t>
  </si>
  <si>
    <t xml:space="preserve">  - &amp;SamplingFeatureID00041 {SamplingFeatureUUID:  NULL, SamplingFeatureTypeCV:  "Specimen", SamplingFeatureCode:  "1100564", SamplingFeatureName:  NULL, SamplingFeatureDescription:  NULL, SamplingFeatureGeotypeCV:  Point, FeatureGeometry:  ", Elevation_m:  ", ElevationDatumCV:  "}</t>
  </si>
  <si>
    <t xml:space="preserve">  - &amp;SamplingFeatureID00042 {SamplingFeatureUUID:  NULL, SamplingFeatureTypeCV:  "Specimen", SamplingFeatureCode:  "1100585", SamplingFeatureName:  NULL, SamplingFeatureDescription:  NULL, SamplingFeatureGeotypeCV:  Point, FeatureGeometry:  ", Elevation_m:  ", ElevationDatumCV:  "}</t>
  </si>
  <si>
    <t xml:space="preserve">  - &amp;SamplingFeatureID00043 {SamplingFeatureUUID:  NULL, SamplingFeatureTypeCV:  "Specimen", SamplingFeatureCode:  "1100586", SamplingFeatureName:  NULL, SamplingFeatureDescription:  NULL, SamplingFeatureGeotypeCV:  Point, FeatureGeometry:  ", Elevation_m:  ", ElevationDatumCV:  "}</t>
  </si>
  <si>
    <t xml:space="preserve">  - &amp;SamplingFeatureID00044 {SamplingFeatureUUID:  NULL, SamplingFeatureTypeCV:  "Specimen", SamplingFeatureCode:  "1100587", SamplingFeatureName:  NULL, SamplingFeatureDescription:  NULL, SamplingFeatureGeotypeCV:  Point, FeatureGeometry:  ", Elevation_m:  ", ElevationDatumCV:  "}</t>
  </si>
  <si>
    <t xml:space="preserve">  - &amp;SamplingFeatureID00045 {SamplingFeatureUUID:  NULL, SamplingFeatureTypeCV:  "Specimen", SamplingFeatureCode:  "1100604", SamplingFeatureName:  NULL, SamplingFeatureDescription:  NULL, SamplingFeatureGeotypeCV:  Point, FeatureGeometry:  ", Elevation_m:  ", ElevationDatumCV:  "}</t>
  </si>
  <si>
    <t xml:space="preserve">  - &amp;SamplingFeatureID00046 {SamplingFeatureUUID:  NULL, SamplingFeatureTypeCV:  "Specimen", SamplingFeatureCode:  "1100605", SamplingFeatureName:  NULL, SamplingFeatureDescription:  NULL, SamplingFeatureGeotypeCV:  Point, FeatureGeometry:  ", Elevation_m:  ", ElevationDatumCV:  "}</t>
  </si>
  <si>
    <t xml:space="preserve">  - &amp;SamplingFeatureID00047 {SamplingFeatureUUID:  NULL, SamplingFeatureTypeCV:  "Specimen", SamplingFeatureCode:  "1100606", SamplingFeatureName:  NULL, SamplingFeatureDescription:  NULL, SamplingFeatureGeotypeCV:  Point, FeatureGeometry:  ", Elevation_m:  ", ElevationDatumCV:  "}</t>
  </si>
  <si>
    <t xml:space="preserve">  - &amp;SamplingFeatureID00048 {SamplingFeatureUUID:  NULL, SamplingFeatureTypeCV:  "Specimen", SamplingFeatureCode:  "1100607", SamplingFeatureName:  NULL, SamplingFeatureDescription:  NULL, SamplingFeatureGeotypeCV:  Point, FeatureGeometry:  ", Elevation_m:  ", ElevationDatumCV:  "}</t>
  </si>
  <si>
    <t xml:space="preserve">  - &amp;SamplingFeatureID00049 {SamplingFeatureUUID:  NULL, SamplingFeatureTypeCV:  "Specimen", SamplingFeatureCode:  "1100608", SamplingFeatureName:  NULL, SamplingFeatureDescription:  NULL, SamplingFeatureGeotypeCV:  Point, FeatureGeometry:  ", Elevation_m:  ", ElevationDatumCV:  "}</t>
  </si>
  <si>
    <t xml:space="preserve">  - &amp;SamplingFeatureID00050 {SamplingFeatureUUID:  NULL, SamplingFeatureTypeCV:  "Specimen", SamplingFeatureCode:  "1100609", SamplingFeatureName:  NULL, SamplingFeatureDescription:  NULL, SamplingFeatureGeotypeCV:  Point, FeatureGeometry:  ", Elevation_m:  ", ElevationDatumCV:  "}</t>
  </si>
  <si>
    <t xml:space="preserve">  - &amp;SamplingFeatureID00051 {SamplingFeatureUUID:  NULL, SamplingFeatureTypeCV:  "Specimen", SamplingFeatureCode:  "1100610", SamplingFeatureName:  NULL, SamplingFeatureDescription:  NULL, SamplingFeatureGeotypeCV:  Point, FeatureGeometry:  ", Elevation_m:  ", ElevationDatumCV:  "}</t>
  </si>
  <si>
    <t xml:space="preserve">  - &amp;SamplingFeatureID00052 {SamplingFeatureUUID:  NULL, SamplingFeatureTypeCV:  "Specimen", SamplingFeatureCode:  "1100611", SamplingFeatureName:  NULL, SamplingFeatureDescription:  NULL, SamplingFeatureGeotypeCV:  Point, FeatureGeometry:  ", Elevation_m:  ", ElevationDatumCV:  "}</t>
  </si>
  <si>
    <t xml:space="preserve">  - &amp;SamplingFeatureID00053 {SamplingFeatureUUID:  NULL, SamplingFeatureTypeCV:  "Specimen", SamplingFeatureCode:  "1100612", SamplingFeatureName:  NULL, SamplingFeatureDescription:  NULL, SamplingFeatureGeotypeCV:  Point, FeatureGeometry:  ", Elevation_m:  ", ElevationDatumCV:  "}</t>
  </si>
  <si>
    <t xml:space="preserve">  - &amp;SamplingFeatureID00054 {SamplingFeatureUUID:  NULL, SamplingFeatureTypeCV:  "Specimen", SamplingFeatureCode:  "1100613", SamplingFeatureName:  NULL, SamplingFeatureDescription:  NULL, SamplingFeatureGeotypeCV:  Point, FeatureGeometry:  ", Elevation_m:  ", ElevationDatumCV:  "}</t>
  </si>
  <si>
    <t xml:space="preserve">  - &amp;SamplingFeatureID00055 {SamplingFeatureUUID:  NULL, SamplingFeatureTypeCV:  "Specimen", SamplingFeatureCode:  "1100741", SamplingFeatureName:  NULL, SamplingFeatureDescription:  NULL, SamplingFeatureGeotypeCV:  Point, FeatureGeometry:  ", Elevation_m:  ", ElevationDatumCV:  "}</t>
  </si>
  <si>
    <t xml:space="preserve">  - &amp;SamplingFeatureID00056 {SamplingFeatureUUID:  NULL, SamplingFeatureTypeCV:  "Specimen", SamplingFeatureCode:  "1101233", SamplingFeatureName:  NULL, SamplingFeatureDescription:  NULL, SamplingFeatureGeotypeCV:  Point, FeatureGeometry:  ", Elevation_m:  ", ElevationDatumCV:  "}</t>
  </si>
  <si>
    <t xml:space="preserve">  - &amp;SamplingFeatureID00057 {SamplingFeatureUUID:  NULL, SamplingFeatureTypeCV:  "Specimen", SamplingFeatureCode:  "1101468", SamplingFeatureName:  NULL, SamplingFeatureDescription:  NULL, SamplingFeatureGeotypeCV:  Point, FeatureGeometry:  ", Elevation_m:  ", ElevationDatumCV:  "}</t>
  </si>
  <si>
    <t xml:space="preserve">  - &amp;SamplingFeatureID00058 {SamplingFeatureUUID:  NULL, SamplingFeatureTypeCV:  "Specimen", SamplingFeatureCode:  "1101579", SamplingFeatureName:  NULL, SamplingFeatureDescription:  NULL, SamplingFeatureGeotypeCV:  Point, FeatureGeometry:  ", Elevation_m:  ", ElevationDatumCV:  "}</t>
  </si>
  <si>
    <t xml:space="preserve">  - &amp;SamplingFeatureID00059 {SamplingFeatureUUID:  NULL, SamplingFeatureTypeCV:  "Specimen", SamplingFeatureCode:  "1101580", SamplingFeatureName:  NULL, SamplingFeatureDescription:  NULL, SamplingFeatureGeotypeCV:  Point, FeatureGeometry:  ", Elevation_m:  ", ElevationDatumCV:  "}</t>
  </si>
  <si>
    <t xml:space="preserve">  - &amp;SamplingFeatureID00060 {SamplingFeatureUUID:  NULL, SamplingFeatureTypeCV:  "Specimen", SamplingFeatureCode:  "1101581", SamplingFeatureName:  NULL, SamplingFeatureDescription:  NULL, SamplingFeatureGeotypeCV:  Point, FeatureGeometry:  ", Elevation_m:  ", ElevationDatumCV:  "}</t>
  </si>
  <si>
    <t xml:space="preserve">  - &amp;SamplingFeatureID00061 {SamplingFeatureUUID:  NULL, SamplingFeatureTypeCV:  "Specimen", SamplingFeatureCode:  "1101582", SamplingFeatureName:  NULL, SamplingFeatureDescription:  NULL, SamplingFeatureGeotypeCV:  Point, FeatureGeometry:  ", Elevation_m:  ", ElevationDatumCV:  "}</t>
  </si>
  <si>
    <t xml:space="preserve">  - &amp;SamplingFeatureID00062 {SamplingFeatureUUID:  NULL, SamplingFeatureTypeCV:  "Specimen", SamplingFeatureCode:  "1101583", SamplingFeatureName:  NULL, SamplingFeatureDescription:  NULL, SamplingFeatureGeotypeCV:  Point, FeatureGeometry:  ", Elevation_m:  ", ElevationDatumCV:  "}</t>
  </si>
  <si>
    <t xml:space="preserve">  - &amp;SamplingFeatureID00063 {SamplingFeatureUUID:  NULL, SamplingFeatureTypeCV:  "Specimen", SamplingFeatureCode:  "1101584", SamplingFeatureName:  NULL, SamplingFeatureDescription:  NULL, SamplingFeatureGeotypeCV:  Point, FeatureGeometry:  ", Elevation_m:  ", ElevationDatumCV:  "}</t>
  </si>
  <si>
    <t xml:space="preserve">  - &amp;SamplingFeatureID00064 {SamplingFeatureUUID:  NULL, SamplingFeatureTypeCV:  "Specimen", SamplingFeatureCode:  "1101585", SamplingFeatureName:  NULL, SamplingFeatureDescription:  NULL, SamplingFeatureGeotypeCV:  Point, FeatureGeometry:  ", Elevation_m:  ", ElevationDatumCV:  "}</t>
  </si>
  <si>
    <t xml:space="preserve">  - &amp;SamplingFeatureID00065 {SamplingFeatureUUID:  NULL, SamplingFeatureTypeCV:  "Specimen", SamplingFeatureCode:  "1101586", SamplingFeatureName:  NULL, SamplingFeatureDescription:  NULL, SamplingFeatureGeotypeCV:  Point, FeatureGeometry:  ", Elevation_m:  ", ElevationDatumCV:  "}</t>
  </si>
  <si>
    <t xml:space="preserve">  - &amp;SamplingFeatureID00066 {SamplingFeatureUUID:  NULL, SamplingFeatureTypeCV:  "Specimen", SamplingFeatureCode:  "1101587", SamplingFeatureName:  NULL, SamplingFeatureDescription:  NULL, SamplingFeatureGeotypeCV:  Point, FeatureGeometry:  ", Elevation_m:  ", ElevationDatumCV:  "}</t>
  </si>
  <si>
    <t xml:space="preserve">  - &amp;SamplingFeatureID00067 {SamplingFeatureUUID:  NULL, SamplingFeatureTypeCV:  "Specimen", SamplingFeatureCode:  "1101589", SamplingFeatureName:  NULL, SamplingFeatureDescription:  NULL, SamplingFeatureGeotypeCV:  Point, FeatureGeometry:  ", Elevation_m:  ", ElevationDatumCV:  "}</t>
  </si>
  <si>
    <t xml:space="preserve">  - &amp;SamplingFeatureID00068 {SamplingFeatureUUID:  NULL, SamplingFeatureTypeCV:  "Specimen", SamplingFeatureCode:  "1101590", SamplingFeatureName:  NULL, SamplingFeatureDescription:  NULL, SamplingFeatureGeotypeCV:  Point, FeatureGeometry:  ", Elevation_m:  ", ElevationDatumCV:  "}</t>
  </si>
  <si>
    <t xml:space="preserve">  - &amp;SamplingFeatureID00069 {SamplingFeatureUUID:  NULL, SamplingFeatureTypeCV:  "Specimen", SamplingFeatureCode:  "1101591", SamplingFeatureName:  NULL, SamplingFeatureDescription:  NULL, SamplingFeatureGeotypeCV:  Point, FeatureGeometry:  ", Elevation_m:  ", ElevationDatumCV:  "}</t>
  </si>
  <si>
    <t xml:space="preserve">  - &amp;SamplingFeatureID00070 {SamplingFeatureUUID:  NULL, SamplingFeatureTypeCV:  "Specimen", SamplingFeatureCode:  "1101592", SamplingFeatureName:  NULL, SamplingFeatureDescription:  NULL, SamplingFeatureGeotypeCV:  Point, FeatureGeometry:  ", Elevation_m:  ", ElevationDatumCV:  "}</t>
  </si>
  <si>
    <t xml:space="preserve">  - &amp;SamplingFeatureID00071 {SamplingFeatureUUID:  NULL, SamplingFeatureTypeCV:  "Specimen", SamplingFeatureCode:  "1101593", SamplingFeatureName:  NULL, SamplingFeatureDescription:  NULL, SamplingFeatureGeotypeCV:  Point, FeatureGeometry:  ", Elevation_m:  ", ElevationDatumCV:  "}</t>
  </si>
  <si>
    <t xml:space="preserve">  - &amp;SamplingFeatureID00072 {SamplingFeatureUUID:  NULL, SamplingFeatureTypeCV:  "Specimen", SamplingFeatureCode:  "1101594", SamplingFeatureName:  NULL, SamplingFeatureDescription:  NULL, SamplingFeatureGeotypeCV:  Point, FeatureGeometry:  ", Elevation_m:  ", ElevationDatumCV:  "}</t>
  </si>
  <si>
    <t xml:space="preserve">  - &amp;SamplingFeatureID00073 {SamplingFeatureUUID:  NULL, SamplingFeatureTypeCV:  "Specimen", SamplingFeatureCode:  "1101595", SamplingFeatureName:  NULL, SamplingFeatureDescription:  NULL, SamplingFeatureGeotypeCV:  Point, FeatureGeometry:  ", Elevation_m:  ", ElevationDatumCV:  "}</t>
  </si>
  <si>
    <t xml:space="preserve">  - &amp;SamplingFeatureID00074 {SamplingFeatureUUID:  NULL, SamplingFeatureTypeCV:  "Specimen", SamplingFeatureCode:  "1101596", SamplingFeatureName:  NULL, SamplingFeatureDescription:  NULL, SamplingFeatureGeotypeCV:  Point, FeatureGeometry:  ", Elevation_m:  ", ElevationDatumCV:  "}</t>
  </si>
  <si>
    <t xml:space="preserve">  - &amp;SamplingFeatureID00075 {SamplingFeatureUUID:  NULL, SamplingFeatureTypeCV:  "Specimen", SamplingFeatureCode:  "1101597", SamplingFeatureName:  NULL, SamplingFeatureDescription:  NULL, SamplingFeatureGeotypeCV:  Point, FeatureGeometry:  ", Elevation_m:  ", ElevationDatumCV:  "}</t>
  </si>
  <si>
    <t xml:space="preserve">  - &amp;SamplingFeatureID00076 {SamplingFeatureUUID:  NULL, SamplingFeatureTypeCV:  "Specimen", SamplingFeatureCode:  "1101598", SamplingFeatureName:  NULL, SamplingFeatureDescription:  NULL, SamplingFeatureGeotypeCV:  Point, FeatureGeometry:  ", Elevation_m:  ", ElevationDatumCV:  "}</t>
  </si>
  <si>
    <t xml:space="preserve">  - &amp;SamplingFeatureID00077 {SamplingFeatureUUID:  NULL, SamplingFeatureTypeCV:  "Specimen", SamplingFeatureCode:  "1101599", SamplingFeatureName:  NULL, SamplingFeatureDescription:  NULL, SamplingFeatureGeotypeCV:  Point, FeatureGeometry:  ", Elevation_m:  ", ElevationDatumCV:  "}</t>
  </si>
  <si>
    <t xml:space="preserve">  - &amp;SamplingFeatureID00078 {SamplingFeatureUUID:  NULL, SamplingFeatureTypeCV:  "Specimen", SamplingFeatureCode:  "1101600", SamplingFeatureName:  NULL, SamplingFeatureDescription:  NULL, SamplingFeatureGeotypeCV:  Point, FeatureGeometry:  ", Elevation_m:  ", ElevationDatumCV:  "}</t>
  </si>
  <si>
    <t xml:space="preserve">  - &amp;SamplingFeatureID00079 {SamplingFeatureUUID:  NULL, SamplingFeatureTypeCV:  "Specimen", SamplingFeatureCode:  "1101773", SamplingFeatureName:  NULL, SamplingFeatureDescription:  NULL, SamplingFeatureGeotypeCV:  Point, FeatureGeometry:  ", Elevation_m:  ", ElevationDatumCV:  "}</t>
  </si>
  <si>
    <t xml:space="preserve">  - &amp;SamplingFeatureID00080 {SamplingFeatureUUID:  NULL, SamplingFeatureTypeCV:  "Specimen", SamplingFeatureCode:  "1102196", SamplingFeatureName:  NULL, SamplingFeatureDescription:  NULL, SamplingFeatureGeotypeCV:  Point, FeatureGeometry:  ", Elevation_m:  ", ElevationDatumCV:  "}</t>
  </si>
  <si>
    <t xml:space="preserve">  - &amp;SamplingFeatureID00081 {SamplingFeatureUUID:  NULL, SamplingFeatureTypeCV:  "Specimen", SamplingFeatureCode:  "1102197", SamplingFeatureName:  NULL, SamplingFeatureDescription:  NULL, SamplingFeatureGeotypeCV:  Point, FeatureGeometry:  ", Elevation_m:  ", ElevationDatumCV:  "}</t>
  </si>
  <si>
    <t xml:space="preserve">  - &amp;SamplingFeatureID00082 {SamplingFeatureUUID:  NULL, SamplingFeatureTypeCV:  "Specimen", SamplingFeatureCode:  "1102198", SamplingFeatureName:  NULL, SamplingFeatureDescription:  NULL, SamplingFeatureGeotypeCV:  Point, FeatureGeometry:  ", Elevation_m:  ", ElevationDatumCV:  "}</t>
  </si>
  <si>
    <t xml:space="preserve">  - &amp;SamplingFeatureID00083 {SamplingFeatureUUID:  NULL, SamplingFeatureTypeCV:  "Specimen", SamplingFeatureCode:  "1103088", SamplingFeatureName:  NULL, SamplingFeatureDescription:  NULL, SamplingFeatureGeotypeCV:  Point, FeatureGeometry:  ", Elevation_m:  ", ElevationDatumCV:  "}</t>
  </si>
  <si>
    <t xml:space="preserve">  - &amp;SamplingFeatureID00084 {SamplingFeatureUUID:  NULL, SamplingFeatureTypeCV:  "Specimen", SamplingFeatureCode:  "1103090", SamplingFeatureName:  NULL, SamplingFeatureDescription:  NULL, SamplingFeatureGeotypeCV:  Point, FeatureGeometry:  ", Elevation_m:  ", ElevationDatumCV:  "}</t>
  </si>
  <si>
    <t xml:space="preserve">  - &amp;SamplingFeatureID00085 {SamplingFeatureUUID:  NULL, SamplingFeatureTypeCV:  "Specimen", SamplingFeatureCode:  "1103089", SamplingFeatureName:  NULL, SamplingFeatureDescription:  NULL, SamplingFeatureGeotypeCV:  Point, FeatureGeometry:  ", Elevation_m:  ", ElevationDatumCV:  "}</t>
  </si>
  <si>
    <t xml:space="preserve">  - &amp;SamplingFeatureID00086 {SamplingFeatureUUID:  NULL, SamplingFeatureTypeCV:  "Specimen", SamplingFeatureCode:  "1103341", SamplingFeatureName:  NULL, SamplingFeatureDescription:  NULL, SamplingFeatureGeotypeCV:  Point, FeatureGeometry:  ", Elevation_m:  ", ElevationDatumCV:  "}</t>
  </si>
  <si>
    <t xml:space="preserve">  - &amp;SamplingFeatureID00087 {SamplingFeatureUUID:  NULL, SamplingFeatureTypeCV:  "Specimen", SamplingFeatureCode:  "1103343", SamplingFeatureName:  NULL, SamplingFeatureDescription:  NULL, SamplingFeatureGeotypeCV:  Point, FeatureGeometry:  ", Elevation_m:  ", ElevationDatumCV:  "}</t>
  </si>
  <si>
    <t xml:space="preserve">  - &amp;SamplingFeatureID00088 {SamplingFeatureUUID:  NULL, SamplingFeatureTypeCV:  "Specimen", SamplingFeatureCode:  "1103342", SamplingFeatureName:  NULL, SamplingFeatureDescription:  NULL, SamplingFeatureGeotypeCV:  Point, FeatureGeometry:  ", Elevation_m:  ", ElevationDatumCV:  "}</t>
  </si>
  <si>
    <t xml:space="preserve">  - &amp;SamplingFeatureID00089 {SamplingFeatureUUID:  NULL, SamplingFeatureTypeCV:  "Specimen", SamplingFeatureCode:  "1103386", SamplingFeatureName:  NULL, SamplingFeatureDescription:  NULL, SamplingFeatureGeotypeCV:  Point, FeatureGeometry:  ", Elevation_m:  ", ElevationDatumCV:  "}</t>
  </si>
  <si>
    <t xml:space="preserve">  - &amp;SamplingFeatureID00090 {SamplingFeatureUUID:  NULL, SamplingFeatureTypeCV:  "Specimen", SamplingFeatureCode:  "1103387", SamplingFeatureName:  NULL, SamplingFeatureDescription:  NULL, SamplingFeatureGeotypeCV:  Point, FeatureGeometry:  ", Elevation_m:  ", ElevationDatumCV:  "}</t>
  </si>
  <si>
    <t xml:space="preserve">  - &amp;SamplingFeatureID00091 {SamplingFeatureUUID:  NULL, SamplingFeatureTypeCV:  "Specimen", SamplingFeatureCode:  "1103685", SamplingFeatureName:  NULL, SamplingFeatureDescription:  NULL, SamplingFeatureGeotypeCV:  Point, FeatureGeometry:  ", Elevation_m:  ", ElevationDatumCV:  "}</t>
  </si>
  <si>
    <t xml:space="preserve">  - &amp;SamplingFeatureID00092 {SamplingFeatureUUID:  NULL, SamplingFeatureTypeCV:  "Specimen", SamplingFeatureCode:  "1103687", SamplingFeatureName:  NULL, SamplingFeatureDescription:  NULL, SamplingFeatureGeotypeCV:  Point, FeatureGeometry:  ", Elevation_m:  ", ElevationDatumCV:  "}</t>
  </si>
  <si>
    <t xml:space="preserve">  - &amp;SamplingFeatureID00093 {SamplingFeatureUUID:  NULL, SamplingFeatureTypeCV:  "Specimen", SamplingFeatureCode:  "1103686", SamplingFeatureName:  NULL, SamplingFeatureDescription:  NULL, SamplingFeatureGeotypeCV:  Point, FeatureGeometry:  ", Elevation_m:  ", ElevationDatumCV:  "}</t>
  </si>
  <si>
    <t xml:space="preserve">  - &amp;SamplingFeatureID00094 {SamplingFeatureUUID:  NULL, SamplingFeatureTypeCV:  "Specimen", SamplingFeatureCode:  "1104011", SamplingFeatureName:  NULL, SamplingFeatureDescription:  NULL, SamplingFeatureGeotypeCV:  Point, FeatureGeometry:  ", Elevation_m:  ", ElevationDatumCV:  "}</t>
  </si>
  <si>
    <t xml:space="preserve">  - &amp;SamplingFeatureID00095 {SamplingFeatureUUID:  NULL, SamplingFeatureTypeCV:  "Specimen", SamplingFeatureCode:  "1104012", SamplingFeatureName:  NULL, SamplingFeatureDescription:  NULL, SamplingFeatureGeotypeCV:  Point, FeatureGeometry:  ", Elevation_m:  ", ElevationDatumCV:  "}</t>
  </si>
  <si>
    <t xml:space="preserve">  - &amp;SamplingFeatureID00096 {SamplingFeatureUUID:  NULL, SamplingFeatureTypeCV:  "Specimen", SamplingFeatureCode:  "1104013", SamplingFeatureName:  NULL, SamplingFeatureDescription:  NULL, SamplingFeatureGeotypeCV:  Point, FeatureGeometry:  ", Elevation_m:  ", ElevationDatumCV:  "}</t>
  </si>
  <si>
    <t xml:space="preserve">  - &amp;SamplingFeatureID00097 {SamplingFeatureUUID:  NULL, SamplingFeatureTypeCV:  "Specimen", SamplingFeatureCode:  "1104014", SamplingFeatureName:  NULL, SamplingFeatureDescription:  NULL, SamplingFeatureGeotypeCV:  Point, FeatureGeometry:  ", Elevation_m:  ", ElevationDatumCV:  "}</t>
  </si>
  <si>
    <t xml:space="preserve">  - &amp;SamplingFeatureID00098 {SamplingFeatureUUID:  NULL, SamplingFeatureTypeCV:  "Specimen", SamplingFeatureCode:  "1104015", SamplingFeatureName:  NULL, SamplingFeatureDescription:  NULL, SamplingFeatureGeotypeCV:  Point, FeatureGeometry:  ", Elevation_m:  ", ElevationDatumCV:  "}</t>
  </si>
  <si>
    <t xml:space="preserve">  - &amp;SamplingFeatureID00099 {SamplingFeatureUUID:  NULL, SamplingFeatureTypeCV:  "Specimen", SamplingFeatureCode:  "1104016", SamplingFeatureName:  NULL, SamplingFeatureDescription:  NULL, SamplingFeatureGeotypeCV:  Point, FeatureGeometry:  ", Elevation_m:  ", ElevationDatumCV:  "}</t>
  </si>
  <si>
    <t xml:space="preserve">  - &amp;SamplingFeatureID00100 {SamplingFeatureUUID:  NULL, SamplingFeatureTypeCV:  "Specimen", SamplingFeatureCode:  "1104017", SamplingFeatureName:  NULL, SamplingFeatureDescription:  NULL, SamplingFeatureGeotypeCV:  Point, FeatureGeometry:  ", Elevation_m:  ", ElevationDatumCV:  "}</t>
  </si>
  <si>
    <t xml:space="preserve">  - &amp;SamplingFeatureID00101 {SamplingFeatureUUID:  NULL, SamplingFeatureTypeCV:  "Specimen", SamplingFeatureCode:  "1104018", SamplingFeatureName:  NULL, SamplingFeatureDescription:  NULL, SamplingFeatureGeotypeCV:  Point, FeatureGeometry:  ", Elevation_m:  ", ElevationDatumCV:  "}</t>
  </si>
  <si>
    <t xml:space="preserve">  - &amp;SamplingFeatureID00102 {SamplingFeatureUUID:  NULL, SamplingFeatureTypeCV:  "Specimen", SamplingFeatureCode:  "1104019", SamplingFeatureName:  NULL, SamplingFeatureDescription:  NULL, SamplingFeatureGeotypeCV:  Point, FeatureGeometry:  ", Elevation_m:  ", ElevationDatumCV:  "}</t>
  </si>
  <si>
    <t xml:space="preserve">  - &amp;SamplingFeatureID00103 {SamplingFeatureUUID:  NULL, SamplingFeatureTypeCV:  "Specimen", SamplingFeatureCode:  "1104020", SamplingFeatureName:  NULL, SamplingFeatureDescription:  NULL, SamplingFeatureGeotypeCV:  Point, FeatureGeometry:  ", Elevation_m:  ", ElevationDatumCV:  "}</t>
  </si>
  <si>
    <t xml:space="preserve">  - &amp;SamplingFeatureID00104 {SamplingFeatureUUID:  NULL, SamplingFeatureTypeCV:  "Specimen", SamplingFeatureCode:  "1104171", SamplingFeatureName:  NULL, SamplingFeatureDescription:  NULL, SamplingFeatureGeotypeCV:  Point, FeatureGeometry:  ", Elevation_m:  ", ElevationDatumCV:  "}</t>
  </si>
  <si>
    <t xml:space="preserve">  - &amp;SamplingFeatureID00105 {SamplingFeatureUUID:  NULL, SamplingFeatureTypeCV:  "Specimen", SamplingFeatureCode:  "1104169", SamplingFeatureName:  NULL, SamplingFeatureDescription:  NULL, SamplingFeatureGeotypeCV:  Point, FeatureGeometry:  ", Elevation_m:  ", ElevationDatumCV:  "}</t>
  </si>
  <si>
    <t xml:space="preserve">  - &amp;SamplingFeatureID00106 {SamplingFeatureUUID:  NULL, SamplingFeatureTypeCV:  "Specimen", SamplingFeatureCode:  "1104170", SamplingFeatureName:  NULL, SamplingFeatureDescription:  NULL, SamplingFeatureGeotypeCV:  Point, FeatureGeometry:  ", Elevation_m:  ", ElevationDatumCV:  "}</t>
  </si>
  <si>
    <t xml:space="preserve">  - &amp;SamplingFeatureID00107 {SamplingFeatureUUID:  NULL, SamplingFeatureTypeCV:  "Specimen", SamplingFeatureCode:  "1200024", SamplingFeatureName:  NULL, SamplingFeatureDescription:  NULL, SamplingFeatureGeotypeCV:  Point, FeatureGeometry:  ", Elevation_m:  ", ElevationDatumCV:  "}</t>
  </si>
  <si>
    <t xml:space="preserve">  - &amp;SamplingFeatureID00108 {SamplingFeatureUUID:  NULL, SamplingFeatureTypeCV:  "Specimen", SamplingFeatureCode:  "1200023", SamplingFeatureName:  NULL, SamplingFeatureDescription:  NULL, SamplingFeatureGeotypeCV:  Point, FeatureGeometry:  ", Elevation_m:  ", ElevationDatumCV:  "}</t>
  </si>
  <si>
    <t xml:space="preserve">  - &amp;SamplingFeatureID00109 {SamplingFeatureUUID:  NULL, SamplingFeatureTypeCV:  "Specimen", SamplingFeatureCode:  "1200022", SamplingFeatureName:  NULL, SamplingFeatureDescription:  NULL, SamplingFeatureGeotypeCV:  Point, FeatureGeometry:  ", Elevation_m:  ", ElevationDatumCV:  "}</t>
  </si>
  <si>
    <t xml:space="preserve">  - &amp;SamplingFeatureID00110 {SamplingFeatureUUID:  NULL, SamplingFeatureTypeCV:  "Specimen", SamplingFeatureCode:  "1200045", SamplingFeatureName:  NULL, SamplingFeatureDescription:  NULL, SamplingFeatureGeotypeCV:  Point, FeatureGeometry:  ", Elevation_m:  ", ElevationDatumCV:  "}</t>
  </si>
  <si>
    <t xml:space="preserve">  - &amp;SamplingFeatureID00111 {SamplingFeatureUUID:  NULL, SamplingFeatureTypeCV:  "Specimen", SamplingFeatureCode:  "1200030", SamplingFeatureName:  NULL, SamplingFeatureDescription:  NULL, SamplingFeatureGeotypeCV:  Point, FeatureGeometry:  ", Elevation_m:  ", ElevationDatumCV:  "}</t>
  </si>
  <si>
    <t xml:space="preserve">  - &amp;SamplingFeatureID00112 {SamplingFeatureUUID:  NULL, SamplingFeatureTypeCV:  "Specimen", SamplingFeatureCode:  "1200046", SamplingFeatureName:  NULL, SamplingFeatureDescription:  NULL, SamplingFeatureGeotypeCV:  Point, FeatureGeometry:  ", Elevation_m:  ", ElevationDatumCV:  "}</t>
  </si>
  <si>
    <t xml:space="preserve">  - &amp;SamplingFeatureID00113 {SamplingFeatureUUID:  NULL, SamplingFeatureTypeCV:  "Specimen", SamplingFeatureCode:  "1200031", SamplingFeatureName:  NULL, SamplingFeatureDescription:  NULL, SamplingFeatureGeotypeCV:  Point, FeatureGeometry:  ", Elevation_m:  ", ElevationDatumCV:  "}</t>
  </si>
  <si>
    <t xml:space="preserve">  - &amp;SamplingFeatureID00114 {SamplingFeatureUUID:  NULL, SamplingFeatureTypeCV:  "Specimen", SamplingFeatureCode:  "1200032", SamplingFeatureName:  NULL, SamplingFeatureDescription:  NULL, SamplingFeatureGeotypeCV:  Point, FeatureGeometry:  ", Elevation_m:  ", ElevationDatumCV:  "}</t>
  </si>
  <si>
    <t xml:space="preserve">  - &amp;SamplingFeatureID00115 {SamplingFeatureUUID:  NULL, SamplingFeatureTypeCV:  "Specimen", SamplingFeatureCode:  "1200047", SamplingFeatureName:  NULL, SamplingFeatureDescription:  NULL, SamplingFeatureGeotypeCV:  Point, FeatureGeometry:  ", Elevation_m:  ", ElevationDatumCV:  "}</t>
  </si>
  <si>
    <t xml:space="preserve">  - &amp;SamplingFeatureID00116 {SamplingFeatureUUID:  NULL, SamplingFeatureTypeCV:  "Specimen", SamplingFeatureCode:  "1200033", SamplingFeatureName:  NULL, SamplingFeatureDescription:  NULL, SamplingFeatureGeotypeCV:  Point, FeatureGeometry:  ", Elevation_m:  ", ElevationDatumCV:  "}</t>
  </si>
  <si>
    <t xml:space="preserve">  - &amp;SamplingFeatureID00117 {SamplingFeatureUUID:  NULL, SamplingFeatureTypeCV:  "Specimen", SamplingFeatureCode:  "1200048", SamplingFeatureName:  NULL, SamplingFeatureDescription:  NULL, SamplingFeatureGeotypeCV:  Point, FeatureGeometry:  ", Elevation_m:  ", ElevationDatumCV:  "}</t>
  </si>
  <si>
    <t xml:space="preserve">  - &amp;SamplingFeatureID00118 {SamplingFeatureUUID:  NULL, SamplingFeatureTypeCV:  "Specimen", SamplingFeatureCode:  "1200034", SamplingFeatureName:  NULL, SamplingFeatureDescription:  NULL, SamplingFeatureGeotypeCV:  Point, FeatureGeometry:  ", Elevation_m:  ", ElevationDatumCV:  "}</t>
  </si>
  <si>
    <t xml:space="preserve">  - &amp;SamplingFeatureID00119 {SamplingFeatureUUID:  NULL, SamplingFeatureTypeCV:  "Specimen", SamplingFeatureCode:  "1200035", SamplingFeatureName:  NULL, SamplingFeatureDescription:  NULL, SamplingFeatureGeotypeCV:  Point, FeatureGeometry:  ", Elevation_m:  ", ElevationDatumCV:  "}</t>
  </si>
  <si>
    <t xml:space="preserve">  - &amp;SamplingFeatureID00120 {SamplingFeatureUUID:  NULL, SamplingFeatureTypeCV:  "Specimen", SamplingFeatureCode:  "1200036", SamplingFeatureName:  NULL, SamplingFeatureDescription:  NULL, SamplingFeatureGeotypeCV:  Point, FeatureGeometry:  ", Elevation_m:  ", ElevationDatumCV:  "}</t>
  </si>
  <si>
    <t xml:space="preserve">  - &amp;SamplingFeatureID00121 {SamplingFeatureUUID:  NULL, SamplingFeatureTypeCV:  "Specimen", SamplingFeatureCode:  "1200037", SamplingFeatureName:  NULL, SamplingFeatureDescription:  NULL, SamplingFeatureGeotypeCV:  Point, FeatureGeometry:  ", Elevation_m:  ", ElevationDatumCV:  "}</t>
  </si>
  <si>
    <t xml:space="preserve">  - &amp;SamplingFeatureID00122 {SamplingFeatureUUID:  NULL, SamplingFeatureTypeCV:  "Specimen", SamplingFeatureCode:  "1200049", SamplingFeatureName:  NULL, SamplingFeatureDescription:  NULL, SamplingFeatureGeotypeCV:  Point, FeatureGeometry:  ", Elevation_m:  ", ElevationDatumCV:  "}</t>
  </si>
  <si>
    <t xml:space="preserve">  - &amp;SamplingFeatureID00123 {SamplingFeatureUUID:  NULL, SamplingFeatureTypeCV:  "Specimen", SamplingFeatureCode:  "1200038", SamplingFeatureName:  NULL, SamplingFeatureDescription:  NULL, SamplingFeatureGeotypeCV:  Point, FeatureGeometry:  ", Elevation_m:  ", ElevationDatumCV:  "}</t>
  </si>
  <si>
    <t xml:space="preserve">  - &amp;SamplingFeatureID00124 {SamplingFeatureUUID:  NULL, SamplingFeatureTypeCV:  "Specimen", SamplingFeatureCode:  "1200050", SamplingFeatureName:  NULL, SamplingFeatureDescription:  NULL, SamplingFeatureGeotypeCV:  Point, FeatureGeometry:  ", Elevation_m:  ", ElevationDatumCV:  "}</t>
  </si>
  <si>
    <t xml:space="preserve">  - &amp;SamplingFeatureID00125 {SamplingFeatureUUID:  NULL, SamplingFeatureTypeCV:  "Specimen", SamplingFeatureCode:  "1200039", SamplingFeatureName:  NULL, SamplingFeatureDescription:  NULL, SamplingFeatureGeotypeCV:  Point, FeatureGeometry:  ", Elevation_m:  ", ElevationDatumCV:  "}</t>
  </si>
  <si>
    <t xml:space="preserve">  - &amp;SamplingFeatureID00126 {SamplingFeatureUUID:  NULL, SamplingFeatureTypeCV:  "Specimen", SamplingFeatureCode:  "1200090", SamplingFeatureName:  NULL, SamplingFeatureDescription:  NULL, SamplingFeatureGeotypeCV:  Point, FeatureGeometry:  ", Elevation_m:  ", ElevationDatumCV:  "}</t>
  </si>
  <si>
    <t xml:space="preserve">  - &amp;SamplingFeatureID00127 {SamplingFeatureUUID:  NULL, SamplingFeatureTypeCV:  "Specimen", SamplingFeatureCode:  "1200091", SamplingFeatureName:  NULL, SamplingFeatureDescription:  NULL, SamplingFeatureGeotypeCV:  Point, FeatureGeometry:  ", Elevation_m:  ", ElevationDatumCV:  "}</t>
  </si>
  <si>
    <t xml:space="preserve">  - &amp;SamplingFeatureID00128 {SamplingFeatureUUID:  NULL, SamplingFeatureTypeCV:  "Specimen", SamplingFeatureCode:  "1200138", SamplingFeatureName:  NULL, SamplingFeatureDescription:  NULL, SamplingFeatureGeotypeCV:  Point, FeatureGeometry:  ", Elevation_m:  ", ElevationDatumCV:  "}</t>
  </si>
  <si>
    <t xml:space="preserve">  - &amp;SamplingFeatureID00129 {SamplingFeatureUUID:  NULL, SamplingFeatureTypeCV:  "Specimen", SamplingFeatureCode:  "1200136", SamplingFeatureName:  NULL, SamplingFeatureDescription:  NULL, SamplingFeatureGeotypeCV:  Point, FeatureGeometry:  ", Elevation_m:  ", ElevationDatumCV:  "}</t>
  </si>
  <si>
    <t xml:space="preserve">  - &amp;SamplingFeatureID00130 {SamplingFeatureUUID:  NULL, SamplingFeatureTypeCV:  "Specimen", SamplingFeatureCode:  "1200137", SamplingFeatureName:  NULL, SamplingFeatureDescription:  NULL, SamplingFeatureGeotypeCV:  Point, FeatureGeometry:  ", Elevation_m:  ", ElevationDatumCV:  "}</t>
  </si>
  <si>
    <t xml:space="preserve">  - &amp;SamplingFeatureID00131 {SamplingFeatureUUID:  NULL, SamplingFeatureTypeCV:  "Specimen", SamplingFeatureCode:  "1200292", SamplingFeatureName:  NULL, SamplingFeatureDescription:  NULL, SamplingFeatureGeotypeCV:  Point, FeatureGeometry:  ", Elevation_m:  ", ElevationDatumCV:  "}</t>
  </si>
  <si>
    <t xml:space="preserve">  - &amp;SamplingFeatureID00132 {SamplingFeatureUUID:  NULL, SamplingFeatureTypeCV:  "Specimen", SamplingFeatureCode:  "1200293", SamplingFeatureName:  NULL, SamplingFeatureDescription:  NULL, SamplingFeatureGeotypeCV:  Point, FeatureGeometry:  ", Elevation_m:  ", ElevationDatumCV:  "}</t>
  </si>
  <si>
    <t xml:space="preserve">  - &amp;SamplingFeatureID00133 {SamplingFeatureUUID:  NULL, SamplingFeatureTypeCV:  "Specimen", SamplingFeatureCode:  "1200294", SamplingFeatureName:  NULL, SamplingFeatureDescription:  NULL, SamplingFeatureGeotypeCV:  Point, FeatureGeometry:  ", Elevation_m:  ", ElevationDatumCV:  "}</t>
  </si>
  <si>
    <t xml:space="preserve">  - &amp;SamplingFeatureID00134 {SamplingFeatureUUID:  NULL, SamplingFeatureTypeCV:  "Specimen", SamplingFeatureCode:  "1200346", SamplingFeatureName:  NULL, SamplingFeatureDescription:  NULL, SamplingFeatureGeotypeCV:  Point, FeatureGeometry:  ", Elevation_m:  ", ElevationDatumCV:  "}</t>
  </si>
  <si>
    <t xml:space="preserve">  - &amp;SamplingFeatureID00135 {SamplingFeatureUUID:  NULL, SamplingFeatureTypeCV:  "Specimen", SamplingFeatureCode:  "1200345", SamplingFeatureName:  NULL, SamplingFeatureDescription:  NULL, SamplingFeatureGeotypeCV:  Point, FeatureGeometry:  ", Elevation_m:  ", ElevationDatumCV:  "}</t>
  </si>
  <si>
    <t xml:space="preserve">  - &amp;SamplingFeatureID00136 {SamplingFeatureUUID:  NULL, SamplingFeatureTypeCV:  "Specimen", SamplingFeatureCode:  "1200344", SamplingFeatureName:  NULL, SamplingFeatureDescription:  NULL, SamplingFeatureGeotypeCV:  Point, FeatureGeometry:  ", Elevation_m:  ", ElevationDatumCV:  "}</t>
  </si>
  <si>
    <t xml:space="preserve">  - &amp;SamplingFeatureID00137 {SamplingFeatureUUID:  NULL, SamplingFeatureTypeCV:  "Specimen", SamplingFeatureCode:  "1200517", SamplingFeatureName:  NULL, SamplingFeatureDescription:  NULL, SamplingFeatureGeotypeCV:  Point, FeatureGeometry:  ", Elevation_m:  ", ElevationDatumCV:  "}</t>
  </si>
  <si>
    <t xml:space="preserve">  - &amp;SamplingFeatureID00138 {SamplingFeatureUUID:  NULL, SamplingFeatureTypeCV:  "Specimen", SamplingFeatureCode:  "1200516", SamplingFeatureName:  NULL, SamplingFeatureDescription:  NULL, SamplingFeatureGeotypeCV:  Point, FeatureGeometry:  ", Elevation_m:  ", ElevationDatumCV:  "}</t>
  </si>
  <si>
    <t xml:space="preserve">  - &amp;SamplingFeatureID00139 {SamplingFeatureUUID:  NULL, SamplingFeatureTypeCV:  "Specimen", SamplingFeatureCode:  "1200515", SamplingFeatureName:  NULL, SamplingFeatureDescription:  NULL, SamplingFeatureGeotypeCV:  Point, FeatureGeometry:  ", Elevation_m:  ", ElevationDatumCV:  "}</t>
  </si>
  <si>
    <t xml:space="preserve">  - &amp;SamplingFeatureID00140 {SamplingFeatureUUID:  NULL, SamplingFeatureTypeCV:  "Specimen", SamplingFeatureCode:  "1200529", SamplingFeatureName:  NULL, SamplingFeatureDescription:  NULL, SamplingFeatureGeotypeCV:  Point, FeatureGeometry:  ", Elevation_m:  ", ElevationDatumCV:  "}</t>
  </si>
  <si>
    <t xml:space="preserve">  - &amp;SamplingFeatureID00141 {SamplingFeatureUUID:  NULL, SamplingFeatureTypeCV:  "Specimen", SamplingFeatureCode:  "1200530", SamplingFeatureName:  NULL, SamplingFeatureDescription:  NULL, SamplingFeatureGeotypeCV:  Point, FeatureGeometry:  ", Elevation_m:  ", ElevationDatumCV:  "}</t>
  </si>
  <si>
    <t xml:space="preserve">  - &amp;SamplingFeatureID00142 {SamplingFeatureUUID:  NULL, SamplingFeatureTypeCV:  "Specimen", SamplingFeatureCode:  "1200779", SamplingFeatureName:  NULL, SamplingFeatureDescription:  NULL, SamplingFeatureGeotypeCV:  Point, FeatureGeometry:  ", Elevation_m:  ", ElevationDatumCV:  "}</t>
  </si>
  <si>
    <t xml:space="preserve">  - &amp;SamplingFeatureID00143 {SamplingFeatureUUID:  NULL, SamplingFeatureTypeCV:  "Specimen", SamplingFeatureCode:  "1200780", SamplingFeatureName:  NULL, SamplingFeatureDescription:  NULL, SamplingFeatureGeotypeCV:  Point, FeatureGeometry:  ", Elevation_m:  ", ElevationDatumCV:  "}</t>
  </si>
  <si>
    <t xml:space="preserve">  - &amp;SamplingFeatureID00144 {SamplingFeatureUUID:  NULL, SamplingFeatureTypeCV:  "Specimen", SamplingFeatureCode:  "1200781", SamplingFeatureName:  NULL, SamplingFeatureDescription:  NULL, SamplingFeatureGeotypeCV:  Point, FeatureGeometry:  ", Elevation_m:  ", ElevationDatumCV:  "}</t>
  </si>
  <si>
    <t xml:space="preserve">  - &amp;SamplingFeatureID00145 {SamplingFeatureUUID:  NULL, SamplingFeatureTypeCV:  "Specimen", SamplingFeatureCode:  "1200782", SamplingFeatureName:  NULL, SamplingFeatureDescription:  NULL, SamplingFeatureGeotypeCV:  Point, FeatureGeometry:  ", Elevation_m:  ", ElevationDatumCV:  "}</t>
  </si>
  <si>
    <t xml:space="preserve">  - &amp;SamplingFeatureID00146 {SamplingFeatureUUID:  NULL, SamplingFeatureTypeCV:  "Specimen", SamplingFeatureCode:  "1200783", SamplingFeatureName:  NULL, SamplingFeatureDescription:  NULL, SamplingFeatureGeotypeCV:  Point, FeatureGeometry:  ", Elevation_m:  ", ElevationDatumCV:  "}</t>
  </si>
  <si>
    <t xml:space="preserve">  - &amp;SamplingFeatureID00147 {SamplingFeatureUUID:  NULL, SamplingFeatureTypeCV:  "Specimen", SamplingFeatureCode:  "1200784", SamplingFeatureName:  NULL, SamplingFeatureDescription:  NULL, SamplingFeatureGeotypeCV:  Point, FeatureGeometry:  ", Elevation_m:  ", ElevationDatumCV:  "}</t>
  </si>
  <si>
    <t xml:space="preserve">  - &amp;SamplingFeatureID00148 {SamplingFeatureUUID:  NULL, SamplingFeatureTypeCV:  "Specimen", SamplingFeatureCode:  "1200785", SamplingFeatureName:  NULL, SamplingFeatureDescription:  NULL, SamplingFeatureGeotypeCV:  Point, FeatureGeometry:  ", Elevation_m:  ", ElevationDatumCV:  "}</t>
  </si>
  <si>
    <t xml:space="preserve">  - &amp;SamplingFeatureID00149 {SamplingFeatureUUID:  NULL, SamplingFeatureTypeCV:  "Specimen", SamplingFeatureCode:  "1200789", SamplingFeatureName:  NULL, SamplingFeatureDescription:  NULL, SamplingFeatureGeotypeCV:  Point, FeatureGeometry:  ", Elevation_m:  ", ElevationDatumCV:  "}</t>
  </si>
  <si>
    <t xml:space="preserve">  - &amp;SamplingFeatureID00150 {SamplingFeatureUUID:  NULL, SamplingFeatureTypeCV:  "Specimen", SamplingFeatureCode:  "1200790", SamplingFeatureName:  NULL, SamplingFeatureDescription:  NULL, SamplingFeatureGeotypeCV:  Point, FeatureGeometry:  ", Elevation_m:  ", ElevationDatumCV:  "}</t>
  </si>
  <si>
    <t xml:space="preserve">  - &amp;SamplingFeatureID00151 {SamplingFeatureUUID:  NULL, SamplingFeatureTypeCV:  "Specimen", SamplingFeatureCode:  "1200791", SamplingFeatureName:  NULL, SamplingFeatureDescription:  NULL, SamplingFeatureGeotypeCV:  Point, FeatureGeometry:  ", Elevation_m:  ", ElevationDatumCV:  "}</t>
  </si>
  <si>
    <t xml:space="preserve">  - &amp;SamplingFeatureID00152 {SamplingFeatureUUID:  NULL, SamplingFeatureTypeCV:  "Specimen", SamplingFeatureCode:  "1200881", SamplingFeatureName:  NULL, SamplingFeatureDescription:  NULL, SamplingFeatureGeotypeCV:  Point, FeatureGeometry:  ", Elevation_m:  ", ElevationDatumCV:  "}</t>
  </si>
  <si>
    <t xml:space="preserve">  - &amp;SamplingFeatureID00153 {SamplingFeatureUUID:  NULL, SamplingFeatureTypeCV:  "Specimen", SamplingFeatureCode:  "1200879", SamplingFeatureName:  NULL, SamplingFeatureDescription:  NULL, SamplingFeatureGeotypeCV:  Point, FeatureGeometry:  ", Elevation_m:  ", ElevationDatumCV:  "}</t>
  </si>
  <si>
    <t xml:space="preserve">  - &amp;SamplingFeatureID00154 {SamplingFeatureUUID:  NULL, SamplingFeatureTypeCV:  "Specimen", SamplingFeatureCode:  "1200880", SamplingFeatureName:  NULL, SamplingFeatureDescription:  NULL, SamplingFeatureGeotypeCV:  Point, FeatureGeometry:  ", Elevation_m:  ", ElevationDatumCV:  "}</t>
  </si>
  <si>
    <t xml:space="preserve">  - &amp;SamplingFeatureID00155 {SamplingFeatureUUID:  NULL, SamplingFeatureTypeCV:  "Specimen", SamplingFeatureCode:  "1201280", SamplingFeatureName:  NULL, SamplingFeatureDescription:  NULL, SamplingFeatureGeotypeCV:  Point, FeatureGeometry:  ", Elevation_m:  ", ElevationDatumCV:  "}</t>
  </si>
  <si>
    <t xml:space="preserve">  - &amp;SamplingFeatureID00156 {SamplingFeatureUUID:  NULL, SamplingFeatureTypeCV:  "Specimen", SamplingFeatureCode:  "1201278", SamplingFeatureName:  NULL, SamplingFeatureDescription:  NULL, SamplingFeatureGeotypeCV:  Point, FeatureGeometry:  ", Elevation_m:  ", ElevationDatumCV:  "}</t>
  </si>
  <si>
    <t xml:space="preserve">  - &amp;SamplingFeatureID00157 {SamplingFeatureUUID:  NULL, SamplingFeatureTypeCV:  "Specimen", SamplingFeatureCode:  "1201279", SamplingFeatureName:  NULL, SamplingFeatureDescription:  NULL, SamplingFeatureGeotypeCV:  Point, FeatureGeometry:  ", Elevation_m:  ", ElevationDatumCV:  "}</t>
  </si>
  <si>
    <t xml:space="preserve">  - &amp;SamplingFeatureID00158 {SamplingFeatureUUID:  NULL, SamplingFeatureTypeCV:  "Specimen", SamplingFeatureCode:  "1201403", SamplingFeatureName:  NULL, SamplingFeatureDescription:  NULL, SamplingFeatureGeotypeCV:  Point, FeatureGeometry:  ", Elevation_m:  ", ElevationDatumCV:  "}</t>
  </si>
  <si>
    <t xml:space="preserve">  - &amp;SamplingFeatureID00159 {SamplingFeatureUUID:  NULL, SamplingFeatureTypeCV:  "Specimen", SamplingFeatureCode:  "1201706", SamplingFeatureName:  NULL, SamplingFeatureDescription:  NULL, SamplingFeatureGeotypeCV:  Point, FeatureGeometry:  ", Elevation_m:  ", ElevationDatumCV:  "}</t>
  </si>
  <si>
    <t xml:space="preserve">  - &amp;SamplingFeatureID00160 {SamplingFeatureUUID:  NULL, SamplingFeatureTypeCV:  "Specimen", SamplingFeatureCode:  "1201704", SamplingFeatureName:  NULL, SamplingFeatureDescription:  NULL, SamplingFeatureGeotypeCV:  Point, FeatureGeometry:  ", Elevation_m:  ", ElevationDatumCV:  "}</t>
  </si>
  <si>
    <t xml:space="preserve">  - &amp;SamplingFeatureID00161 {SamplingFeatureUUID:  NULL, SamplingFeatureTypeCV:  "Specimen", SamplingFeatureCode:  "1201705", SamplingFeatureName:  NULL, SamplingFeatureDescription:  NULL, SamplingFeatureGeotypeCV:  Point, FeatureGeometry:  ", Elevation_m:  ", ElevationDatumCV:  "}</t>
  </si>
  <si>
    <t xml:space="preserve">  - &amp;SamplingFeatureID00162 {SamplingFeatureUUID:  NULL, SamplingFeatureTypeCV:  "Specimen", SamplingFeatureCode:  "1201756", SamplingFeatureName:  NULL, SamplingFeatureDescription:  NULL, SamplingFeatureGeotypeCV:  Point, FeatureGeometry:  ", Elevation_m:  ", ElevationDatumCV:  "}</t>
  </si>
  <si>
    <t xml:space="preserve">  - &amp;SamplingFeatureID00163 {SamplingFeatureUUID:  NULL, SamplingFeatureTypeCV:  "Specimen", SamplingFeatureCode:  "1202111", SamplingFeatureName:  NULL, SamplingFeatureDescription:  NULL, SamplingFeatureGeotypeCV:  Point, FeatureGeometry:  ", Elevation_m:  ", ElevationDatumCV:  "}</t>
  </si>
  <si>
    <t xml:space="preserve">  - &amp;SamplingFeatureID00164 {SamplingFeatureUUID:  NULL, SamplingFeatureTypeCV:  "Specimen", SamplingFeatureCode:  "1202112", SamplingFeatureName:  NULL, SamplingFeatureDescription:  NULL, SamplingFeatureGeotypeCV:  Point, FeatureGeometry:  ", Elevation_m:  ", ElevationDatumCV:  "}</t>
  </si>
  <si>
    <t xml:space="preserve">  - &amp;SamplingFeatureID00165 {SamplingFeatureUUID:  NULL, SamplingFeatureTypeCV:  "Specimen", SamplingFeatureCode:  "1202113", SamplingFeatureName:  NULL, SamplingFeatureDescription:  NULL, SamplingFeatureGeotypeCV:  Point, FeatureGeometry:  ", Elevation_m:  ", ElevationDatumCV:  "}</t>
  </si>
  <si>
    <t xml:space="preserve">  - &amp;SamplingFeatureID00166 {SamplingFeatureUUID:  NULL, SamplingFeatureTypeCV:  "Specimen", SamplingFeatureCode:  "1202219", SamplingFeatureName:  NULL, SamplingFeatureDescription:  NULL, SamplingFeatureGeotypeCV:  Point, FeatureGeometry:  ", Elevation_m:  ", ElevationDatumCV:  "}</t>
  </si>
  <si>
    <t xml:space="preserve">  - &amp;SamplingFeatureID00167 {SamplingFeatureUUID:  NULL, SamplingFeatureTypeCV:  "Specimen", SamplingFeatureCode:  "1202392", SamplingFeatureName:  NULL, SamplingFeatureDescription:  NULL, SamplingFeatureGeotypeCV:  Point, FeatureGeometry:  ", Elevation_m:  ", ElevationDatumCV:  "}</t>
  </si>
  <si>
    <t xml:space="preserve">  - &amp;SamplingFeatureID00168 {SamplingFeatureUUID:  NULL, SamplingFeatureTypeCV:  "Specimen", SamplingFeatureCode:  "1202391", SamplingFeatureName:  NULL, SamplingFeatureDescription:  NULL, SamplingFeatureGeotypeCV:  Point, FeatureGeometry:  ", Elevation_m:  ", ElevationDatumCV:  "}</t>
  </si>
  <si>
    <t xml:space="preserve">  - &amp;SamplingFeatureID00169 {SamplingFeatureUUID:  NULL, SamplingFeatureTypeCV:  "Specimen", SamplingFeatureCode:  "1202390", SamplingFeatureName:  NULL, SamplingFeatureDescription:  NULL, SamplingFeatureGeotypeCV:  Point, FeatureGeometry:  ", Elevation_m:  ", ElevationDatumCV:  "}</t>
  </si>
  <si>
    <t xml:space="preserve">  - &amp;SamplingFeatureID00170 {SamplingFeatureUUID:  NULL, SamplingFeatureTypeCV:  "Specimen", SamplingFeatureCode:  "1202621", SamplingFeatureName:  NULL, SamplingFeatureDescription:  NULL, SamplingFeatureGeotypeCV:  Point, FeatureGeometry:  ", Elevation_m:  ", ElevationDatumCV:  "}</t>
  </si>
  <si>
    <t xml:space="preserve">  - &amp;SamplingFeatureID00171 {SamplingFeatureUUID:  NULL, SamplingFeatureTypeCV:  "Specimen", SamplingFeatureCode:  "1202622", SamplingFeatureName:  NULL, SamplingFeatureDescription:  NULL, SamplingFeatureGeotypeCV:  Point, FeatureGeometry:  ", Elevation_m:  ", ElevationDatumCV:  "}</t>
  </si>
  <si>
    <t xml:space="preserve">  - &amp;SamplingFeatureID00172 {SamplingFeatureUUID:  NULL, SamplingFeatureTypeCV:  "Specimen", SamplingFeatureCode:  "1202623", SamplingFeatureName:  NULL, SamplingFeatureDescription:  NULL, SamplingFeatureGeotypeCV:  Point, FeatureGeometry:  ", Elevation_m:  ", ElevationDatumCV:  "}</t>
  </si>
  <si>
    <t xml:space="preserve">  - &amp;SamplingFeatureID00173 {SamplingFeatureUUID:  NULL, SamplingFeatureTypeCV:  "Specimen", SamplingFeatureCode:  "1202624", SamplingFeatureName:  NULL, SamplingFeatureDescription:  NULL, SamplingFeatureGeotypeCV:  Point, FeatureGeometry:  ", Elevation_m:  ", ElevationDatumCV:  "}</t>
  </si>
  <si>
    <t xml:space="preserve">  - &amp;SamplingFeatureID00174 {SamplingFeatureUUID:  NULL, SamplingFeatureTypeCV:  "Specimen", SamplingFeatureCode:  "1202625", SamplingFeatureName:  NULL, SamplingFeatureDescription:  NULL, SamplingFeatureGeotypeCV:  Point, FeatureGeometry:  ", Elevation_m:  ", ElevationDatumCV:  "}</t>
  </si>
  <si>
    <t xml:space="preserve">  - &amp;SamplingFeatureID00175 {SamplingFeatureUUID:  NULL, SamplingFeatureTypeCV:  "Specimen", SamplingFeatureCode:  "1202626", SamplingFeatureName:  NULL, SamplingFeatureDescription:  NULL, SamplingFeatureGeotypeCV:  Point, FeatureGeometry:  ", Elevation_m:  ", ElevationDatumCV:  "}</t>
  </si>
  <si>
    <t xml:space="preserve">  - &amp;SamplingFeatureID00176 {SamplingFeatureUUID:  NULL, SamplingFeatureTypeCV:  "Specimen", SamplingFeatureCode:  "1202627", SamplingFeatureName:  NULL, SamplingFeatureDescription:  NULL, SamplingFeatureGeotypeCV:  Point, FeatureGeometry:  ", Elevation_m:  ", ElevationDatumCV:  "}</t>
  </si>
  <si>
    <t xml:space="preserve">  - &amp;SamplingFeatureID00177 {SamplingFeatureUUID:  NULL, SamplingFeatureTypeCV:  "Specimen", SamplingFeatureCode:  "1202628", SamplingFeatureName:  NULL, SamplingFeatureDescription:  NULL, SamplingFeatureGeotypeCV:  Point, FeatureGeometry:  ", Elevation_m:  ", ElevationDatumCV:  "}</t>
  </si>
  <si>
    <t xml:space="preserve">  - &amp;SamplingFeatureID00178 {SamplingFeatureUUID:  NULL, SamplingFeatureTypeCV:  "Specimen", SamplingFeatureCode:  "1202629", SamplingFeatureName:  NULL, SamplingFeatureDescription:  NULL, SamplingFeatureGeotypeCV:  Point, FeatureGeometry:  ", Elevation_m:  ", ElevationDatumCV:  "}</t>
  </si>
  <si>
    <t xml:space="preserve">  - &amp;SamplingFeatureID00179 {SamplingFeatureUUID:  NULL, SamplingFeatureTypeCV:  "Specimen", SamplingFeatureCode:  "1202630", SamplingFeatureName:  NULL, SamplingFeatureDescription:  NULL, SamplingFeatureGeotypeCV:  Point, FeatureGeometry:  ", Elevation_m:  ", ElevationDatumCV:  "}</t>
  </si>
  <si>
    <t xml:space="preserve">  - &amp;SamplingFeatureID00180 {SamplingFeatureUUID:  NULL, SamplingFeatureTypeCV:  "Specimen", SamplingFeatureCode:  "1202631", SamplingFeatureName:  NULL, SamplingFeatureDescription:  NULL, SamplingFeatureGeotypeCV:  Point, FeatureGeometry:  ", Elevation_m:  ", ElevationDatumCV:  "}</t>
  </si>
  <si>
    <t xml:space="preserve">  - &amp;SamplingFeatureID00181 {SamplingFeatureUUID:  NULL, SamplingFeatureTypeCV:  "Specimen", SamplingFeatureCode:  "1202632", SamplingFeatureName:  NULL, SamplingFeatureDescription:  NULL, SamplingFeatureGeotypeCV:  Point, FeatureGeometry:  ", Elevation_m:  ", ElevationDatumCV:  "}</t>
  </si>
  <si>
    <t xml:space="preserve">  - &amp;SamplingFeatureID00182 {SamplingFeatureUUID:  NULL, SamplingFeatureTypeCV:  "Specimen", SamplingFeatureCode:  "1202872", SamplingFeatureName:  NULL, SamplingFeatureDescription:  NULL, SamplingFeatureGeotypeCV:  Point, FeatureGeometry:  ", Elevation_m:  ", ElevationDatumCV:  "}</t>
  </si>
  <si>
    <t xml:space="preserve">  - &amp;SamplingFeatureID00183 {SamplingFeatureUUID:  NULL, SamplingFeatureTypeCV:  "Specimen", SamplingFeatureCode:  "1202870", SamplingFeatureName:  NULL, SamplingFeatureDescription:  NULL, SamplingFeatureGeotypeCV:  Point, FeatureGeometry:  ", Elevation_m:  ", ElevationDatumCV:  "}</t>
  </si>
  <si>
    <t xml:space="preserve">  - &amp;SamplingFeatureID00184 {SamplingFeatureUUID:  NULL, SamplingFeatureTypeCV:  "Specimen", SamplingFeatureCode:  "1202871", SamplingFeatureName:  NULL, SamplingFeatureDescription:  NULL, SamplingFeatureGeotypeCV:  Point, FeatureGeometry:  ", Elevation_m:  ", ElevationDatumCV:  "}</t>
  </si>
  <si>
    <t xml:space="preserve">  - &amp;SamplingFeatureID00185 {SamplingFeatureUUID:  NULL, SamplingFeatureTypeCV:  "Specimen", SamplingFeatureCode:  "1202965", SamplingFeatureName:  NULL, SamplingFeatureDescription:  NULL, SamplingFeatureGeotypeCV:  Point, FeatureGeometry:  ", Elevation_m:  ", ElevationDatumCV:  "}</t>
  </si>
  <si>
    <t xml:space="preserve">  - &amp;SamplingFeatureID00186 {SamplingFeatureUUID:  NULL, SamplingFeatureTypeCV:  "Specimen", SamplingFeatureCode:  "1204026", SamplingFeatureName:  NULL, SamplingFeatureDescription:  NULL, SamplingFeatureGeotypeCV:  Point, FeatureGeometry:  ", Elevation_m:  ", ElevationDatumCV:  "}</t>
  </si>
  <si>
    <t xml:space="preserve">  - &amp;SamplingFeatureID00187 {SamplingFeatureUUID:  NULL, SamplingFeatureTypeCV:  "Specimen", SamplingFeatureCode:  "1204028", SamplingFeatureName:  NULL, SamplingFeatureDescription:  NULL, SamplingFeatureGeotypeCV:  Point, FeatureGeometry:  ", Elevation_m:  ", ElevationDatumCV:  "}</t>
  </si>
  <si>
    <t xml:space="preserve">  - &amp;SamplingFeatureID00188 {SamplingFeatureUUID:  NULL, SamplingFeatureTypeCV:  "Specimen", SamplingFeatureCode:  "1204027", SamplingFeatureName:  NULL, SamplingFeatureDescription:  NULL, SamplingFeatureGeotypeCV:  Point, FeatureGeometry:  ", Elevation_m:  ", ElevationDatumCV:  "}</t>
  </si>
  <si>
    <t xml:space="preserve">  - &amp;SamplingFeatureID00189 {SamplingFeatureUUID:  NULL, SamplingFeatureTypeCV:  "Specimen", SamplingFeatureCode:  "1204430", SamplingFeatureName:  NULL, SamplingFeatureDescription:  NULL, SamplingFeatureGeotypeCV:  Point, FeatureGeometry:  ", Elevation_m:  ", ElevationDatumCV:  "}</t>
  </si>
  <si>
    <t xml:space="preserve">  - &amp;SamplingFeatureID00190 {SamplingFeatureUUID:  NULL, SamplingFeatureTypeCV:  "Specimen", SamplingFeatureCode:  "1204431", SamplingFeatureName:  NULL, SamplingFeatureDescription:  NULL, SamplingFeatureGeotypeCV:  Point, FeatureGeometry:  ", Elevation_m:  ", ElevationDatumCV:  "}</t>
  </si>
  <si>
    <t xml:space="preserve">  - &amp;SamplingFeatureID00191 {SamplingFeatureUUID:  NULL, SamplingFeatureTypeCV:  "Specimen", SamplingFeatureCode:  "1204593", SamplingFeatureName:  NULL, SamplingFeatureDescription:  NULL, SamplingFeatureGeotypeCV:  Point, FeatureGeometry:  ", Elevation_m:  ", ElevationDatumCV:  "}</t>
  </si>
  <si>
    <t xml:space="preserve">  - &amp;SamplingFeatureID00192 {SamplingFeatureUUID:  NULL, SamplingFeatureTypeCV:  "Specimen", SamplingFeatureCode:  "1204592", SamplingFeatureName:  NULL, SamplingFeatureDescription:  NULL, SamplingFeatureGeotypeCV:  Point, FeatureGeometry:  ", Elevation_m:  ", ElevationDatumCV:  "}</t>
  </si>
  <si>
    <t xml:space="preserve">  - &amp;SamplingFeatureID00193 {SamplingFeatureUUID:  NULL, SamplingFeatureTypeCV:  "Specimen", SamplingFeatureCode:  "1204591", SamplingFeatureName:  NULL, SamplingFeatureDescription:  NULL, SamplingFeatureGeotypeCV:  Point, FeatureGeometry:  ", Elevation_m:  ", ElevationDatumCV:  "}</t>
  </si>
  <si>
    <t xml:space="preserve">  - &amp;SamplingFeatureID00194 {SamplingFeatureUUID:  NULL, SamplingFeatureTypeCV:  "Specimen", SamplingFeatureCode:  "1204683", SamplingFeatureName:  NULL, SamplingFeatureDescription:  NULL, SamplingFeatureGeotypeCV:  Point, FeatureGeometry:  ", Elevation_m:  ", ElevationDatumCV:  "}</t>
  </si>
  <si>
    <t xml:space="preserve">  - &amp;SamplingFeatureID00195 {SamplingFeatureUUID:  NULL, SamplingFeatureTypeCV:  "Specimen", SamplingFeatureCode:  "1204684", SamplingFeatureName:  NULL, SamplingFeatureDescription:  NULL, SamplingFeatureGeotypeCV:  Point, FeatureGeometry:  ", Elevation_m:  ", ElevationDatumCV:  "}</t>
  </si>
  <si>
    <t xml:space="preserve">  - &amp;SamplingFeatureID00196 {SamplingFeatureUUID:  NULL, SamplingFeatureTypeCV:  "Specimen", SamplingFeatureCode:  "1300003", SamplingFeatureName:  NULL, SamplingFeatureDescription:  NULL, SamplingFeatureGeotypeCV:  Point, FeatureGeometry:  ", Elevation_m:  ", ElevationDatumCV:  "}</t>
  </si>
  <si>
    <t xml:space="preserve">  - &amp;SamplingFeatureID00197 {SamplingFeatureUUID:  NULL, SamplingFeatureTypeCV:  "Specimen", SamplingFeatureCode:  "1300001", SamplingFeatureName:  NULL, SamplingFeatureDescription:  NULL, SamplingFeatureGeotypeCV:  Point, FeatureGeometry:  ", Elevation_m:  ", ElevationDatumCV:  "}</t>
  </si>
  <si>
    <t xml:space="preserve">  - &amp;SamplingFeatureID00198 {SamplingFeatureUUID:  NULL, SamplingFeatureTypeCV:  "Specimen", SamplingFeatureCode:  "1300002", SamplingFeatureName:  NULL, SamplingFeatureDescription:  NULL, SamplingFeatureGeotypeCV:  Point, FeatureGeometry:  ", Elevation_m:  ", ElevationDatumCV:  "}</t>
  </si>
  <si>
    <t xml:space="preserve">  - &amp;SamplingFeatureID00199 {SamplingFeatureUUID:  NULL, SamplingFeatureTypeCV:  "Specimen", SamplingFeatureCode:  "1300176", SamplingFeatureName:  NULL, SamplingFeatureDescription:  NULL, SamplingFeatureGeotypeCV:  Point, FeatureGeometry:  ", Elevation_m:  ", ElevationDatumCV:  "}</t>
  </si>
  <si>
    <t xml:space="preserve">  - &amp;SamplingFeatureID00200 {SamplingFeatureUUID:  NULL, SamplingFeatureTypeCV:  "Specimen", SamplingFeatureCode:  "1300177", SamplingFeatureName:  NULL, SamplingFeatureDescription:  NULL, SamplingFeatureGeotypeCV:  Point, FeatureGeometry:  ", Elevation_m:  ", ElevationDatumCV:  "}</t>
  </si>
  <si>
    <t xml:space="preserve">  - &amp;SamplingFeatureID00201 {SamplingFeatureUUID:  NULL, SamplingFeatureTypeCV:  "Specimen", SamplingFeatureCode:  "1300428", SamplingFeatureName:  NULL, SamplingFeatureDescription:  NULL, SamplingFeatureGeotypeCV:  Point, FeatureGeometry:  ", Elevation_m:  ", ElevationDatumCV:  "}</t>
  </si>
  <si>
    <t xml:space="preserve">  - &amp;SamplingFeatureID00202 {SamplingFeatureUUID:  NULL, SamplingFeatureTypeCV:  "Specimen", SamplingFeatureCode:  "1300426", SamplingFeatureName:  NULL, SamplingFeatureDescription:  NULL, SamplingFeatureGeotypeCV:  Point, FeatureGeometry:  ", Elevation_m:  ", ElevationDatumCV:  "}</t>
  </si>
  <si>
    <t xml:space="preserve">  - &amp;SamplingFeatureID00203 {SamplingFeatureUUID:  NULL, SamplingFeatureTypeCV:  "Specimen", SamplingFeatureCode:  "1300427", SamplingFeatureName:  NULL, SamplingFeatureDescription:  NULL, SamplingFeatureGeotypeCV:  Point, FeatureGeometry:  ", Elevation_m:  ", ElevationDatumCV:  "}</t>
  </si>
  <si>
    <t xml:space="preserve">  - &amp;SamplingFeatureID00204 {SamplingFeatureUUID:  NULL, SamplingFeatureTypeCV:  "Specimen", SamplingFeatureCode:  "1300554", SamplingFeatureName:  NULL, SamplingFeatureDescription:  NULL, SamplingFeatureGeotypeCV:  Point, FeatureGeometry:  ", Elevation_m:  ", ElevationDatumCV:  "}</t>
  </si>
  <si>
    <t xml:space="preserve">  - &amp;SamplingFeatureID00205 {SamplingFeatureUUID:  NULL, SamplingFeatureTypeCV:  "Specimen", SamplingFeatureCode:  "1300552", SamplingFeatureName:  NULL, SamplingFeatureDescription:  NULL, SamplingFeatureGeotypeCV:  Point, FeatureGeometry:  ", Elevation_m:  ", ElevationDatumCV:  "}</t>
  </si>
  <si>
    <t xml:space="preserve">  - &amp;SamplingFeatureID00206 {SamplingFeatureUUID:  NULL, SamplingFeatureTypeCV:  "Specimen", SamplingFeatureCode:  "1300553", SamplingFeatureName:  NULL, SamplingFeatureDescription:  NULL, SamplingFeatureGeotypeCV:  Point, FeatureGeometry:  ", Elevation_m:  ", ElevationDatumCV:  "}</t>
  </si>
  <si>
    <t xml:space="preserve">  - &amp;SamplingFeatureID00207 {SamplingFeatureUUID:  NULL, SamplingFeatureTypeCV:  "Specimen", SamplingFeatureCode:  "1300760", SamplingFeatureName:  NULL, SamplingFeatureDescription:  NULL, SamplingFeatureGeotypeCV:  Point, FeatureGeometry:  ", Elevation_m:  ", ElevationDatumCV:  "}</t>
  </si>
  <si>
    <t xml:space="preserve">  - &amp;SamplingFeatureID00208 {SamplingFeatureUUID:  NULL, SamplingFeatureTypeCV:  "Specimen", SamplingFeatureCode:  "1300758", SamplingFeatureName:  NULL, SamplingFeatureDescription:  NULL, SamplingFeatureGeotypeCV:  Point, FeatureGeometry:  ", Elevation_m:  ", ElevationDatumCV:  "}</t>
  </si>
  <si>
    <t xml:space="preserve">  - &amp;SamplingFeatureID00209 {SamplingFeatureUUID:  NULL, SamplingFeatureTypeCV:  "Specimen", SamplingFeatureCode:  "1300759", SamplingFeatureName:  NULL, SamplingFeatureDescription:  NULL, SamplingFeatureGeotypeCV:  Point, FeatureGeometry:  ", Elevation_m:  ", ElevationDatumCV:  "}</t>
  </si>
  <si>
    <t xml:space="preserve">  - &amp;SamplingFeatureID00210 {SamplingFeatureUUID:  NULL, SamplingFeatureTypeCV:  "Specimen", SamplingFeatureCode:  "1300773", SamplingFeatureName:  NULL, SamplingFeatureDescription:  NULL, SamplingFeatureGeotypeCV:  Point, FeatureGeometry:  ", Elevation_m:  ", ElevationDatumCV:  "}</t>
  </si>
  <si>
    <t xml:space="preserve">  - &amp;SamplingFeatureID00211 {SamplingFeatureUUID:  NULL, SamplingFeatureTypeCV:  "Specimen", SamplingFeatureCode:  "1300774", SamplingFeatureName:  NULL, SamplingFeatureDescription:  NULL, SamplingFeatureGeotypeCV:  Point, FeatureGeometry:  ", Elevation_m:  ", ElevationDatumCV:  "}</t>
  </si>
  <si>
    <t xml:space="preserve">  - &amp;SamplingFeatureID00212 {SamplingFeatureUUID:  NULL, SamplingFeatureTypeCV:  "Specimen", SamplingFeatureCode:  "1300790", SamplingFeatureName:  NULL, SamplingFeatureDescription:  NULL, SamplingFeatureGeotypeCV:  Point, FeatureGeometry:  ", Elevation_m:  ", ElevationDatumCV:  "}</t>
  </si>
  <si>
    <t xml:space="preserve">  - &amp;SamplingFeatureID00213 {SamplingFeatureUUID:  NULL, SamplingFeatureTypeCV:  "Specimen", SamplingFeatureCode:  "1300791", SamplingFeatureName:  NULL, SamplingFeatureDescription:  NULL, SamplingFeatureGeotypeCV:  Point, FeatureGeometry:  ", Elevation_m:  ", ElevationDatumCV:  "}</t>
  </si>
  <si>
    <t xml:space="preserve">  - &amp;SamplingFeatureID00214 {SamplingFeatureUUID:  NULL, SamplingFeatureTypeCV:  "Specimen", SamplingFeatureCode:  "1300793", SamplingFeatureName:  NULL, SamplingFeatureDescription:  NULL, SamplingFeatureGeotypeCV:  Point, FeatureGeometry:  ", Elevation_m:  ", ElevationDatumCV:  "}</t>
  </si>
  <si>
    <t xml:space="preserve">  - &amp;SamplingFeatureID00215 {SamplingFeatureUUID:  NULL, SamplingFeatureTypeCV:  "Specimen", SamplingFeatureCode:  "1300794", SamplingFeatureName:  NULL, SamplingFeatureDescription:  NULL, SamplingFeatureGeotypeCV:  Point, FeatureGeometry:  ", Elevation_m:  ", ElevationDatumCV:  "}</t>
  </si>
  <si>
    <t xml:space="preserve">  - &amp;SamplingFeatureID00216 {SamplingFeatureUUID:  NULL, SamplingFeatureTypeCV:  "Specimen", SamplingFeatureCode:  "1300796", SamplingFeatureName:  NULL, SamplingFeatureDescription:  NULL, SamplingFeatureGeotypeCV:  Point, FeatureGeometry:  ", Elevation_m:  ", ElevationDatumCV:  "}</t>
  </si>
  <si>
    <t xml:space="preserve">  - &amp;SamplingFeatureID00217 {SamplingFeatureUUID:  NULL, SamplingFeatureTypeCV:  "Specimen", SamplingFeatureCode:  "1300797", SamplingFeatureName:  NULL, SamplingFeatureDescription:  NULL, SamplingFeatureGeotypeCV:  Point, FeatureGeometry:  ", Elevation_m:  ", ElevationDatumCV:  "}</t>
  </si>
  <si>
    <t xml:space="preserve">  - &amp;SamplingFeatureID00218 {SamplingFeatureUUID:  NULL, SamplingFeatureTypeCV:  "Specimen", SamplingFeatureCode:  "1300798", SamplingFeatureName:  NULL, SamplingFeatureDescription:  NULL, SamplingFeatureGeotypeCV:  Point, FeatureGeometry:  ", Elevation_m:  ", ElevationDatumCV:  "}</t>
  </si>
  <si>
    <t xml:space="preserve">  - &amp;SamplingFeatureID00219 {SamplingFeatureUUID:  NULL, SamplingFeatureTypeCV:  "Specimen", SamplingFeatureCode:  "1300799", SamplingFeatureName:  NULL, SamplingFeatureDescription:  NULL, SamplingFeatureGeotypeCV:  Point, FeatureGeometry:  ", Elevation_m:  ", ElevationDatumCV:  "}</t>
  </si>
  <si>
    <t xml:space="preserve">  - &amp;SamplingFeatureID00220 {SamplingFeatureUUID:  NULL, SamplingFeatureTypeCV:  "Specimen", SamplingFeatureCode:  "1300800", SamplingFeatureName:  NULL, SamplingFeatureDescription:  NULL, SamplingFeatureGeotypeCV:  Point, FeatureGeometry:  ", Elevation_m:  ", ElevationDatumCV:  "}</t>
  </si>
  <si>
    <t xml:space="preserve">  - &amp;SamplingFeatureID00221 {SamplingFeatureUUID:  NULL, SamplingFeatureTypeCV:  "Specimen", SamplingFeatureCode:  "1300801", SamplingFeatureName:  NULL, SamplingFeatureDescription:  NULL, SamplingFeatureGeotypeCV:  Point, FeatureGeometry:  ", Elevation_m:  ", ElevationDatumCV:  "}</t>
  </si>
  <si>
    <t xml:space="preserve">  - &amp;SamplingFeatureID00222 {SamplingFeatureUUID:  NULL, SamplingFeatureTypeCV:  "Specimen", SamplingFeatureCode:  "1301020", SamplingFeatureName:  NULL, SamplingFeatureDescription:  NULL, SamplingFeatureGeotypeCV:  Point, FeatureGeometry:  ", Elevation_m:  ", ElevationDatumCV:  "}</t>
  </si>
  <si>
    <t xml:space="preserve">  - &amp;SamplingFeatureID00223 {SamplingFeatureUUID:  NULL, SamplingFeatureTypeCV:  "Specimen", SamplingFeatureCode:  "1301018", SamplingFeatureName:  NULL, SamplingFeatureDescription:  NULL, SamplingFeatureGeotypeCV:  Point, FeatureGeometry:  ", Elevation_m:  ", ElevationDatumCV:  "}</t>
  </si>
  <si>
    <t xml:space="preserve">  - &amp;SamplingFeatureID00224 {SamplingFeatureUUID:  NULL, SamplingFeatureTypeCV:  "Specimen", SamplingFeatureCode:  "1301019", SamplingFeatureName:  NULL, SamplingFeatureDescription:  NULL, SamplingFeatureGeotypeCV:  Point, FeatureGeometry:  ", Elevation_m:  ", ElevationDatumCV:  "}</t>
  </si>
  <si>
    <t xml:space="preserve">  - &amp;SamplingFeatureID00225 {SamplingFeatureUUID:  NULL, SamplingFeatureTypeCV:  "Specimen", SamplingFeatureCode:  "1301208", SamplingFeatureName:  NULL, SamplingFeatureDescription:  NULL, SamplingFeatureGeotypeCV:  Point, FeatureGeometry:  ", Elevation_m:  ", ElevationDatumCV:  "}</t>
  </si>
  <si>
    <t xml:space="preserve">  - &amp;SamplingFeatureID00226 {SamplingFeatureUUID:  NULL, SamplingFeatureTypeCV:  "Specimen", SamplingFeatureCode:  "1301207", SamplingFeatureName:  NULL, SamplingFeatureDescription:  NULL, SamplingFeatureGeotypeCV:  Point, FeatureGeometry:  ", Elevation_m:  ", ElevationDatumCV:  "}</t>
  </si>
  <si>
    <t xml:space="preserve">  - &amp;SamplingFeatureID00227 {SamplingFeatureUUID:  NULL, SamplingFeatureTypeCV:  "Specimen", SamplingFeatureCode:  "1301206", SamplingFeatureName:  NULL, SamplingFeatureDescription:  NULL, SamplingFeatureGeotypeCV:  Point, FeatureGeometry:  ", Elevation_m:  ", ElevationDatumCV:  "}</t>
  </si>
  <si>
    <t xml:space="preserve">  - &amp;SamplingFeatureID00228 {SamplingFeatureUUID:  NULL, SamplingFeatureTypeCV:  "Specimen", SamplingFeatureCode:  "1301235", SamplingFeatureName:  NULL, SamplingFeatureDescription:  NULL, SamplingFeatureGeotypeCV:  Point, FeatureGeometry:  ", Elevation_m:  ", ElevationDatumCV:  "}</t>
  </si>
  <si>
    <t xml:space="preserve">  - &amp;SamplingFeatureID00229 {SamplingFeatureUUID:  NULL, SamplingFeatureTypeCV:  "Specimen", SamplingFeatureCode:  "1301236", SamplingFeatureName:  NULL, SamplingFeatureDescription:  NULL, SamplingFeatureGeotypeCV:  Point, FeatureGeometry:  ", Elevation_m:  ", ElevationDatumCV:  "}</t>
  </si>
  <si>
    <t xml:space="preserve">  - &amp;SamplingFeatureID00230 {SamplingFeatureUUID:  NULL, SamplingFeatureTypeCV:  "Specimen", SamplingFeatureCode:  "1301237", SamplingFeatureName:  NULL, SamplingFeatureDescription:  NULL, SamplingFeatureGeotypeCV:  Point, FeatureGeometry:  ", Elevation_m:  ", ElevationDatumCV:  "}</t>
  </si>
  <si>
    <t xml:space="preserve">  - &amp;SamplingFeatureID00231 {SamplingFeatureUUID:  NULL, SamplingFeatureTypeCV:  "Specimen", SamplingFeatureCode:  "1301238", SamplingFeatureName:  NULL, SamplingFeatureDescription:  NULL, SamplingFeatureGeotypeCV:  Point, FeatureGeometry:  ", Elevation_m:  ", ElevationDatumCV:  "}</t>
  </si>
  <si>
    <t xml:space="preserve">  - &amp;SamplingFeatureID00232 {SamplingFeatureUUID:  NULL, SamplingFeatureTypeCV:  "Specimen", SamplingFeatureCode:  "1301239", SamplingFeatureName:  NULL, SamplingFeatureDescription:  NULL, SamplingFeatureGeotypeCV:  Point, FeatureGeometry:  ", Elevation_m:  ", ElevationDatumCV:  "}</t>
  </si>
  <si>
    <t xml:space="preserve">  - &amp;SamplingFeatureID00233 {SamplingFeatureUUID:  NULL, SamplingFeatureTypeCV:  "Specimen", SamplingFeatureCode:  "1301239", SamplingFeatureName:  NULL, SamplingFeatureDescription:  NULL, SamplingFeatureGeotypeCV:  Point, FeatureGeometry:  ", Elevation_m:  ", ElevationDatumCV:  "}</t>
  </si>
  <si>
    <t xml:space="preserve">  - &amp;SamplingFeatureID00234 {SamplingFeatureUUID:  NULL, SamplingFeatureTypeCV:  "Specimen", SamplingFeatureCode:  "1301240", SamplingFeatureName:  NULL, SamplingFeatureDescription:  NULL, SamplingFeatureGeotypeCV:  Point, FeatureGeometry:  ", Elevation_m:  ", ElevationDatumCV:  "}</t>
  </si>
  <si>
    <t xml:space="preserve">  - &amp;SamplingFeatureID00235 {SamplingFeatureUUID:  NULL, SamplingFeatureTypeCV:  "Specimen", SamplingFeatureCode:  "1301241", SamplingFeatureName:  NULL, SamplingFeatureDescription:  NULL, SamplingFeatureGeotypeCV:  Point, FeatureGeometry:  ", Elevation_m:  ", ElevationDatumCV:  "}</t>
  </si>
  <si>
    <t xml:space="preserve">  - &amp;SamplingFeatureID00236 {SamplingFeatureUUID:  NULL, SamplingFeatureTypeCV:  "Specimen", SamplingFeatureCode:  "1301242", SamplingFeatureName:  NULL, SamplingFeatureDescription:  NULL, SamplingFeatureGeotypeCV:  Point, FeatureGeometry:  ", Elevation_m:  ", ElevationDatumCV:  "}</t>
  </si>
  <si>
    <t xml:space="preserve">  - &amp;SamplingFeatureID00237 {SamplingFeatureUUID:  NULL, SamplingFeatureTypeCV:  "Specimen", SamplingFeatureCode:  "1301243", SamplingFeatureName:  NULL, SamplingFeatureDescription:  NULL, SamplingFeatureGeotypeCV:  Point, FeatureGeometry:  ", Elevation_m:  ", ElevationDatumCV:  "}</t>
  </si>
  <si>
    <t xml:space="preserve">  - &amp;SamplingFeatureID00238 {SamplingFeatureUUID:  NULL, SamplingFeatureTypeCV:  "Specimen", SamplingFeatureCode:  "1301244", SamplingFeatureName:  NULL, SamplingFeatureDescription:  NULL, SamplingFeatureGeotypeCV:  Point, FeatureGeometry:  ", Elevation_m:  ", ElevationDatumCV:  "}</t>
  </si>
  <si>
    <t xml:space="preserve">  - &amp;SamplingFeatureID00239 {SamplingFeatureUUID:  NULL, SamplingFeatureTypeCV:  "Specimen", SamplingFeatureCode:  "1301251", SamplingFeatureName:  NULL, SamplingFeatureDescription:  NULL, SamplingFeatureGeotypeCV:  Point, FeatureGeometry:  ", Elevation_m:  ", ElevationDatumCV:  "}</t>
  </si>
  <si>
    <t xml:space="preserve">  - &amp;SamplingFeatureID00240 {SamplingFeatureUUID:  NULL, SamplingFeatureTypeCV:  "Specimen", SamplingFeatureCode:  "1301252", SamplingFeatureName:  NULL, SamplingFeatureDescription:  NULL, SamplingFeatureGeotypeCV:  Point, FeatureGeometry:  ", Elevation_m:  ", ElevationDatumCV:  "}</t>
  </si>
  <si>
    <t xml:space="preserve">  - &amp;SamplingFeatureID00241 {SamplingFeatureUUID:  NULL, SamplingFeatureTypeCV:  "Specimen", SamplingFeatureCode:  "1301253", SamplingFeatureName:  NULL, SamplingFeatureDescription:  NULL, SamplingFeatureGeotypeCV:  Point, FeatureGeometry:  ", Elevation_m:  ", ElevationDatumCV:  "}</t>
  </si>
  <si>
    <t xml:space="preserve">  - &amp;SamplingFeatureID00242 {SamplingFeatureUUID:  NULL, SamplingFeatureTypeCV:  "Specimen", SamplingFeatureCode:  "1301419", SamplingFeatureName:  NULL, SamplingFeatureDescription:  NULL, SamplingFeatureGeotypeCV:  Point, FeatureGeometry:  ", Elevation_m:  ", ElevationDatumCV:  "}</t>
  </si>
  <si>
    <t xml:space="preserve">  - &amp;SamplingFeatureID00243 {SamplingFeatureUUID:  NULL, SamplingFeatureTypeCV:  "Specimen", SamplingFeatureCode:  "1301417", SamplingFeatureName:  NULL, SamplingFeatureDescription:  NULL, SamplingFeatureGeotypeCV:  Point, FeatureGeometry:  ", Elevation_m:  ", ElevationDatumCV:  "}</t>
  </si>
  <si>
    <t xml:space="preserve">  - &amp;SamplingFeatureID00244 {SamplingFeatureUUID:  NULL, SamplingFeatureTypeCV:  "Specimen", SamplingFeatureCode:  "1301418", SamplingFeatureName:  NULL, SamplingFeatureDescription:  NULL, SamplingFeatureGeotypeCV:  Point, FeatureGeometry:  ", Elevation_m:  ", ElevationDatumCV:  "}</t>
  </si>
  <si>
    <t xml:space="preserve">  - &amp;SamplingFeatureID00245 {SamplingFeatureUUID:  NULL, SamplingFeatureTypeCV:  "Specimen", SamplingFeatureCode:  "1301708", SamplingFeatureName:  NULL, SamplingFeatureDescription:  NULL, SamplingFeatureGeotypeCV:  Point, FeatureGeometry:  ", Elevation_m:  ", ElevationDatumCV:  "}</t>
  </si>
  <si>
    <t xml:space="preserve">  - &amp;SamplingFeatureID00246 {SamplingFeatureUUID:  NULL, SamplingFeatureTypeCV:  "Specimen", SamplingFeatureCode:  "1301709", SamplingFeatureName:  NULL, SamplingFeatureDescription:  NULL, SamplingFeatureGeotypeCV:  Point, FeatureGeometry:  ", Elevation_m:  ", ElevationDatumCV:  "}</t>
  </si>
  <si>
    <t xml:space="preserve">  - &amp;SamplingFeatureID00247 {SamplingFeatureUUID:  NULL, SamplingFeatureTypeCV:  "Specimen", SamplingFeatureCode:  "1301736", SamplingFeatureName:  NULL, SamplingFeatureDescription:  NULL, SamplingFeatureGeotypeCV:  Point, FeatureGeometry:  ", Elevation_m:  ", ElevationDatumCV:  "}</t>
  </si>
  <si>
    <t xml:space="preserve">  - &amp;SamplingFeatureID00248 {SamplingFeatureUUID:  NULL, SamplingFeatureTypeCV:  "Specimen", SamplingFeatureCode:  "1301734", SamplingFeatureName:  NULL, SamplingFeatureDescription:  NULL, SamplingFeatureGeotypeCV:  Point, FeatureGeometry:  ", Elevation_m:  ", ElevationDatumCV:  "}</t>
  </si>
  <si>
    <t xml:space="preserve">  - &amp;SamplingFeatureID00249 {SamplingFeatureUUID:  NULL, SamplingFeatureTypeCV:  "Specimen", SamplingFeatureCode:  "1301735", SamplingFeatureName:  NULL, SamplingFeatureDescription:  NULL, SamplingFeatureGeotypeCV:  Point, FeatureGeometry:  ", Elevation_m:  ", ElevationDatumCV:  "}</t>
  </si>
  <si>
    <t xml:space="preserve">  - &amp;SamplingFeatureID00250 {SamplingFeatureUUID:  NULL, SamplingFeatureTypeCV:  "Specimen", SamplingFeatureCode:  "1302002", SamplingFeatureName:  NULL, SamplingFeatureDescription:  NULL, SamplingFeatureGeotypeCV:  Point, FeatureGeometry:  ", Elevation_m:  ", ElevationDatumCV:  "}</t>
  </si>
  <si>
    <t xml:space="preserve">  - &amp;SamplingFeatureID00251 {SamplingFeatureUUID:  NULL, SamplingFeatureTypeCV:  "Specimen", SamplingFeatureCode:  "1302000", SamplingFeatureName:  NULL, SamplingFeatureDescription:  NULL, SamplingFeatureGeotypeCV:  Point, FeatureGeometry:  ", Elevation_m:  ", ElevationDatumCV:  "}</t>
  </si>
  <si>
    <t xml:space="preserve">  - &amp;SamplingFeatureID00252 {SamplingFeatureUUID:  NULL, SamplingFeatureTypeCV:  "Specimen", SamplingFeatureCode:  "1302001", SamplingFeatureName:  NULL, SamplingFeatureDescription:  NULL, SamplingFeatureGeotypeCV:  Point, FeatureGeometry:  ", Elevation_m:  ", ElevationDatumCV:  "}</t>
  </si>
  <si>
    <t xml:space="preserve">  - &amp;SamplingFeatureID00253 {SamplingFeatureUUID:  NULL, SamplingFeatureTypeCV:  "Specimen", SamplingFeatureCode:  "1302171", SamplingFeatureName:  NULL, SamplingFeatureDescription:  NULL, SamplingFeatureGeotypeCV:  Point, FeatureGeometry:  ", Elevation_m:  ", ElevationDatumCV:  "}</t>
  </si>
  <si>
    <t xml:space="preserve">  - &amp;SamplingFeatureID00254 {SamplingFeatureUUID:  NULL, SamplingFeatureTypeCV:  "Specimen", SamplingFeatureCode:  "1302170", SamplingFeatureName:  NULL, SamplingFeatureDescription:  NULL, SamplingFeatureGeotypeCV:  Point, FeatureGeometry:  ", Elevation_m:  ", ElevationDatumCV:  "}</t>
  </si>
  <si>
    <t xml:space="preserve">  - &amp;SamplingFeatureID00255 {SamplingFeatureUUID:  NULL, SamplingFeatureTypeCV:  "Specimen", SamplingFeatureCode:  "1302169", SamplingFeatureName:  NULL, SamplingFeatureDescription:  NULL, SamplingFeatureGeotypeCV:  Point, FeatureGeometry:  ", Elevation_m:  ", ElevationDatumCV:  "}</t>
  </si>
  <si>
    <t xml:space="preserve">  - &amp;SamplingFeatureID00256 {SamplingFeatureUUID:  NULL, SamplingFeatureTypeCV:  "Specimen", SamplingFeatureCode:  "1302244", SamplingFeatureName:  NULL, SamplingFeatureDescription:  NULL, SamplingFeatureGeotypeCV:  Point, FeatureGeometry:  ", Elevation_m:  ", ElevationDatumCV:  "}</t>
  </si>
  <si>
    <t xml:space="preserve">  - &amp;SamplingFeatureID00257 {SamplingFeatureUUID:  NULL, SamplingFeatureTypeCV:  "Specimen", SamplingFeatureCode:  "1302245", SamplingFeatureName:  NULL, SamplingFeatureDescription:  NULL, SamplingFeatureGeotypeCV:  Point, FeatureGeometry:  ", Elevation_m:  ", ElevationDatumCV:  "}</t>
  </si>
  <si>
    <t xml:space="preserve">  - &amp;SamplingFeatureID00258 {SamplingFeatureUUID:  NULL, SamplingFeatureTypeCV:  "Specimen", SamplingFeatureCode:  "1302246", SamplingFeatureName:  NULL, SamplingFeatureDescription:  NULL, SamplingFeatureGeotypeCV:  Point, FeatureGeometry:  ", Elevation_m:  ", ElevationDatumCV:  "}</t>
  </si>
  <si>
    <t xml:space="preserve">  - &amp;SamplingFeatureID00259 {SamplingFeatureUUID:  NULL, SamplingFeatureTypeCV:  "Specimen", SamplingFeatureCode:  "1302247", SamplingFeatureName:  NULL, SamplingFeatureDescription:  NULL, SamplingFeatureGeotypeCV:  Point, FeatureGeometry:  ", Elevation_m:  ", ElevationDatumCV:  "}</t>
  </si>
  <si>
    <t xml:space="preserve">  - &amp;SamplingFeatureID00260 {SamplingFeatureUUID:  NULL, SamplingFeatureTypeCV:  "Specimen", SamplingFeatureCode:  "1302248", SamplingFeatureName:  NULL, SamplingFeatureDescription:  NULL, SamplingFeatureGeotypeCV:  Point, FeatureGeometry:  ", Elevation_m:  ", ElevationDatumCV:  "}</t>
  </si>
  <si>
    <t xml:space="preserve">  - &amp;SamplingFeatureID00261 {SamplingFeatureUUID:  NULL, SamplingFeatureTypeCV:  "Specimen", SamplingFeatureCode:  "1302249", SamplingFeatureName:  NULL, SamplingFeatureDescription:  NULL, SamplingFeatureGeotypeCV:  Point, FeatureGeometry:  ", Elevation_m:  ", ElevationDatumCV:  "}</t>
  </si>
  <si>
    <t xml:space="preserve">  - &amp;SamplingFeatureID00262 {SamplingFeatureUUID:  NULL, SamplingFeatureTypeCV:  "Specimen", SamplingFeatureCode:  "1302250", SamplingFeatureName:  NULL, SamplingFeatureDescription:  NULL, SamplingFeatureGeotypeCV:  Point, FeatureGeometry:  ", Elevation_m:  ", ElevationDatumCV:  "}</t>
  </si>
  <si>
    <t xml:space="preserve">  - &amp;SamplingFeatureID00263 {SamplingFeatureUUID:  NULL, SamplingFeatureTypeCV:  "Specimen", SamplingFeatureCode:  "1302251", SamplingFeatureName:  NULL, SamplingFeatureDescription:  NULL, SamplingFeatureGeotypeCV:  Point, FeatureGeometry:  ", Elevation_m:  ", ElevationDatumCV:  "}</t>
  </si>
  <si>
    <t xml:space="preserve">  - &amp;SamplingFeatureID00264 {SamplingFeatureUUID:  NULL, SamplingFeatureTypeCV:  "Specimen", SamplingFeatureCode:  "1302252", SamplingFeatureName:  NULL, SamplingFeatureDescription:  NULL, SamplingFeatureGeotypeCV:  Point, FeatureGeometry:  ", Elevation_m:  ", ElevationDatumCV:  "}</t>
  </si>
  <si>
    <t xml:space="preserve">  - &amp;SamplingFeatureID00265 {SamplingFeatureUUID:  NULL, SamplingFeatureTypeCV:  "Specimen", SamplingFeatureCode:  "1302253", SamplingFeatureName:  NULL, SamplingFeatureDescription:  NULL, SamplingFeatureGeotypeCV:  Point, FeatureGeometry:  ", Elevation_m:  ", ElevationDatumCV:  "}</t>
  </si>
  <si>
    <t xml:space="preserve">  - &amp;SamplingFeatureID00266 {SamplingFeatureUUID:  NULL, SamplingFeatureTypeCV:  "Specimen", SamplingFeatureCode:  "1302316", SamplingFeatureName:  NULL, SamplingFeatureDescription:  NULL, SamplingFeatureGeotypeCV:  Point, FeatureGeometry:  ", Elevation_m:  ", ElevationDatumCV:  "}</t>
  </si>
  <si>
    <t xml:space="preserve">  - &amp;SamplingFeatureID00267 {SamplingFeatureUUID:  NULL, SamplingFeatureTypeCV:  "Specimen", SamplingFeatureCode:  "1302317", SamplingFeatureName:  NULL, SamplingFeatureDescription:  NULL, SamplingFeatureGeotypeCV:  Point, FeatureGeometry:  ", Elevation_m:  ", ElevationDatumCV:  "}</t>
  </si>
  <si>
    <t xml:space="preserve">  - &amp;SamplingFeatureID00268 {SamplingFeatureUUID:  NULL, SamplingFeatureTypeCV:  "Specimen", SamplingFeatureCode:  "1302318", SamplingFeatureName:  NULL, SamplingFeatureDescription:  NULL, SamplingFeatureGeotypeCV:  Point, FeatureGeometry:  ", Elevation_m:  ", ElevationDatumCV:  "}</t>
  </si>
  <si>
    <t xml:space="preserve">  - &amp;SamplingFeatureID00269 {SamplingFeatureUUID:  NULL, SamplingFeatureTypeCV:  "Specimen", SamplingFeatureCode:  "1302320", SamplingFeatureName:  NULL, SamplingFeatureDescription:  NULL, SamplingFeatureGeotypeCV:  Point, FeatureGeometry:  ", Elevation_m:  ", ElevationDatumCV:  "}</t>
  </si>
  <si>
    <t xml:space="preserve">  - &amp;SamplingFeatureID00270 {SamplingFeatureUUID:  NULL, SamplingFeatureTypeCV:  "Specimen", SamplingFeatureCode:  "1302321", SamplingFeatureName:  NULL, SamplingFeatureDescription:  NULL, SamplingFeatureGeotypeCV:  Point, FeatureGeometry:  ", Elevation_m:  ", ElevationDatumCV:  "}</t>
  </si>
  <si>
    <t xml:space="preserve">  - &amp;SamplingFeatureID00271 {SamplingFeatureUUID:  NULL, SamplingFeatureTypeCV:  "Specimen", SamplingFeatureCode:  "1302322", SamplingFeatureName:  NULL, SamplingFeatureDescription:  NULL, SamplingFeatureGeotypeCV:  Point, FeatureGeometry:  ", Elevation_m:  ", ElevationDatumCV:  "}</t>
  </si>
  <si>
    <t xml:space="preserve">  - &amp;SamplingFeatureID00272 {SamplingFeatureUUID:  NULL, SamplingFeatureTypeCV:  "Specimen", SamplingFeatureCode:  "1302323", SamplingFeatureName:  NULL, SamplingFeatureDescription:  NULL, SamplingFeatureGeotypeCV:  Point, FeatureGeometry:  ", Elevation_m:  ", ElevationDatumCV:  "}</t>
  </si>
  <si>
    <t xml:space="preserve">  - &amp;SamplingFeatureID00273 {SamplingFeatureUUID:  NULL, SamplingFeatureTypeCV:  "Specimen", SamplingFeatureCode:  "1302324", SamplingFeatureName:  NULL, SamplingFeatureDescription:  NULL, SamplingFeatureGeotypeCV:  Point, FeatureGeometry:  ", Elevation_m:  ", ElevationDatumCV:  "}</t>
  </si>
  <si>
    <t xml:space="preserve">  - &amp;SamplingFeatureID00274 {SamplingFeatureUUID:  NULL, SamplingFeatureTypeCV:  "Specimen", SamplingFeatureCode:  "1302319", SamplingFeatureName:  NULL, SamplingFeatureDescription:  NULL, SamplingFeatureGeotypeCV:  Point, FeatureGeometry:  ", Elevation_m:  ", ElevationDatumCV:  "}</t>
  </si>
  <si>
    <t xml:space="preserve">  - &amp;SamplingFeatureID00275 {SamplingFeatureUUID:  NULL, SamplingFeatureTypeCV:  "Specimen", SamplingFeatureCode:  "1302325", SamplingFeatureName:  NULL, SamplingFeatureDescription:  NULL, SamplingFeatureGeotypeCV:  Point, FeatureGeometry:  ", Elevation_m:  ", ElevationDatumCV:  "}</t>
  </si>
  <si>
    <t xml:space="preserve">  - &amp;SamplingFeatureID00276 {SamplingFeatureUUID:  NULL, SamplingFeatureTypeCV:  "Specimen", SamplingFeatureCode:  "1302326", SamplingFeatureName:  NULL, SamplingFeatureDescription:  NULL, SamplingFeatureGeotypeCV:  Point, FeatureGeometry:  ", Elevation_m:  ", ElevationDatumCV:  "}</t>
  </si>
  <si>
    <t xml:space="preserve">  - &amp;SamplingFeatureID00277 {SamplingFeatureUUID:  NULL, SamplingFeatureTypeCV:  "Specimen", SamplingFeatureCode:  "1302331", SamplingFeatureName:  NULL, SamplingFeatureDescription:  NULL, SamplingFeatureGeotypeCV:  Point, FeatureGeometry:  ", Elevation_m:  ", ElevationDatumCV:  "}</t>
  </si>
  <si>
    <t xml:space="preserve">  - &amp;SamplingFeatureID00278 {SamplingFeatureUUID:  NULL, SamplingFeatureTypeCV:  "Specimen", SamplingFeatureCode:  "1302332", SamplingFeatureName:  NULL, SamplingFeatureDescription:  NULL, SamplingFeatureGeotypeCV:  Point, FeatureGeometry:  ", Elevation_m:  ", ElevationDatumCV:  "}</t>
  </si>
  <si>
    <t xml:space="preserve">  - &amp;SamplingFeatureID00279 {SamplingFeatureUUID:  NULL, SamplingFeatureTypeCV:  "Specimen", SamplingFeatureCode:  "1302520", SamplingFeatureName:  NULL, SamplingFeatureDescription:  NULL, SamplingFeatureGeotypeCV:  Point, FeatureGeometry:  ", Elevation_m:  ", ElevationDatumCV:  "}</t>
  </si>
  <si>
    <t xml:space="preserve">  - &amp;SamplingFeatureID00280 {SamplingFeatureUUID:  NULL, SamplingFeatureTypeCV:  "Specimen", SamplingFeatureCode:  "1302519", SamplingFeatureName:  NULL, SamplingFeatureDescription:  NULL, SamplingFeatureGeotypeCV:  Point, FeatureGeometry:  ", Elevation_m:  ", ElevationDatumCV:  "}</t>
  </si>
  <si>
    <t xml:space="preserve">  - &amp;SamplingFeatureID00281 {SamplingFeatureUUID:  NULL, SamplingFeatureTypeCV:  "Specimen", SamplingFeatureCode:  "1302518", SamplingFeatureName:  NULL, SamplingFeatureDescription:  NULL, SamplingFeatureGeotypeCV:  Point, FeatureGeometry:  ", Elevation_m:  ", ElevationDatumCV:  "}</t>
  </si>
  <si>
    <t xml:space="preserve">  - &amp;SamplingFeatureID00282 {SamplingFeatureUUID:  NULL, SamplingFeatureTypeCV:  "Specimen", SamplingFeatureCode:  "1302790", SamplingFeatureName:  NULL, SamplingFeatureDescription:  NULL, SamplingFeatureGeotypeCV:  Point, FeatureGeometry:  ", Elevation_m:  ", ElevationDatumCV:  "}</t>
  </si>
  <si>
    <t xml:space="preserve">  - &amp;SamplingFeatureID00283 {SamplingFeatureUUID:  NULL, SamplingFeatureTypeCV:  "Specimen", SamplingFeatureCode:  "1302789", SamplingFeatureName:  NULL, SamplingFeatureDescription:  NULL, SamplingFeatureGeotypeCV:  Point, FeatureGeometry:  ", Elevation_m:  ", ElevationDatumCV:  "}</t>
  </si>
  <si>
    <t xml:space="preserve">  - &amp;SamplingFeatureID00284 {SamplingFeatureUUID:  NULL, SamplingFeatureTypeCV:  "Specimen", SamplingFeatureCode:  "1302788", SamplingFeatureName:  NULL, SamplingFeatureDescription:  NULL, SamplingFeatureGeotypeCV:  Point, FeatureGeometry:  ", Elevation_m:  ", ElevationDatumCV:  "}</t>
  </si>
  <si>
    <t xml:space="preserve">  - &amp;MethodID00006 {MethodTypeCV:  "Specimen collection", MethodCode:  "GRAB", MethodName:  "Grab sample", MethodDescription:  "Sample taken via manual grab from stream", MethodLink:  NULL, OrganizationObj: "}</t>
  </si>
  <si>
    <t xml:space="preserve">  - &amp;MethodID00007 {MethodTypeCV:  "Specimen collection", MethodCode:  "ISCO", MethodName:  "ISCO sample", MethodDescription:  "Sample taken automatically via ISCO autosampler", MethodLink:  NULL, OrganizationObj: "}</t>
  </si>
  <si>
    <t xml:space="preserve">  - &amp;ActionID00555 {ActionTypeCV:  "Specimen analysis", MethodObj: *MethodID00001, BeginDateTime:  NULL, BeginDateTimeUTCOffset:  NULL, EndDateTime:  ", EndDateTimeUTCOffset:  ", ActionDescription:  "Action generated by Excel Template for Specimen v.0.1.0-alpha", ActionFileLink:  "}</t>
  </si>
  <si>
    <t xml:space="preserve">  - &amp;ActionID00556 {ActionTypeCV:  "Specimen analysis", MethodObj: *MethodID00001, BeginDateTime:  NULL, BeginDateTimeUTCOffset:  NULL, EndDateTime:  ", EndDateTimeUTCOffset:  ", ActionDescription:  "Action generated by Excel Template for Specimen v.0.1.0-alpha", ActionFileLink:  "}</t>
  </si>
  <si>
    <t xml:space="preserve">  - &amp;ActionID00557 {ActionTypeCV:  "Specimen analysis", MethodObj: *MethodID00001, BeginDateTime:  NULL, BeginDateTimeUTCOffset:  NULL, EndDateTime:  ", EndDateTimeUTCOffset:  ", ActionDescription:  "Action generated by Excel Template for Specimen v.0.1.0-alpha", ActionFileLink:  "}</t>
  </si>
  <si>
    <t xml:space="preserve">  - &amp;ActionID00558 {ActionTypeCV:  "Specimen analysis", MethodObj: *MethodID00001, BeginDateTime:  NULL, BeginDateTimeUTCOffset:  NULL, EndDateTime:  ", EndDateTimeUTCOffset:  ", ActionDescription:  "Action generated by Excel Template for Specimen v.0.1.0-alpha", ActionFileLink:  "}</t>
  </si>
  <si>
    <t xml:space="preserve">  - &amp;ActionID00559 {ActionTypeCV:  "Specimen analysis", MethodObj: *MethodID00001, BeginDateTime:  NULL, BeginDateTimeUTCOffset:  NULL, EndDateTime:  ", EndDateTimeUTCOffset:  ", ActionDescription:  "Action generated by Excel Template for Specimen v.0.1.0-alpha", ActionFileLink:  "}</t>
  </si>
  <si>
    <t xml:space="preserve">  - &amp;ActionID00560 {ActionTypeCV:  "Specimen analysis", MethodObj: *MethodID00001, BeginDateTime:  NULL, BeginDateTimeUTCOffset:  NULL, EndDateTime:  ", EndDateTimeUTCOffset:  ", ActionDescription:  "Action generated by Excel Template for Specimen v.0.1.0-alpha", ActionFileLink:  "}</t>
  </si>
  <si>
    <t xml:space="preserve">  - &amp;ActionID00561 {ActionTypeCV:  "Specimen analysis", MethodObj: *MethodID00001, BeginDateTime:  NULL, BeginDateTimeUTCOffset:  NULL, EndDateTime:  ", EndDateTimeUTCOffset:  ", ActionDescription:  "Action generated by Excel Template for Specimen v.0.1.0-alpha", ActionFileLink:  "}</t>
  </si>
  <si>
    <t xml:space="preserve">  - &amp;ActionID00562 {ActionTypeCV:  "Specimen analysis", MethodObj: *MethodID00001, BeginDateTime:  NULL, BeginDateTimeUTCOffset:  NULL, EndDateTime:  ", EndDateTimeUTCOffset:  ", ActionDescription:  "Action generated by Excel Template for Specimen v.0.1.0-alpha", ActionFileLink:  "}</t>
  </si>
  <si>
    <t xml:space="preserve">  - &amp;ActionID00563 {ActionTypeCV:  "Specimen analysis", MethodObj: *MethodID00001, BeginDateTime:  NULL, BeginDateTimeUTCOffset:  NULL, EndDateTime:  ", EndDateTimeUTCOffset:  ", ActionDescription:  "Action generated by Excel Template for Specimen v.0.1.0-alpha", ActionFileLink:  "}</t>
  </si>
  <si>
    <t xml:space="preserve">  - &amp;ActionID00564 {ActionTypeCV:  "Specimen analysis", MethodObj: *MethodID00001, BeginDateTime:  NULL, BeginDateTimeUTCOffset:  NULL, EndDateTime:  ", EndDateTimeUTCOffset:  ", ActionDescription:  "Action generated by Excel Template for Specimen v.0.1.0-alpha", ActionFileLink:  "}</t>
  </si>
  <si>
    <t xml:space="preserve">  - &amp;ActionID00565 {ActionTypeCV:  "Specimen analysis", MethodObj: *MethodID00001, BeginDateTime:  NULL, BeginDateTimeUTCOffset:  NULL, EndDateTime:  ", EndDateTimeUTCOffset:  ", ActionDescription:  "Action generated by Excel Template for Specimen v.0.1.0-alpha", ActionFileLink:  "}</t>
  </si>
  <si>
    <t xml:space="preserve">  - &amp;ActionID00566 {ActionTypeCV:  "Specimen analysis", MethodObj: *MethodID00001, BeginDateTime:  NULL, BeginDateTimeUTCOffset:  NULL, EndDateTime:  ", EndDateTimeUTCOffset:  ", ActionDescription:  "Action generated by Excel Template for Specimen v.0.1.0-alpha", ActionFileLink:  "}</t>
  </si>
  <si>
    <t xml:space="preserve">  - &amp;ActionID00567 {ActionTypeCV:  "Specimen analysis", MethodObj: *MethodID00001, BeginDateTime:  NULL, BeginDateTimeUTCOffset:  NULL, EndDateTime:  ", EndDateTimeUTCOffset:  ", ActionDescription:  "Action generated by Excel Template for Specimen v.0.1.0-alpha", ActionFileLink:  "}</t>
  </si>
  <si>
    <t xml:space="preserve">  - &amp;ActionID00568 {ActionTypeCV:  "Specimen analysis", MethodObj: *MethodID00001, BeginDateTime:  NULL, BeginDateTimeUTCOffset:  NULL, EndDateTime:  ", EndDateTimeUTCOffset:  ", ActionDescription:  "Action generated by Excel Template for Specimen v.0.1.0-alpha", ActionFileLink:  "}</t>
  </si>
  <si>
    <t xml:space="preserve">  - &amp;ActionID00569 {ActionTypeCV:  "Specimen analysis", MethodObj: *MethodID00001, BeginDateTime:  NULL, BeginDateTimeUTCOffset:  NULL, EndDateTime:  ", EndDateTimeUTCOffset:  ", ActionDescription:  "Action generated by Excel Template for Specimen v.0.1.0-alpha", ActionFileLink:  "}</t>
  </si>
  <si>
    <t xml:space="preserve">  - &amp;ActionID00570 {ActionTypeCV:  "Specimen analysis", MethodObj: *MethodID00001, BeginDateTime:  NULL, BeginDateTimeUTCOffset:  NULL, EndDateTime:  ", EndDateTimeUTCOffset:  ", ActionDescription:  "Action generated by Excel Template for Specimen v.0.1.0-alpha", ActionFileLink:  "}</t>
  </si>
  <si>
    <t xml:space="preserve">  - &amp;ActionID00571 {ActionTypeCV:  "Specimen analysis", MethodObj: *MethodID00001, BeginDateTime:  NULL, BeginDateTimeUTCOffset:  NULL, EndDateTime:  ", EndDateTimeUTCOffset:  ", ActionDescription:  "Action generated by Excel Template for Specimen v.0.1.0-alpha", ActionFileLink:  "}</t>
  </si>
  <si>
    <t xml:space="preserve">  - &amp;ActionID00572 {ActionTypeCV:  "Specimen analysis", MethodObj: *MethodID00001, BeginDateTime:  NULL, BeginDateTimeUTCOffset:  NULL, EndDateTime:  ", EndDateTimeUTCOffset:  ", ActionDescription:  "Action generated by Excel Template for Specimen v.0.1.0-alpha", ActionFileLink:  "}</t>
  </si>
  <si>
    <t xml:space="preserve">  - &amp;ActionID00573 {ActionTypeCV:  "Specimen analysis", MethodObj: *MethodID00001, BeginDateTime:  NULL, BeginDateTimeUTCOffset:  NULL, EndDateTime:  ", EndDateTimeUTCOffset:  ", ActionDescription:  "Action generated by Excel Template for Specimen v.0.1.0-alpha", ActionFileLink:  "}</t>
  </si>
  <si>
    <t xml:space="preserve">  - &amp;ActionID00574 {ActionTypeCV:  "Specimen analysis", MethodObj: *MethodID00001, BeginDateTime:  NULL, BeginDateTimeUTCOffset:  NULL, EndDateTime:  ", EndDateTimeUTCOffset:  ", ActionDescription:  "Action generated by Excel Template for Specimen v.0.1.0-alpha", ActionFileLink:  "}</t>
  </si>
  <si>
    <t xml:space="preserve">  - &amp;ActionID00575 {ActionTypeCV:  "Specimen analysis", MethodObj: *MethodID00001, BeginDateTime:  NULL, BeginDateTimeUTCOffset:  NULL, EndDateTime:  ", EndDateTimeUTCOffset:  ", ActionDescription:  "Action generated by Excel Template for Specimen v.0.1.0-alpha", ActionFileLink:  "}</t>
  </si>
  <si>
    <t xml:space="preserve">  - &amp;ActionID00576 {ActionTypeCV:  "Specimen analysis", MethodObj: *MethodID00001, BeginDateTime:  NULL, BeginDateTimeUTCOffset:  NULL, EndDateTime:  ", EndDateTimeUTCOffset:  ", ActionDescription:  "Action generated by Excel Template for Specimen v.0.1.0-alpha", ActionFileLink:  "}</t>
  </si>
  <si>
    <t xml:space="preserve">  - &amp;ActionID00577 {ActionTypeCV:  "Specimen analysis", MethodObj: *MethodID00001, BeginDateTime:  NULL, BeginDateTimeUTCOffset:  NULL, EndDateTime:  ", EndDateTimeUTCOffset:  ", ActionDescription:  "Action generated by Excel Template for Specimen v.0.1.0-alpha", ActionFileLink:  "}</t>
  </si>
  <si>
    <t xml:space="preserve">  - &amp;ActionID00578 {ActionTypeCV:  "Specimen analysis", MethodObj: *MethodID00001, BeginDateTime:  NULL, BeginDateTimeUTCOffset:  NULL, EndDateTime:  ", EndDateTimeUTCOffset:  ", ActionDescription:  "Action generated by Excel Template for Specimen v.0.1.0-alpha", ActionFileLink:  "}</t>
  </si>
  <si>
    <t xml:space="preserve">  - &amp;ActionID00579 {ActionTypeCV:  "Specimen analysis", MethodObj: *MethodID00001, BeginDateTime:  NULL, BeginDateTimeUTCOffset:  NULL, EndDateTime:  ", EndDateTimeUTCOffset:  ", ActionDescription:  "Action generated by Excel Template for Specimen v.0.1.0-alpha", ActionFileLink:  "}</t>
  </si>
  <si>
    <t xml:space="preserve">  - &amp;ActionID00580 {ActionTypeCV:  "Specimen analysis", MethodObj: *MethodID00001, BeginDateTime:  NULL, BeginDateTimeUTCOffset:  NULL, EndDateTime:  ", EndDateTimeUTCOffset:  ", ActionDescription:  "Action generated by Excel Template for Specimen v.0.1.0-alpha", ActionFileLink:  "}</t>
  </si>
  <si>
    <t xml:space="preserve">  - &amp;ActionID00581 {ActionTypeCV:  "Specimen analysis", MethodObj: *MethodID00001, BeginDateTime:  NULL, BeginDateTimeUTCOffset:  NULL, EndDateTime:  ", EndDateTimeUTCOffset:  ", ActionDescription:  "Action generated by Excel Template for Specimen v.0.1.0-alpha", ActionFileLink:  "}</t>
  </si>
  <si>
    <t xml:space="preserve">  - &amp;ActionID00582 {ActionTypeCV:  "Specimen analysis", MethodObj: *MethodID00001, BeginDateTime:  NULL, BeginDateTimeUTCOffset:  NULL, EndDateTime:  ", EndDateTimeUTCOffset:  ", ActionDescription:  "Action generated by Excel Template for Specimen v.0.1.0-alpha", ActionFileLink:  "}</t>
  </si>
  <si>
    <t xml:space="preserve">  - &amp;ActionID00583 {ActionTypeCV:  "Specimen analysis", MethodObj: *MethodID00001, BeginDateTime:  NULL, BeginDateTimeUTCOffset:  NULL, EndDateTime:  ", EndDateTimeUTCOffset:  ", ActionDescription:  "Action generated by Excel Template for Specimen v.0.1.0-alpha", ActionFileLink:  "}</t>
  </si>
  <si>
    <t xml:space="preserve">  - &amp;ActionID00584 {ActionTypeCV:  "Specimen analysis", MethodObj: *MethodID00001, BeginDateTime:  NULL, BeginDateTimeUTCOffset:  NULL, EndDateTime:  ", EndDateTimeUTCOffset:  ", ActionDescription:  "Action generated by Excel Template for Specimen v.0.1.0-alpha", ActionFileLink:  "}</t>
  </si>
  <si>
    <t xml:space="preserve">  - &amp;ActionID00585 {ActionTypeCV:  "Specimen analysis", MethodObj: *MethodID00001, BeginDateTime:  NULL, BeginDateTimeUTCOffset:  NULL, EndDateTime:  ", EndDateTimeUTCOffset:  ", ActionDescription:  "Action generated by Excel Template for Specimen v.0.1.0-alpha", ActionFileLink:  "}</t>
  </si>
  <si>
    <t xml:space="preserve">  - &amp;ActionID00586 {ActionTypeCV:  "Specimen analysis", MethodObj: *MethodID00001, BeginDateTime:  NULL, BeginDateTimeUTCOffset:  NULL, EndDateTime:  ", EndDateTimeUTCOffset:  ", ActionDescription:  "Action generated by Excel Template for Specimen v.0.1.0-alpha", ActionFileLink:  "}</t>
  </si>
  <si>
    <t xml:space="preserve">  - &amp;ActionID00587 {ActionTypeCV:  "Specimen analysis", MethodObj: *MethodID00001, BeginDateTime:  NULL, BeginDateTimeUTCOffset:  NULL, EndDateTime:  ", EndDateTimeUTCOffset:  ", ActionDescription:  "Action generated by Excel Template for Specimen v.0.1.0-alpha", ActionFileLink:  "}</t>
  </si>
  <si>
    <t xml:space="preserve">  - &amp;ActionID00588 {ActionTypeCV:  "Specimen analysis", MethodObj: *MethodID00001, BeginDateTime:  NULL, BeginDateTimeUTCOffset:  NULL, EndDateTime:  ", EndDateTimeUTCOffset:  ", ActionDescription:  "Action generated by Excel Template for Specimen v.0.1.0-alpha", ActionFileLink:  "}</t>
  </si>
  <si>
    <t xml:space="preserve">  - &amp;ActionID00589 {ActionTypeCV:  "Specimen analysis", MethodObj: *MethodID00001, BeginDateTime:  NULL, BeginDateTimeUTCOffset:  NULL, EndDateTime:  ", EndDateTimeUTCOffset:  ", ActionDescription:  "Action generated by Excel Template for Specimen v.0.1.0-alpha", ActionFileLink:  "}</t>
  </si>
  <si>
    <t xml:space="preserve">  - &amp;ActionID00590 {ActionTypeCV:  "Specimen analysis", MethodObj: *MethodID00001, BeginDateTime:  NULL, BeginDateTimeUTCOffset:  NULL, EndDateTime:  ", EndDateTimeUTCOffset:  ", ActionDescription:  "Action generated by Excel Template for Specimen v.0.1.0-alpha", ActionFileLink:  "}</t>
  </si>
  <si>
    <t xml:space="preserve">  - &amp;ActionID00591 {ActionTypeCV:  "Specimen analysis", MethodObj: *MethodID00001, BeginDateTime:  NULL, BeginDateTimeUTCOffset:  NULL, EndDateTime:  ", EndDateTimeUTCOffset:  ", ActionDescription:  "Action generated by Excel Template for Specimen v.0.1.0-alpha", ActionFileLink:  "}</t>
  </si>
  <si>
    <t xml:space="preserve">  - &amp;ActionID00592 {ActionTypeCV:  "Specimen analysis", MethodObj: *MethodID00001, BeginDateTime:  NULL, BeginDateTimeUTCOffset:  NULL, EndDateTime:  ", EndDateTimeUTCOffset:  ", ActionDescription:  "Action generated by Excel Template for Specimen v.0.1.0-alpha", ActionFileLink:  "}</t>
  </si>
  <si>
    <t xml:space="preserve">  - &amp;ActionID00593 {ActionTypeCV:  "Specimen analysis", MethodObj: *MethodID00001, BeginDateTime:  NULL, BeginDateTimeUTCOffset:  NULL, EndDateTime:  ", EndDateTimeUTCOffset:  ", ActionDescription:  "Action generated by Excel Template for Specimen v.0.1.0-alpha", ActionFileLink:  "}</t>
  </si>
  <si>
    <t xml:space="preserve">  - &amp;ActionID00594 {ActionTypeCV:  "Specimen analysis", MethodObj: *MethodID00001, BeginDateTime:  NULL, BeginDateTimeUTCOffset:  NULL, EndDateTime:  ", EndDateTimeUTCOffset:  ", ActionDescription:  "Action generated by Excel Template for Specimen v.0.1.0-alpha", ActionFileLink:  "}</t>
  </si>
  <si>
    <t xml:space="preserve">  - &amp;ActionID00595 {ActionTypeCV:  "Specimen analysis", MethodObj: *MethodID00001, BeginDateTime:  NULL, BeginDateTimeUTCOffset:  NULL, EndDateTime:  ", EndDateTimeUTCOffset:  ", ActionDescription:  "Action generated by Excel Template for Specimen v.0.1.0-alpha", ActionFileLink:  "}</t>
  </si>
  <si>
    <t xml:space="preserve">  - &amp;ActionID00596 {ActionTypeCV:  "Specimen analysis", MethodObj: *MethodID00001, BeginDateTime:  NULL, BeginDateTimeUTCOffset:  NULL, EndDateTime:  ", EndDateTimeUTCOffset:  ", ActionDescription:  "Action generated by Excel Template for Specimen v.0.1.0-alpha", ActionFileLink:  "}</t>
  </si>
  <si>
    <t xml:space="preserve">  - &amp;ActionID00597 {ActionTypeCV:  "Specimen analysis", MethodObj: *MethodID00001, BeginDateTime:  NULL, BeginDateTimeUTCOffset:  NULL, EndDateTime:  ", EndDateTimeUTCOffset:  ", ActionDescription:  "Action generated by Excel Template for Specimen v.0.1.0-alpha", ActionFileLink:  "}</t>
  </si>
  <si>
    <t xml:space="preserve">  - &amp;ActionID00598 {ActionTypeCV:  "Specimen analysis", MethodObj: *MethodID00001, BeginDateTime:  NULL, BeginDateTimeUTCOffset:  NULL, EndDateTime:  ", EndDateTimeUTCOffset:  ", ActionDescription:  "Action generated by Excel Template for Specimen v.0.1.0-alpha", ActionFileLink:  "}</t>
  </si>
  <si>
    <t xml:space="preserve">  - &amp;ActionID00599 {ActionTypeCV:  "Specimen analysis", MethodObj: *MethodID00001, BeginDateTime:  NULL, BeginDateTimeUTCOffset:  NULL, EndDateTime:  ", EndDateTimeUTCOffset:  ", ActionDescription:  "Action generated by Excel Template for Specimen v.0.1.0-alpha", ActionFileLink:  "}</t>
  </si>
  <si>
    <t xml:space="preserve">  - &amp;ActionID00600 {ActionTypeCV:  "Specimen analysis", MethodObj: *MethodID00001, BeginDateTime:  NULL, BeginDateTimeUTCOffset:  NULL, EndDateTime:  ", EndDateTimeUTCOffset:  ", ActionDescription:  "Action generated by Excel Template for Specimen v.0.1.0-alpha", ActionFileLink:  "}</t>
  </si>
  <si>
    <t xml:space="preserve">  - &amp;ActionID00601 {ActionTypeCV:  "Specimen analysis", MethodObj: *MethodID00001, BeginDateTime:  NULL, BeginDateTimeUTCOffset:  NULL, EndDateTime:  ", EndDateTimeUTCOffset:  ", ActionDescription:  "Action generated by Excel Template for Specimen v.0.1.0-alpha", ActionFileLink:  "}</t>
  </si>
  <si>
    <t xml:space="preserve">  - &amp;ActionID00602 {ActionTypeCV:  "Specimen analysis", MethodObj: *MethodID00001, BeginDateTime:  NULL, BeginDateTimeUTCOffset:  NULL, EndDateTime:  ", EndDateTimeUTCOffset:  ", ActionDescription:  "Action generated by Excel Template for Specimen v.0.1.0-alpha", ActionFileLink:  "}</t>
  </si>
  <si>
    <t xml:space="preserve">  - &amp;ActionID00603 {ActionTypeCV:  "Specimen analysis", MethodObj: *MethodID00001, BeginDateTime:  NULL, BeginDateTimeUTCOffset:  NULL, EndDateTime:  ", EndDateTimeUTCOffset:  ", ActionDescription:  "Action generated by Excel Template for Specimen v.0.1.0-alpha", ActionFileLink:  "}</t>
  </si>
  <si>
    <t xml:space="preserve">  - &amp;ActionID00604 {ActionTypeCV:  "Specimen analysis", MethodObj: *MethodID00001, BeginDateTime:  NULL, BeginDateTimeUTCOffset:  NULL, EndDateTime:  ", EndDateTimeUTCOffset:  ", ActionDescription:  "Action generated by Excel Template for Specimen v.0.1.0-alpha", ActionFileLink:  "}</t>
  </si>
  <si>
    <t xml:space="preserve">  - &amp;ActionID00605 {ActionTypeCV:  "Specimen analysis", MethodObj: *MethodID00001, BeginDateTime:  NULL, BeginDateTimeUTCOffset:  NULL, EndDateTime:  ", EndDateTimeUTCOffset:  ", ActionDescription:  "Action generated by Excel Template for Specimen v.0.1.0-alpha", ActionFileLink:  "}</t>
  </si>
  <si>
    <t xml:space="preserve">  - &amp;ActionID00606 {ActionTypeCV:  "Specimen analysis", MethodObj: *MethodID00001, BeginDateTime:  NULL, BeginDateTimeUTCOffset:  NULL, EndDateTime:  ", EndDateTimeUTCOffset:  ", ActionDescription:  "Action generated by Excel Template for Specimen v.0.1.0-alpha", ActionFileLink:  "}</t>
  </si>
  <si>
    <t xml:space="preserve">  - &amp;ActionID00607 {ActionTypeCV:  "Specimen analysis", MethodObj: *MethodID00001, BeginDateTime:  NULL, BeginDateTimeUTCOffset:  NULL, EndDateTime:  ", EndDateTimeUTCOffset:  ", ActionDescription:  "Action generated by Excel Template for Specimen v.0.1.0-alpha", ActionFileLink:  "}</t>
  </si>
  <si>
    <t xml:space="preserve">  - &amp;ActionID00608 {ActionTypeCV:  "Specimen analysis", MethodObj: *MethodID00001, BeginDateTime:  NULL, BeginDateTimeUTCOffset:  NULL, EndDateTime:  ", EndDateTimeUTCOffset:  ", ActionDescription:  "Action generated by Excel Template for Specimen v.0.1.0-alpha", ActionFileLink:  "}</t>
  </si>
  <si>
    <t xml:space="preserve">  - &amp;ActionID00609 {ActionTypeCV:  "Specimen analysis", MethodObj: *MethodID00001, BeginDateTime:  NULL, BeginDateTimeUTCOffset:  NULL, EndDateTime:  ", EndDateTimeUTCOffset:  ", ActionDescription:  "Action generated by Excel Template for Specimen v.0.1.0-alpha", ActionFileLink:  "}</t>
  </si>
  <si>
    <t xml:space="preserve">  - &amp;ActionID00610 {ActionTypeCV:  "Specimen analysis", MethodObj: *MethodID00001, BeginDateTime:  NULL, BeginDateTimeUTCOffset:  NULL, EndDateTime:  ", EndDateTimeUTCOffset:  ", ActionDescription:  "Action generated by Excel Template for Specimen v.0.1.0-alpha", ActionFileLink:  "}</t>
  </si>
  <si>
    <t xml:space="preserve">  - &amp;ActionID00611 {ActionTypeCV:  "Specimen analysis", MethodObj: *MethodID00001, BeginDateTime:  NULL, BeginDateTimeUTCOffset:  NULL, EndDateTime:  ", EndDateTimeUTCOffset:  ", ActionDescription:  "Action generated by Excel Template for Specimen v.0.1.0-alpha", ActionFileLink:  "}</t>
  </si>
  <si>
    <t xml:space="preserve">  - &amp;ActionID00612 {ActionTypeCV:  "Specimen analysis", MethodObj: *MethodID00001, BeginDateTime:  NULL, BeginDateTimeUTCOffset:  NULL, EndDateTime:  ", EndDateTimeUTCOffset:  ", ActionDescription:  "Action generated by Excel Template for Specimen v.0.1.0-alpha", ActionFileLink:  "}</t>
  </si>
  <si>
    <t xml:space="preserve">  - &amp;ActionID00613 {ActionTypeCV:  "Specimen analysis", MethodObj: *MethodID00001, BeginDateTime:  NULL, BeginDateTimeUTCOffset:  NULL, EndDateTime:  ", EndDateTimeUTCOffset:  ", ActionDescription:  "Action generated by Excel Template for Specimen v.0.1.0-alpha", ActionFileLink:  "}</t>
  </si>
  <si>
    <t xml:space="preserve">  - &amp;ActionID00614 {ActionTypeCV:  "Specimen analysis", MethodObj: *MethodID00001, BeginDateTime:  NULL, BeginDateTimeUTCOffset:  NULL, EndDateTime:  ", EndDateTimeUTCOffset:  ", ActionDescription:  "Action generated by Excel Template for Specimen v.0.1.0-alpha", ActionFileLink:  "}</t>
  </si>
  <si>
    <t xml:space="preserve">  - &amp;ActionID00615 {ActionTypeCV:  "Specimen analysis", MethodObj: *MethodID00001, BeginDateTime:  NULL, BeginDateTimeUTCOffset:  NULL, EndDateTime:  ", EndDateTimeUTCOffset:  ", ActionDescription:  "Action generated by Excel Template for Specimen v.0.1.0-alpha", ActionFileLink:  "}</t>
  </si>
  <si>
    <t xml:space="preserve">  - &amp;ActionID00616 {ActionTypeCV:  "Specimen analysis", MethodObj: *MethodID00001, BeginDateTime:  NULL, BeginDateTimeUTCOffset:  NULL, EndDateTime:  ", EndDateTimeUTCOffset:  ", ActionDescription:  "Action generated by Excel Template for Specimen v.0.1.0-alpha", ActionFileLink:  "}</t>
  </si>
  <si>
    <t xml:space="preserve">  - &amp;ActionID00617 {ActionTypeCV:  "Specimen analysis", MethodObj: *MethodID00001, BeginDateTime:  NULL, BeginDateTimeUTCOffset:  NULL, EndDateTime:  ", EndDateTimeUTCOffset:  ", ActionDescription:  "Action generated by Excel Template for Specimen v.0.1.0-alpha", ActionFileLink:  "}</t>
  </si>
  <si>
    <t xml:space="preserve">  - &amp;ActionID00618 {ActionTypeCV:  "Specimen analysis", MethodObj: *MethodID00001, BeginDateTime:  NULL, BeginDateTimeUTCOffset:  NULL, EndDateTime:  ", EndDateTimeUTCOffset:  ", ActionDescription:  "Action generated by Excel Template for Specimen v.0.1.0-alpha", ActionFileLink:  "}</t>
  </si>
  <si>
    <t xml:space="preserve">  - &amp;ActionID00619 {ActionTypeCV:  "Specimen analysis", MethodObj: *MethodID00001, BeginDateTime:  NULL, BeginDateTimeUTCOffset:  NULL, EndDateTime:  ", EndDateTimeUTCOffset:  ", ActionDescription:  "Action generated by Excel Template for Specimen v.0.1.0-alpha", ActionFileLink:  "}</t>
  </si>
  <si>
    <t xml:space="preserve">  - &amp;ActionID00620 {ActionTypeCV:  "Specimen analysis", MethodObj: *MethodID00001, BeginDateTime:  NULL, BeginDateTimeUTCOffset:  NULL, EndDateTime:  ", EndDateTimeUTCOffset:  ", ActionDescription:  "Action generated by Excel Template for Specimen v.0.1.0-alpha", ActionFileLink:  "}</t>
  </si>
  <si>
    <t xml:space="preserve">  - &amp;ActionID00621 {ActionTypeCV:  "Specimen analysis", MethodObj: *MethodID00001, BeginDateTime:  NULL, BeginDateTimeUTCOffset:  NULL, EndDateTime:  ", EndDateTimeUTCOffset:  ", ActionDescription:  "Action generated by Excel Template for Specimen v.0.1.0-alpha", ActionFileLink:  "}</t>
  </si>
  <si>
    <t xml:space="preserve">  - &amp;ActionID00622 {ActionTypeCV:  "Specimen analysis", MethodObj: *MethodID00001, BeginDateTime:  NULL, BeginDateTimeUTCOffset:  NULL, EndDateTime:  ", EndDateTimeUTCOffset:  ", ActionDescription:  "Action generated by Excel Template for Specimen v.0.1.0-alpha", ActionFileLink:  "}</t>
  </si>
  <si>
    <t xml:space="preserve">  - &amp;ActionID00623 {ActionTypeCV:  "Specimen analysis", MethodObj: *MethodID00001, BeginDateTime:  NULL, BeginDateTimeUTCOffset:  NULL, EndDateTime:  ", EndDateTimeUTCOffset:  ", ActionDescription:  "Action generated by Excel Template for Specimen v.0.1.0-alpha", ActionFileLink:  "}</t>
  </si>
  <si>
    <t xml:space="preserve">  - &amp;ActionID00624 {ActionTypeCV:  "Specimen analysis", MethodObj: *MethodID00001, BeginDateTime:  NULL, BeginDateTimeUTCOffset:  NULL, EndDateTime:  ", EndDateTimeUTCOffset:  ", ActionDescription:  "Action generated by Excel Template for Specimen v.0.1.0-alpha", ActionFileLink:  "}</t>
  </si>
  <si>
    <t xml:space="preserve">  - &amp;ActionID00625 {ActionTypeCV:  "Specimen analysis", MethodObj: *MethodID00001, BeginDateTime:  NULL, BeginDateTimeUTCOffset:  NULL, EndDateTime:  ", EndDateTimeUTCOffset:  ", ActionDescription:  "Action generated by Excel Template for Specimen v.0.1.0-alpha", ActionFileLink:  "}</t>
  </si>
  <si>
    <t xml:space="preserve">  - &amp;ActionID00626 {ActionTypeCV:  "Specimen analysis", MethodObj: *MethodID00001, BeginDateTime:  NULL, BeginDateTimeUTCOffset:  NULL, EndDateTime:  ", EndDateTimeUTCOffset:  ", ActionDescription:  "Action generated by Excel Template for Specimen v.0.1.0-alpha", ActionFileLink:  "}</t>
  </si>
  <si>
    <t xml:space="preserve">  - &amp;ActionID00627 {ActionTypeCV:  "Specimen analysis", MethodObj: *MethodID00001, BeginDateTime:  NULL, BeginDateTimeUTCOffset:  NULL, EndDateTime:  ", EndDateTimeUTCOffset:  ", ActionDescription:  "Action generated by Excel Template for Specimen v.0.1.0-alpha", ActionFileLink:  "}</t>
  </si>
  <si>
    <t xml:space="preserve">  - &amp;ActionID00628 {ActionTypeCV:  "Specimen analysis", MethodObj: *MethodID00001, BeginDateTime:  NULL, BeginDateTimeUTCOffset:  NULL, EndDateTime:  ", EndDateTimeUTCOffset:  ", ActionDescription:  "Action generated by Excel Template for Specimen v.0.1.0-alpha", ActionFileLink:  "}</t>
  </si>
  <si>
    <t xml:space="preserve">  - &amp;ActionID00629 {ActionTypeCV:  "Specimen analysis", MethodObj: *MethodID00001, BeginDateTime:  NULL, BeginDateTimeUTCOffset:  NULL, EndDateTime:  ", EndDateTimeUTCOffset:  ", ActionDescription:  "Action generated by Excel Template for Specimen v.0.1.0-alpha", ActionFileLink:  "}</t>
  </si>
  <si>
    <t xml:space="preserve">  - &amp;ActionID00630 {ActionTypeCV:  "Specimen analysis", MethodObj: *MethodID00001, BeginDateTime:  NULL, BeginDateTimeUTCOffset:  NULL, EndDateTime:  ", EndDateTimeUTCOffset:  ", ActionDescription:  "Action generated by Excel Template for Specimen v.0.1.0-alpha", ActionFileLink:  "}</t>
  </si>
  <si>
    <t xml:space="preserve">  - &amp;ActionID00631 {ActionTypeCV:  "Specimen analysis", MethodObj: *MethodID00001, BeginDateTime:  NULL, BeginDateTimeUTCOffset:  NULL, EndDateTime:  ", EndDateTimeUTCOffset:  ", ActionDescription:  "Action generated by Excel Template for Specimen v.0.1.0-alpha", ActionFileLink:  "}</t>
  </si>
  <si>
    <t xml:space="preserve">  - &amp;ActionID00632 {ActionTypeCV:  "Specimen analysis", MethodObj: *MethodID00001, BeginDateTime:  NULL, BeginDateTimeUTCOffset:  NULL, EndDateTime:  ", EndDateTimeUTCOffset:  ", ActionDescription:  "Action generated by Excel Template for Specimen v.0.1.0-alpha", ActionFileLink:  "}</t>
  </si>
  <si>
    <t xml:space="preserve">  - &amp;ActionID00633 {ActionTypeCV:  "Specimen analysis", MethodObj: *MethodID00001, BeginDateTime:  NULL, BeginDateTimeUTCOffset:  NULL, EndDateTime:  ", EndDateTimeUTCOffset:  ", ActionDescription:  "Action generated by Excel Template for Specimen v.0.1.0-alpha", ActionFileLink:  "}</t>
  </si>
  <si>
    <t xml:space="preserve">  - &amp;ActionID00634 {ActionTypeCV:  "Specimen analysis", MethodObj: *MethodID00001, BeginDateTime:  NULL, BeginDateTimeUTCOffset:  NULL, EndDateTime:  ", EndDateTimeUTCOffset:  ", ActionDescription:  "Action generated by Excel Template for Specimen v.0.1.0-alpha", ActionFileLink:  "}</t>
  </si>
  <si>
    <t xml:space="preserve">  - &amp;ActionID00635 {ActionTypeCV:  "Specimen analysis", MethodObj: *MethodID00001, BeginDateTime:  NULL, BeginDateTimeUTCOffset:  NULL, EndDateTime:  ", EndDateTimeUTCOffset:  ", ActionDescription:  "Action generated by Excel Template for Specimen v.0.1.0-alpha", ActionFileLink:  "}</t>
  </si>
  <si>
    <t xml:space="preserve">  - &amp;ActionID00636 {ActionTypeCV:  "Specimen analysis", MethodObj: *MethodID00001, BeginDateTime:  NULL, BeginDateTimeUTCOffset:  NULL, EndDateTime:  ", EndDateTimeUTCOffset:  ", ActionDescription:  "Action generated by Excel Template for Specimen v.0.1.0-alpha", ActionFileLink:  "}</t>
  </si>
  <si>
    <t xml:space="preserve">  - &amp;ActionID00637 {ActionTypeCV:  "Specimen analysis", MethodObj: *MethodID00001, BeginDateTime:  NULL, BeginDateTimeUTCOffset:  NULL, EndDateTime:  ", EndDateTimeUTCOffset:  ", ActionDescription:  "Action generated by Excel Template for Specimen v.0.1.0-alpha", ActionFileLink:  "}</t>
  </si>
  <si>
    <t xml:space="preserve">  - &amp;ActionID00638 {ActionTypeCV:  "Specimen analysis", MethodObj: *MethodID00001, BeginDateTime:  NULL, BeginDateTimeUTCOffset:  NULL, EndDateTime:  ", EndDateTimeUTCOffset:  ", ActionDescription:  "Action generated by Excel Template for Specimen v.0.1.0-alpha", ActionFileLink:  "}</t>
  </si>
  <si>
    <t xml:space="preserve">  - &amp;ActionID00639 {ActionTypeCV:  "Specimen analysis", MethodObj: *MethodID00001, BeginDateTime:  NULL, BeginDateTimeUTCOffset:  NULL, EndDateTime:  ", EndDateTimeUTCOffset:  ", ActionDescription:  "Action generated by Excel Template for Specimen v.0.1.0-alpha", ActionFileLink:  "}</t>
  </si>
  <si>
    <t xml:space="preserve">  - &amp;ActionID00640 {ActionTypeCV:  "Specimen analysis", MethodObj: *MethodID00001, BeginDateTime:  NULL, BeginDateTimeUTCOffset:  NULL, EndDateTime:  ", EndDateTimeUTCOffset:  ", ActionDescription:  "Action generated by Excel Template for Specimen v.0.1.0-alpha", ActionFileLink:  "}</t>
  </si>
  <si>
    <t xml:space="preserve">  - &amp;ActionID00641 {ActionTypeCV:  "Specimen analysis", MethodObj: *MethodID00001, BeginDateTime:  NULL, BeginDateTimeUTCOffset:  NULL, EndDateTime:  ", EndDateTimeUTCOffset:  ", ActionDescription:  "Action generated by Excel Template for Specimen v.0.1.0-alpha", ActionFileLink:  "}</t>
  </si>
  <si>
    <t xml:space="preserve">  - &amp;ActionID00642 {ActionTypeCV:  "Specimen analysis", MethodObj: *MethodID00001, BeginDateTime:  NULL, BeginDateTimeUTCOffset:  NULL, EndDateTime:  ", EndDateTimeUTCOffset:  ", ActionDescription:  "Action generated by Excel Template for Specimen v.0.1.0-alpha", ActionFileLink:  "}</t>
  </si>
  <si>
    <t xml:space="preserve">  - &amp;ActionID00643 {ActionTypeCV:  "Specimen analysis", MethodObj: *MethodID00001, BeginDateTime:  NULL, BeginDateTimeUTCOffset:  NULL, EndDateTime:  ", EndDateTimeUTCOffset:  ", ActionDescription:  "Action generated by Excel Template for Specimen v.0.1.0-alpha", ActionFileLink:  "}</t>
  </si>
  <si>
    <t xml:space="preserve">  - &amp;ActionID00644 {ActionTypeCV:  "Specimen analysis", MethodObj: *MethodID00001, BeginDateTime:  NULL, BeginDateTimeUTCOffset:  NULL, EndDateTime:  ", EndDateTimeUTCOffset:  ", ActionDescription:  "Action generated by Excel Template for Specimen v.0.1.0-alpha", ActionFileLink:  "}</t>
  </si>
  <si>
    <t xml:space="preserve">  - &amp;ActionID00645 {ActionTypeCV:  "Specimen analysis", MethodObj: *MethodID00001, BeginDateTime:  NULL, BeginDateTimeUTCOffset:  NULL, EndDateTime:  ", EndDateTimeUTCOffset:  ", ActionDescription:  "Action generated by Excel Template for Specimen v.0.1.0-alpha", ActionFileLink:  "}</t>
  </si>
  <si>
    <t xml:space="preserve">  - &amp;ActionID00646 {ActionTypeCV:  "Specimen analysis", MethodObj: *MethodID00001, BeginDateTime:  NULL, BeginDateTimeUTCOffset:  NULL, EndDateTime:  ", EndDateTimeUTCOffset:  ", ActionDescription:  "Action generated by Excel Template for Specimen v.0.1.0-alpha", ActionFileLink:  "}</t>
  </si>
  <si>
    <t xml:space="preserve">  - &amp;ActionID00647 {ActionTypeCV:  "Specimen analysis", MethodObj: *MethodID00001, BeginDateTime:  NULL, BeginDateTimeUTCOffset:  NULL, EndDateTime:  ", EndDateTimeUTCOffset:  ", ActionDescription:  "Action generated by Excel Template for Specimen v.0.1.0-alpha", ActionFileLink:  "}</t>
  </si>
  <si>
    <t xml:space="preserve">  - &amp;ActionID00648 {ActionTypeCV:  "Specimen analysis", MethodObj: *MethodID00001, BeginDateTime:  NULL, BeginDateTimeUTCOffset:  NULL, EndDateTime:  ", EndDateTimeUTCOffset:  ", ActionDescription:  "Action generated by Excel Template for Specimen v.0.1.0-alpha", ActionFileLink:  "}</t>
  </si>
  <si>
    <t xml:space="preserve">  - &amp;ActionID00649 {ActionTypeCV:  "Specimen analysis", MethodObj: *MethodID00001, BeginDateTime:  NULL, BeginDateTimeUTCOffset:  NULL, EndDateTime:  ", EndDateTimeUTCOffset:  ", ActionDescription:  "Action generated by Excel Template for Specimen v.0.1.0-alpha", ActionFileLink:  "}</t>
  </si>
  <si>
    <t xml:space="preserve">  - &amp;ActionID00650 {ActionTypeCV:  "Specimen analysis", MethodObj: *MethodID00001, BeginDateTime:  NULL, BeginDateTimeUTCOffset:  NULL, EndDateTime:  ", EndDateTimeUTCOffset:  ", ActionDescription:  "Action generated by Excel Template for Specimen v.0.1.0-alpha", ActionFileLink:  "}</t>
  </si>
  <si>
    <t xml:space="preserve">  - &amp;ActionID00651 {ActionTypeCV:  "Specimen analysis", MethodObj: *MethodID00001, BeginDateTime:  NULL, BeginDateTimeUTCOffset:  NULL, EndDateTime:  ", EndDateTimeUTCOffset:  ", ActionDescription:  "Action generated by Excel Template for Specimen v.0.1.0-alpha", ActionFileLink:  "}</t>
  </si>
  <si>
    <t xml:space="preserve">  - &amp;ActionID00652 {ActionTypeCV:  "Specimen analysis", MethodObj: *MethodID00001, BeginDateTime:  NULL, BeginDateTimeUTCOffset:  NULL, EndDateTime:  ", EndDateTimeUTCOffset:  ", ActionDescription:  "Action generated by Excel Template for Specimen v.0.1.0-alpha", ActionFileLink:  "}</t>
  </si>
  <si>
    <t xml:space="preserve">  - &amp;ActionID00653 {ActionTypeCV:  "Specimen analysis", MethodObj: *MethodID00001, BeginDateTime:  NULL, BeginDateTimeUTCOffset:  NULL, EndDateTime:  ", EndDateTimeUTCOffset:  ", ActionDescription:  "Action generated by Excel Template for Specimen v.0.1.0-alpha", ActionFileLink:  "}</t>
  </si>
  <si>
    <t xml:space="preserve">  - &amp;ActionID00654 {ActionTypeCV:  "Specimen analysis", MethodObj: *MethodID00001, BeginDateTime:  NULL, BeginDateTimeUTCOffset:  NULL, EndDateTime:  ", EndDateTimeUTCOffset:  ", ActionDescription:  "Action generated by Excel Template for Specimen v.0.1.0-alpha", ActionFileLink:  "}</t>
  </si>
  <si>
    <t xml:space="preserve">  - &amp;ActionID00655 {ActionTypeCV:  "Specimen analysis", MethodObj: *MethodID00001, BeginDateTime:  NULL, BeginDateTimeUTCOffset:  NULL, EndDateTime:  ", EndDateTimeUTCOffset:  ", ActionDescription:  "Action generated by Excel Template for Specimen v.0.1.0-alpha", ActionFileLink:  "}</t>
  </si>
  <si>
    <t xml:space="preserve">  - &amp;ActionID00656 {ActionTypeCV:  "Specimen analysis", MethodObj: *MethodID00001, BeginDateTime:  NULL, BeginDateTimeUTCOffset:  NULL, EndDateTime:  ", EndDateTimeUTCOffset:  ", ActionDescription:  "Action generated by Excel Template for Specimen v.0.1.0-alpha", ActionFileLink:  "}</t>
  </si>
  <si>
    <t xml:space="preserve">  - &amp;ActionID00657 {ActionTypeCV:  "Specimen analysis", MethodObj: *MethodID00001, BeginDateTime:  NULL, BeginDateTimeUTCOffset:  NULL, EndDateTime:  ", EndDateTimeUTCOffset:  ", ActionDescription:  "Action generated by Excel Template for Specimen v.0.1.0-alpha", ActionFileLink:  "}</t>
  </si>
  <si>
    <t xml:space="preserve">  - &amp;ActionID00658 {ActionTypeCV:  "Specimen analysis", MethodObj: *MethodID00001, BeginDateTime:  NULL, BeginDateTimeUTCOffset:  NULL, EndDateTime:  ", EndDateTimeUTCOffset:  ", ActionDescription:  "Action generated by Excel Template for Specimen v.0.1.0-alpha", ActionFileLink:  "}</t>
  </si>
  <si>
    <t xml:space="preserve">  - &amp;ActionID00659 {ActionTypeCV:  "Specimen analysis", MethodObj: *MethodID00001, BeginDateTime:  NULL, BeginDateTimeUTCOffset:  NULL, EndDateTime:  ", EndDateTimeUTCOffset:  ", ActionDescription:  "Action generated by Excel Template for Specimen v.0.1.0-alpha", ActionFileLink:  "}</t>
  </si>
  <si>
    <t xml:space="preserve">  - &amp;ActionID00660 {ActionTypeCV:  "Specimen analysis", MethodObj: *MethodID00001, BeginDateTime:  NULL, BeginDateTimeUTCOffset:  NULL, EndDateTime:  ", EndDateTimeUTCOffset:  ", ActionDescription:  "Action generated by Excel Template for Specimen v.0.1.0-alpha", ActionFileLink:  "}</t>
  </si>
  <si>
    <t xml:space="preserve">  - &amp;ActionID00661 {ActionTypeCV:  "Specimen analysis", MethodObj: *MethodID00001, BeginDateTime:  NULL, BeginDateTimeUTCOffset:  NULL, EndDateTime:  ", EndDateTimeUTCOffset:  ", ActionDescription:  "Action generated by Excel Template for Specimen v.0.1.0-alpha", ActionFileLink:  "}</t>
  </si>
  <si>
    <t xml:space="preserve">  - &amp;ActionID00662 {ActionTypeCV:  "Specimen analysis", MethodObj: *MethodID00001, BeginDateTime:  NULL, BeginDateTimeUTCOffset:  NULL, EndDateTime:  ", EndDateTimeUTCOffset:  ", ActionDescription:  "Action generated by Excel Template for Specimen v.0.1.0-alpha", ActionFileLink:  "}</t>
  </si>
  <si>
    <t xml:space="preserve">  - &amp;ActionID00663 {ActionTypeCV:  "Specimen analysis", MethodObj: *MethodID00001, BeginDateTime:  NULL, BeginDateTimeUTCOffset:  NULL, EndDateTime:  ", EndDateTimeUTCOffset:  ", ActionDescription:  "Action generated by Excel Template for Specimen v.0.1.0-alpha", ActionFileLink:  "}</t>
  </si>
  <si>
    <t xml:space="preserve">  - &amp;ActionID00664 {ActionTypeCV:  "Specimen analysis", MethodObj: *MethodID00001, BeginDateTime:  NULL, BeginDateTimeUTCOffset:  NULL, EndDateTime:  ", EndDateTimeUTCOffset:  ", ActionDescription:  "Action generated by Excel Template for Specimen v.0.1.0-alpha", ActionFileLink:  "}</t>
  </si>
  <si>
    <t xml:space="preserve">  - &amp;ActionID00665 {ActionTypeCV:  "Specimen analysis", MethodObj: *MethodID00001, BeginDateTime:  NULL, BeginDateTimeUTCOffset:  NULL, EndDateTime:  ", EndDateTimeUTCOffset:  ", ActionDescription:  "Action generated by Excel Template for Specimen v.0.1.0-alpha", ActionFileLink:  "}</t>
  </si>
  <si>
    <t xml:space="preserve">  - &amp;ActionID00666 {ActionTypeCV:  "Specimen analysis", MethodObj: *MethodID00001, BeginDateTime:  NULL, BeginDateTimeUTCOffset:  NULL, EndDateTime:  ", EndDateTimeUTCOffset:  ", ActionDescription:  "Action generated by Excel Template for Specimen v.0.1.0-alpha", ActionFileLink:  "}</t>
  </si>
  <si>
    <t xml:space="preserve">  - &amp;ActionID00667 {ActionTypeCV:  "Specimen analysis", MethodObj: *MethodID00001, BeginDateTime:  NULL, BeginDateTimeUTCOffset:  NULL, EndDateTime:  ", EndDateTimeUTCOffset:  ", ActionDescription:  "Action generated by Excel Template for Specimen v.0.1.0-alpha", ActionFileLink:  "}</t>
  </si>
  <si>
    <t xml:space="preserve">  - &amp;ActionID00668 {ActionTypeCV:  "Specimen analysis", MethodObj: *MethodID00001, BeginDateTime:  NULL, BeginDateTimeUTCOffset:  NULL, EndDateTime:  ", EndDateTimeUTCOffset:  ", ActionDescription:  "Action generated by Excel Template for Specimen v.0.1.0-alpha", ActionFileLink:  "}</t>
  </si>
  <si>
    <t xml:space="preserve">  - &amp;ActionID00669 {ActionTypeCV:  "Specimen analysis", MethodObj: *MethodID00001, BeginDateTime:  NULL, BeginDateTimeUTCOffset:  NULL, EndDateTime:  ", EndDateTimeUTCOffset:  ", ActionDescription:  "Action generated by Excel Template for Specimen v.0.1.0-alpha", ActionFileLink:  "}</t>
  </si>
  <si>
    <t xml:space="preserve">  - &amp;ActionID00670 {ActionTypeCV:  "Specimen analysis", MethodObj: *MethodID00001, BeginDateTime:  NULL, BeginDateTimeUTCOffset:  NULL, EndDateTime:  ", EndDateTimeUTCOffset:  ", ActionDescription:  "Action generated by Excel Template for Specimen v.0.1.0-alpha", ActionFileLink:  "}</t>
  </si>
  <si>
    <t xml:space="preserve">  - &amp;ActionID00671 {ActionTypeCV:  "Specimen analysis", MethodObj: *MethodID00001, BeginDateTime:  NULL, BeginDateTimeUTCOffset:  NULL, EndDateTime:  ", EndDateTimeUTCOffset:  ", ActionDescription:  "Action generated by Excel Template for Specimen v.0.1.0-alpha", ActionFileLink:  "}</t>
  </si>
  <si>
    <t xml:space="preserve">  - &amp;ActionID00672 {ActionTypeCV:  "Specimen analysis", MethodObj: *MethodID00001, BeginDateTime:  NULL, BeginDateTimeUTCOffset:  NULL, EndDateTime:  ", EndDateTimeUTCOffset:  ", ActionDescription:  "Action generated by Excel Template for Specimen v.0.1.0-alpha", ActionFileLink:  "}</t>
  </si>
  <si>
    <t xml:space="preserve">  - &amp;ActionID00673 {ActionTypeCV:  "Specimen analysis", MethodObj: *MethodID00001, BeginDateTime:  NULL, BeginDateTimeUTCOffset:  NULL, EndDateTime:  ", EndDateTimeUTCOffset:  ", ActionDescription:  "Action generated by Excel Template for Specimen v.0.1.0-alpha", ActionFileLink:  "}</t>
  </si>
  <si>
    <t xml:space="preserve">  - &amp;ActionID00674 {ActionTypeCV:  "Specimen analysis", MethodObj: *MethodID00001, BeginDateTime:  NULL, BeginDateTimeUTCOffset:  NULL, EndDateTime:  ", EndDateTimeUTCOffset:  ", ActionDescription:  "Action generated by Excel Template for Specimen v.0.1.0-alpha", ActionFileLink:  "}</t>
  </si>
  <si>
    <t xml:space="preserve">  - &amp;ActionID00675 {ActionTypeCV:  "Specimen analysis", MethodObj: *MethodID00001, BeginDateTime:  NULL, BeginDateTimeUTCOffset:  NULL, EndDateTime:  ", EndDateTimeUTCOffset:  ", ActionDescription:  "Action generated by Excel Template for Specimen v.0.1.0-alpha", ActionFileLink:  "}</t>
  </si>
  <si>
    <t xml:space="preserve">  - &amp;ActionID00676 {ActionTypeCV:  "Specimen analysis", MethodObj: *MethodID00001, BeginDateTime:  NULL, BeginDateTimeUTCOffset:  NULL, EndDateTime:  ", EndDateTimeUTCOffset:  ", ActionDescription:  "Action generated by Excel Template for Specimen v.0.1.0-alpha", ActionFileLink:  "}</t>
  </si>
  <si>
    <t xml:space="preserve">  - &amp;ActionID00677 {ActionTypeCV:  "Specimen analysis", MethodObj: *MethodID00001, BeginDateTime:  NULL, BeginDateTimeUTCOffset:  NULL, EndDateTime:  ", EndDateTimeUTCOffset:  ", ActionDescription:  "Action generated by Excel Template for Specimen v.0.1.0-alpha", ActionFileLink:  "}</t>
  </si>
  <si>
    <t xml:space="preserve">  - &amp;ActionID00678 {ActionTypeCV:  "Specimen analysis", MethodObj: *MethodID00001, BeginDateTime:  NULL, BeginDateTimeUTCOffset:  NULL, EndDateTime:  ", EndDateTimeUTCOffset:  ", ActionDescription:  "Action generated by Excel Template for Specimen v.0.1.0-alpha", ActionFileLink:  "}</t>
  </si>
  <si>
    <t xml:space="preserve">  - &amp;ActionID00679 {ActionTypeCV:  "Specimen analysis", MethodObj: *MethodID00001, BeginDateTime:  NULL, BeginDateTimeUTCOffset:  NULL, EndDateTime:  ", EndDateTimeUTCOffset:  ", ActionDescription:  "Action generated by Excel Template for Specimen v.0.1.0-alpha", ActionFileLink:  "}</t>
  </si>
  <si>
    <t xml:space="preserve">  - &amp;ActionID00680 {ActionTypeCV:  "Specimen analysis", MethodObj: *MethodID00001, BeginDateTime:  NULL, BeginDateTimeUTCOffset:  NULL, EndDateTime:  ", EndDateTimeUTCOffset:  ", ActionDescription:  "Action generated by Excel Template for Specimen v.0.1.0-alpha", ActionFileLink:  "}</t>
  </si>
  <si>
    <t xml:space="preserve">  - &amp;ActionID00681 {ActionTypeCV:  "Specimen analysis", MethodObj: *MethodID00001, BeginDateTime:  NULL, BeginDateTimeUTCOffset:  NULL, EndDateTime:  ", EndDateTimeUTCOffset:  ", ActionDescription:  "Action generated by Excel Template for Specimen v.0.1.0-alpha", ActionFileLink:  "}</t>
  </si>
  <si>
    <t xml:space="preserve">  - &amp;ActionID00682 {ActionTypeCV:  "Specimen analysis", MethodObj: *MethodID00001, BeginDateTime:  NULL, BeginDateTimeUTCOffset:  NULL, EndDateTime:  ", EndDateTimeUTCOffset:  ", ActionDescription:  "Action generated by Excel Template for Specimen v.0.1.0-alpha", ActionFileLink:  "}</t>
  </si>
  <si>
    <t xml:space="preserve">  - &amp;ActionID00683 {ActionTypeCV:  "Specimen analysis", MethodObj: *MethodID00001, BeginDateTime:  NULL, BeginDateTimeUTCOffset:  NULL, EndDateTime:  ", EndDateTimeUTCOffset:  ", ActionDescription:  "Action generated by Excel Template for Specimen v.0.1.0-alpha", ActionFileLink:  "}</t>
  </si>
  <si>
    <t xml:space="preserve">  - &amp;ActionID00684 {ActionTypeCV:  "Specimen analysis", MethodObj: *MethodID00001, BeginDateTime:  NULL, BeginDateTimeUTCOffset:  NULL, EndDateTime:  ", EndDateTimeUTCOffset:  ", ActionDescription:  "Action generated by Excel Template for Specimen v.0.1.0-alpha", ActionFileLink:  "}</t>
  </si>
  <si>
    <t xml:space="preserve">  - &amp;ActionID00685 {ActionTypeCV:  "Specimen analysis", MethodObj: *MethodID00001, BeginDateTime:  NULL, BeginDateTimeUTCOffset:  NULL, EndDateTime:  ", EndDateTimeUTCOffset:  ", ActionDescription:  "Action generated by Excel Template for Specimen v.0.1.0-alpha", ActionFileLink:  "}</t>
  </si>
  <si>
    <t xml:space="preserve">  - &amp;ActionID00686 {ActionTypeCV:  "Specimen analysis", MethodObj: *MethodID00001, BeginDateTime:  NULL, BeginDateTimeUTCOffset:  NULL, EndDateTime:  ", EndDateTimeUTCOffset:  ", ActionDescription:  "Action generated by Excel Template for Specimen v.0.1.0-alpha", ActionFileLink:  "}</t>
  </si>
  <si>
    <t xml:space="preserve">  - &amp;ActionID00687 {ActionTypeCV:  "Specimen analysis", MethodObj: *MethodID00001, BeginDateTime:  NULL, BeginDateTimeUTCOffset:  NULL, EndDateTime:  ", EndDateTimeUTCOffset:  ", ActionDescription:  "Action generated by Excel Template for Specimen v.0.1.0-alpha", ActionFileLink:  "}</t>
  </si>
  <si>
    <t xml:space="preserve">  - &amp;ActionID00688 {ActionTypeCV:  "Specimen analysis", MethodObj: *MethodID00001, BeginDateTime:  NULL, BeginDateTimeUTCOffset:  NULL, EndDateTime:  ", EndDateTimeUTCOffset:  ", ActionDescription:  "Action generated by Excel Template for Specimen v.0.1.0-alpha", ActionFileLink:  "}</t>
  </si>
  <si>
    <t xml:space="preserve">  - &amp;ActionID00689 {ActionTypeCV:  "Specimen analysis", MethodObj: *MethodID00001, BeginDateTime:  NULL, BeginDateTimeUTCOffset:  NULL, EndDateTime:  ", EndDateTimeUTCOffset:  ", ActionDescription:  "Action generated by Excel Template for Specimen v.0.1.0-alpha", ActionFileLink:  "}</t>
  </si>
  <si>
    <t xml:space="preserve">  - &amp;ActionID00690 {ActionTypeCV:  "Specimen analysis", MethodObj: *MethodID00001, BeginDateTime:  NULL, BeginDateTimeUTCOffset:  NULL, EndDateTime:  ", EndDateTimeUTCOffset:  ", ActionDescription:  "Action generated by Excel Template for Specimen v.0.1.0-alpha", ActionFileLink:  "}</t>
  </si>
  <si>
    <t xml:space="preserve">  - &amp;ActionID00691 {ActionTypeCV:  "Specimen analysis", MethodObj: *MethodID00001, BeginDateTime:  NULL, BeginDateTimeUTCOffset:  NULL, EndDateTime:  ", EndDateTimeUTCOffset:  ", ActionDescription:  "Action generated by Excel Template for Specimen v.0.1.0-alpha", ActionFileLink:  "}</t>
  </si>
  <si>
    <t xml:space="preserve">  - &amp;ActionID00692 {ActionTypeCV:  "Specimen analysis", MethodObj: *MethodID00001, BeginDateTime:  NULL, BeginDateTimeUTCOffset:  NULL, EndDateTime:  ", EndDateTimeUTCOffset:  ", ActionDescription:  "Action generated by Excel Template for Specimen v.0.1.0-alpha", ActionFileLink:  "}</t>
  </si>
  <si>
    <t xml:space="preserve">  - &amp;ActionID00693 {ActionTypeCV:  "Specimen analysis", MethodObj: *MethodID00001, BeginDateTime:  NULL, BeginDateTimeUTCOffset:  NULL, EndDateTime:  ", EndDateTimeUTCOffset:  ", ActionDescription:  "Action generated by Excel Template for Specimen v.0.1.0-alpha", ActionFileLink:  "}</t>
  </si>
  <si>
    <t xml:space="preserve">  - &amp;ActionID00694 {ActionTypeCV:  "Specimen analysis", MethodObj: *MethodID00001, BeginDateTime:  NULL, BeginDateTimeUTCOffset:  NULL, EndDateTime:  ", EndDateTimeUTCOffset:  ", ActionDescription:  "Action generated by Excel Template for Specimen v.0.1.0-alpha", ActionFileLink:  "}</t>
  </si>
  <si>
    <t xml:space="preserve">  - &amp;ActionID00695 {ActionTypeCV:  "Specimen analysis", MethodObj: *MethodID00001, BeginDateTime:  NULL, BeginDateTimeUTCOffset:  NULL, EndDateTime:  ", EndDateTimeUTCOffset:  ", ActionDescription:  "Action generated by Excel Template for Specimen v.0.1.0-alpha", ActionFileLink:  "}</t>
  </si>
  <si>
    <t xml:space="preserve">  - &amp;ActionID00696 {ActionTypeCV:  "Specimen analysis", MethodObj: *MethodID00001, BeginDateTime:  NULL, BeginDateTimeUTCOffset:  NULL, EndDateTime:  ", EndDateTimeUTCOffset:  ", ActionDescription:  "Action generated by Excel Template for Specimen v.0.1.0-alpha", ActionFileLink:  "}</t>
  </si>
  <si>
    <t xml:space="preserve">  - &amp;ActionID00697 {ActionTypeCV:  "Specimen analysis", MethodObj: *MethodID00001, BeginDateTime:  NULL, BeginDateTimeUTCOffset:  NULL, EndDateTime:  ", EndDateTimeUTCOffset:  ", ActionDescription:  "Action generated by Excel Template for Specimen v.0.1.0-alpha", ActionFileLink:  "}</t>
  </si>
  <si>
    <t xml:space="preserve">  - &amp;ActionID00698 {ActionTypeCV:  "Specimen analysis", MethodObj: *MethodID00001, BeginDateTime:  NULL, BeginDateTimeUTCOffset:  NULL, EndDateTime:  ", EndDateTimeUTCOffset:  ", ActionDescription:  "Action generated by Excel Template for Specimen v.0.1.0-alpha", ActionFileLink:  "}</t>
  </si>
  <si>
    <t xml:space="preserve">  - &amp;ActionID00699 {ActionTypeCV:  "Specimen analysis", MethodObj: *MethodID00001, BeginDateTime:  NULL, BeginDateTimeUTCOffset:  NULL, EndDateTime:  ", EndDateTimeUTCOffset:  ", ActionDescription:  "Action generated by Excel Template for Specimen v.0.1.0-alpha", ActionFileLink:  "}</t>
  </si>
  <si>
    <t xml:space="preserve">  - &amp;ActionID00700 {ActionTypeCV:  "Specimen analysis", MethodObj: *MethodID00001, BeginDateTime:  NULL, BeginDateTimeUTCOffset:  NULL, EndDateTime:  ", EndDateTimeUTCOffset:  ", ActionDescription:  "Action generated by Excel Template for Specimen v.0.1.0-alpha", ActionFileLink:  "}</t>
  </si>
  <si>
    <t xml:space="preserve">  - &amp;ActionID00701 {ActionTypeCV:  "Specimen analysis", MethodObj: *MethodID00001, BeginDateTime:  NULL, BeginDateTimeUTCOffset:  NULL, EndDateTime:  ", EndDateTimeUTCOffset:  ", ActionDescription:  "Action generated by Excel Template for Specimen v.0.1.0-alpha", ActionFileLink:  "}</t>
  </si>
  <si>
    <t xml:space="preserve">  - &amp;ActionID00702 {ActionTypeCV:  "Specimen analysis", MethodObj: *MethodID00001, BeginDateTime:  NULL, BeginDateTimeUTCOffset:  NULL, EndDateTime:  ", EndDateTimeUTCOffset:  ", ActionDescription:  "Action generated by Excel Template for Specimen v.0.1.0-alpha", ActionFileLink:  "}</t>
  </si>
  <si>
    <t xml:space="preserve">  - &amp;ActionID00703 {ActionTypeCV:  "Specimen analysis", MethodObj: *MethodID00001, BeginDateTime:  NULL, BeginDateTimeUTCOffset:  NULL, EndDateTime:  ", EndDateTimeUTCOffset:  ", ActionDescription:  "Action generated by Excel Template for Specimen v.0.1.0-alpha", ActionFileLink:  "}</t>
  </si>
  <si>
    <t xml:space="preserve">  - &amp;ActionID00704 {ActionTypeCV:  "Specimen analysis", MethodObj: *MethodID00001, BeginDateTime:  NULL, BeginDateTimeUTCOffset:  NULL, EndDateTime:  ", EndDateTimeUTCOffset:  ", ActionDescription:  "Action generated by Excel Template for Specimen v.0.1.0-alpha", ActionFileLink:  "}</t>
  </si>
  <si>
    <t xml:space="preserve">  - &amp;ActionID00705 {ActionTypeCV:  "Specimen analysis", MethodObj: *MethodID00001, BeginDateTime:  NULL, BeginDateTimeUTCOffset:  NULL, EndDateTime:  ", EndDateTimeUTCOffset:  ", ActionDescription:  "Action generated by Excel Template for Specimen v.0.1.0-alpha", ActionFileLink:  "}</t>
  </si>
  <si>
    <t xml:space="preserve">  - &amp;ActionID00706 {ActionTypeCV:  "Specimen analysis", MethodObj: *MethodID00001, BeginDateTime:  NULL, BeginDateTimeUTCOffset:  NULL, EndDateTime:  ", EndDateTimeUTCOffset:  ", ActionDescription:  "Action generated by Excel Template for Specimen v.0.1.0-alpha", ActionFileLink:  "}</t>
  </si>
  <si>
    <t xml:space="preserve">  - &amp;ActionID00707 {ActionTypeCV:  "Specimen analysis", MethodObj: *MethodID00001, BeginDateTime:  NULL, BeginDateTimeUTCOffset:  NULL, EndDateTime:  ", EndDateTimeUTCOffset:  ", ActionDescription:  "Action generated by Excel Template for Specimen v.0.1.0-alpha", ActionFileLink:  "}</t>
  </si>
  <si>
    <t xml:space="preserve">  - &amp;ActionID00708 {ActionTypeCV:  "Specimen analysis", MethodObj: *MethodID00001, BeginDateTime:  NULL, BeginDateTimeUTCOffset:  NULL, EndDateTime:  ", EndDateTimeUTCOffset:  ", ActionDescription:  "Action generated by Excel Template for Specimen v.0.1.0-alpha", ActionFileLink:  "}</t>
  </si>
  <si>
    <t xml:space="preserve">  - &amp;ActionID00709 {ActionTypeCV:  "Specimen analysis", MethodObj: *MethodID00001, BeginDateTime:  NULL, BeginDateTimeUTCOffset:  NULL, EndDateTime:  ", EndDateTimeUTCOffset:  ", ActionDescription:  "Action generated by Excel Template for Specimen v.0.1.0-alpha", ActionFileLink:  "}</t>
  </si>
  <si>
    <t xml:space="preserve">  - &amp;ActionID00710 {ActionTypeCV:  "Specimen analysis", MethodObj: *MethodID00001, BeginDateTime:  NULL, BeginDateTimeUTCOffset:  NULL, EndDateTime:  ", EndDateTimeUTCOffset:  ", ActionDescription:  "Action generated by Excel Template for Specimen v.0.1.0-alpha", ActionFileLink:  "}</t>
  </si>
  <si>
    <t xml:space="preserve">  - &amp;ActionID00711 {ActionTypeCV:  "Specimen analysis", MethodObj: *MethodID00001, BeginDateTime:  NULL, BeginDateTimeUTCOffset:  NULL, EndDateTime:  ", EndDateTimeUTCOffset:  ", ActionDescription:  "Action generated by Excel Template for Specimen v.0.1.0-alpha", ActionFileLink:  "}</t>
  </si>
  <si>
    <t xml:space="preserve">  - &amp;ActionID00712 {ActionTypeCV:  "Specimen analysis", MethodObj: *MethodID00001, BeginDateTime:  NULL, BeginDateTimeUTCOffset:  NULL, EndDateTime:  ", EndDateTimeUTCOffset:  ", ActionDescription:  "Action generated by Excel Template for Specimen v.0.1.0-alpha", ActionFileLink:  "}</t>
  </si>
  <si>
    <t xml:space="preserve">  - &amp;ActionID00713 {ActionTypeCV:  "Specimen analysis", MethodObj: *MethodID00001, BeginDateTime:  NULL, BeginDateTimeUTCOffset:  NULL, EndDateTime:  ", EndDateTimeUTCOffset:  ", ActionDescription:  "Action generated by Excel Template for Specimen v.0.1.0-alpha", ActionFileLink:  "}</t>
  </si>
  <si>
    <t xml:space="preserve">  - &amp;ActionID00714 {ActionTypeCV:  "Specimen analysis", MethodObj: *MethodID00001, BeginDateTime:  NULL, BeginDateTimeUTCOffset:  NULL, EndDateTime:  ", EndDateTimeUTCOffset:  ", ActionDescription:  "Action generated by Excel Template for Specimen v.0.1.0-alpha", ActionFileLink:  "}</t>
  </si>
  <si>
    <t xml:space="preserve">  - &amp;ActionID00715 {ActionTypeCV:  "Specimen analysis", MethodObj: *MethodID00001, BeginDateTime:  NULL, BeginDateTimeUTCOffset:  NULL, EndDateTime:  ", EndDateTimeUTCOffset:  ", ActionDescription:  "Action generated by Excel Template for Specimen v.0.1.0-alpha", ActionFileLink:  "}</t>
  </si>
  <si>
    <t xml:space="preserve">  - &amp;ActionID00716 {ActionTypeCV:  "Specimen analysis", MethodObj: *MethodID00001, BeginDateTime:  NULL, BeginDateTimeUTCOffset:  NULL, EndDateTime:  ", EndDateTimeUTCOffset:  ", ActionDescription:  "Action generated by Excel Template for Specimen v.0.1.0-alpha", ActionFileLink:  "}</t>
  </si>
  <si>
    <t xml:space="preserve">  - &amp;ActionID00719 {ActionTypeCV:  "Specimen analysis", MethodObj: *MethodID00001, BeginDateTime:  NULL, BeginDateTimeUTCOffset:  NULL, EndDateTime:  ", EndDateTimeUTCOffset:  ", ActionDescription:  "Action generated by Excel Template for Specimen v.0.1.0-alpha", ActionFileLink:  "}</t>
  </si>
  <si>
    <t xml:space="preserve">  - &amp;ActionID00720 {ActionTypeCV:  "Specimen analysis", MethodObj: *MethodID00001, BeginDateTime:  NULL, BeginDateTimeUTCOffset:  NULL, EndDateTime:  ", EndDateTimeUTCOffset:  ", ActionDescription:  "Action generated by Excel Template for Specimen v.0.1.0-alpha", ActionFileLink:  "}</t>
  </si>
  <si>
    <t xml:space="preserve">  - &amp;ActionID00721 {ActionTypeCV:  "Specimen analysis", MethodObj: *MethodID00001, BeginDateTime:  NULL, BeginDateTimeUTCOffset:  NULL, EndDateTime:  ", EndDateTimeUTCOffset:  ", ActionDescription:  "Action generated by Excel Template for Specimen v.0.1.0-alpha", ActionFileLink:  "}</t>
  </si>
  <si>
    <t xml:space="preserve">  - &amp;ActionID00722 {ActionTypeCV:  "Specimen analysis", MethodObj: *MethodID00001, BeginDateTime:  NULL, BeginDateTimeUTCOffset:  NULL, EndDateTime:  ", EndDateTimeUTCOffset:  ", ActionDescription:  "Action generated by Excel Template for Specimen v.0.1.0-alpha", ActionFileLink:  "}</t>
  </si>
  <si>
    <t xml:space="preserve">  - &amp;ActionID00723 {ActionTypeCV:  "Specimen analysis", MethodObj: *MethodID00001, BeginDateTime:  NULL, BeginDateTimeUTCOffset:  NULL, EndDateTime:  ", EndDateTimeUTCOffset:  ", ActionDescription:  "Action generated by Excel Template for Specimen v.0.1.0-alpha", ActionFileLink:  "}</t>
  </si>
  <si>
    <t xml:space="preserve">  - &amp;ActionID00724 {ActionTypeCV:  "Specimen analysis", MethodObj: *MethodID00001, BeginDateTime:  NULL, BeginDateTimeUTCOffset:  NULL, EndDateTime:  ", EndDateTimeUTCOffset:  ", ActionDescription:  "Action generated by Excel Template for Specimen v.0.1.0-alpha", ActionFileLink:  "}</t>
  </si>
  <si>
    <t xml:space="preserve">  - &amp;ActionID00725 {ActionTypeCV:  "Specimen analysis", MethodObj: *MethodID00001, BeginDateTime:  NULL, BeginDateTimeUTCOffset:  NULL, EndDateTime:  ", EndDateTimeUTCOffset:  ", ActionDescription:  "Action generated by Excel Template for Specimen v.0.1.0-alpha", ActionFileLink:  "}</t>
  </si>
  <si>
    <t xml:space="preserve">  - &amp;ActionID00726 {ActionTypeCV:  "Specimen analysis", MethodObj: *MethodID00001, BeginDateTime:  NULL, BeginDateTimeUTCOffset:  NULL, EndDateTime:  ", EndDateTimeUTCOffset:  ", ActionDescription:  "Action generated by Excel Template for Specimen v.0.1.0-alpha", ActionFileLink:  "}</t>
  </si>
  <si>
    <t xml:space="preserve">  - &amp;ActionID00727 {ActionTypeCV:  "Specimen analysis", MethodObj: *MethodID00001, BeginDateTime:  NULL, BeginDateTimeUTCOffset:  NULL, EndDateTime:  ", EndDateTimeUTCOffset:  ", ActionDescription:  "Action generated by Excel Template for Specimen v.0.1.0-alpha", ActionFileLink:  "}</t>
  </si>
  <si>
    <t xml:space="preserve">  - &amp;ActionID00728 {ActionTypeCV:  "Specimen analysis", MethodObj: *MethodID00001, BeginDateTime:  NULL, BeginDateTimeUTCOffset:  NULL, EndDateTime:  ", EndDateTimeUTCOffset:  ", ActionDescription:  "Action generated by Excel Template for Specimen v.0.1.0-alpha", ActionFileLink:  "}</t>
  </si>
  <si>
    <t xml:space="preserve">  - &amp;ActionID00729 {ActionTypeCV:  "Specimen analysis", MethodObj: *MethodID00001, BeginDateTime:  NULL, BeginDateTimeUTCOffset:  NULL, EndDateTime:  ", EndDateTimeUTCOffset:  ", ActionDescription:  "Action generated by Excel Template for Specimen v.0.1.0-alpha", ActionFileLink:  "}</t>
  </si>
  <si>
    <t xml:space="preserve">  - &amp;ActionID00730 {ActionTypeCV:  "Specimen analysis", MethodObj: *MethodID00001, BeginDateTime:  NULL, BeginDateTimeUTCOffset:  NULL, EndDateTime:  ", EndDateTimeUTCOffset:  ", ActionDescription:  "Action generated by Excel Template for Specimen v.0.1.0-alpha", ActionFileLink:  "}</t>
  </si>
  <si>
    <t xml:space="preserve">  - &amp;ActionID00731 {ActionTypeCV:  "Specimen analysis", MethodObj: *MethodID00001, BeginDateTime:  NULL, BeginDateTimeUTCOffset:  NULL, EndDateTime:  ", EndDateTimeUTCOffset:  ", ActionDescription:  "Action generated by Excel Template for Specimen v.0.1.0-alpha", ActionFileLink:  "}</t>
  </si>
  <si>
    <t xml:space="preserve">  - &amp;ActionID00732 {ActionTypeCV:  "Specimen analysis", MethodObj: *MethodID00001, BeginDateTime:  NULL, BeginDateTimeUTCOffset:  NULL, EndDateTime:  ", EndDateTimeUTCOffset:  ", ActionDescription:  "Action generated by Excel Template for Specimen v.0.1.0-alpha", ActionFileLink:  "}</t>
  </si>
  <si>
    <t xml:space="preserve">  - &amp;ActionID00733 {ActionTypeCV:  "Specimen analysis", MethodObj: *MethodID00001, BeginDateTime:  NULL, BeginDateTimeUTCOffset:  NULL, EndDateTime:  ", EndDateTimeUTCOffset:  ", ActionDescription:  "Action generated by Excel Template for Specimen v.0.1.0-alpha", ActionFileLink:  "}</t>
  </si>
  <si>
    <t xml:space="preserve">  - &amp;ActionID00734 {ActionTypeCV:  "Specimen analysis", MethodObj: *MethodID00001, BeginDateTime:  NULL, BeginDateTimeUTCOffset:  NULL, EndDateTime:  ", EndDateTimeUTCOffset:  ", ActionDescription:  "Action generated by Excel Template for Specimen v.0.1.0-alpha", ActionFileLink:  "}</t>
  </si>
  <si>
    <t xml:space="preserve">  - &amp;ActionID00735 {ActionTypeCV:  "Specimen analysis", MethodObj: *MethodID00001, BeginDateTime:  NULL, BeginDateTimeUTCOffset:  NULL, EndDateTime:  ", EndDateTimeUTCOffset:  ", ActionDescription:  "Action generated by Excel Template for Specimen v.0.1.0-alpha", ActionFileLink:  "}</t>
  </si>
  <si>
    <t xml:space="preserve">  - &amp;ActionID00736 {ActionTypeCV:  "Specimen analysis", MethodObj: *MethodID00001, BeginDateTime:  NULL, BeginDateTimeUTCOffset:  NULL, EndDateTime:  ", EndDateTimeUTCOffset:  ", ActionDescription:  "Action generated by Excel Template for Specimen v.0.1.0-alpha", ActionFileLink:  "}</t>
  </si>
  <si>
    <t xml:space="preserve">  - &amp;ActionID00737 {ActionTypeCV:  "Specimen analysis", MethodObj: *MethodID00001, BeginDateTime:  NULL, BeginDateTimeUTCOffset:  NULL, EndDateTime:  ", EndDateTimeUTCOffset:  ", ActionDescription:  "Action generated by Excel Template for Specimen v.0.1.0-alpha", ActionFileLink:  "}</t>
  </si>
  <si>
    <t xml:space="preserve">  - &amp;ActionID00738 {ActionTypeCV:  "Specimen analysis", MethodObj: *MethodID00001, BeginDateTime:  NULL, BeginDateTimeUTCOffset:  NULL, EndDateTime:  ", EndDateTimeUTCOffset:  ", ActionDescription:  "Action generated by Excel Template for Specimen v.0.1.0-alpha", ActionFileLink:  "}</t>
  </si>
  <si>
    <t xml:space="preserve">  - &amp;ActionID00739 {ActionTypeCV:  "Specimen analysis", MethodObj: *MethodID00001, BeginDateTime:  NULL, BeginDateTimeUTCOffset:  NULL, EndDateTime:  ", EndDateTimeUTCOffset:  ", ActionDescription:  "Action generated by Excel Template for Specimen v.0.1.0-alpha", ActionFileLink:  "}</t>
  </si>
  <si>
    <t xml:space="preserve">  - &amp;ActionID00740 {ActionTypeCV:  "Specimen analysis", MethodObj: *MethodID00001, BeginDateTime:  NULL, BeginDateTimeUTCOffset:  NULL, EndDateTime:  ", EndDateTimeUTCOffset:  ", ActionDescription:  "Action generated by Excel Template for Specimen v.0.1.0-alpha", ActionFileLink:  "}</t>
  </si>
  <si>
    <t xml:space="preserve">  - &amp;ActionID00741 {ActionTypeCV:  "Specimen analysis", MethodObj: *MethodID00001, BeginDateTime:  NULL, BeginDateTimeUTCOffset:  NULL, EndDateTime:  ", EndDateTimeUTCOffset:  ", ActionDescription:  "Action generated by Excel Template for Specimen v.0.1.0-alpha", ActionFileLink:  "}</t>
  </si>
  <si>
    <t xml:space="preserve">  - &amp;ActionID00742 {ActionTypeCV:  "Specimen analysis", MethodObj: *MethodID00001, BeginDateTime:  NULL, BeginDateTimeUTCOffset:  NULL, EndDateTime:  ", EndDateTimeUTCOffset:  ", ActionDescription:  "Action generated by Excel Template for Specimen v.0.1.0-alpha", ActionFileLink:  "}</t>
  </si>
  <si>
    <t xml:space="preserve">  - &amp;ActionID00743 {ActionTypeCV:  "Specimen analysis", MethodObj: *MethodID00001, BeginDateTime:  NULL, BeginDateTimeUTCOffset:  NULL, EndDateTime:  ", EndDateTimeUTCOffset:  ", ActionDescription:  "Action generated by Excel Template for Specimen v.0.1.0-alpha", ActionFileLink:  "}</t>
  </si>
  <si>
    <t xml:space="preserve">  - &amp;ActionID00744 {ActionTypeCV:  "Specimen analysis", MethodObj: *MethodID00001, BeginDateTime:  NULL, BeginDateTimeUTCOffset:  NULL, EndDateTime:  ", EndDateTimeUTCOffset:  ", ActionDescription:  "Action generated by Excel Template for Specimen v.0.1.0-alpha", ActionFileLink:  "}</t>
  </si>
  <si>
    <t xml:space="preserve">  - &amp;ActionID00745 {ActionTypeCV:  "Specimen analysis", MethodObj: *MethodID00001, BeginDateTime:  NULL, BeginDateTimeUTCOffset:  NULL, EndDateTime:  ", EndDateTimeUTCOffset:  ", ActionDescription:  "Action generated by Excel Template for Specimen v.0.1.0-alpha", ActionFileLink:  "}</t>
  </si>
  <si>
    <t xml:space="preserve">  - &amp;ActionID00746 {ActionTypeCV:  "Specimen analysis", MethodObj: *MethodID00001, BeginDateTime:  NULL, BeginDateTimeUTCOffset:  NULL, EndDateTime:  ", EndDateTimeUTCOffset:  ", ActionDescription:  "Action generated by Excel Template for Specimen v.0.1.0-alpha", ActionFileLink:  "}</t>
  </si>
  <si>
    <t xml:space="preserve">  - &amp;ActionID00747 {ActionTypeCV:  "Specimen analysis", MethodObj: *MethodID00001, BeginDateTime:  NULL, BeginDateTimeUTCOffset:  NULL, EndDateTime:  ", EndDateTimeUTCOffset:  ", ActionDescription:  "Action generated by Excel Template for Specimen v.0.1.0-alpha", ActionFileLink:  "}</t>
  </si>
  <si>
    <t xml:space="preserve">  - &amp;ActionID00748 {ActionTypeCV:  "Specimen analysis", MethodObj: *MethodID00001, BeginDateTime:  NULL, BeginDateTimeUTCOffset:  NULL, EndDateTime:  ", EndDateTimeUTCOffset:  ", ActionDescription:  "Action generated by Excel Template for Specimen v.0.1.0-alpha", ActionFileLink:  "}</t>
  </si>
  <si>
    <t xml:space="preserve">  - &amp;ActionID00749 {ActionTypeCV:  "Specimen analysis", MethodObj: *MethodID00001, BeginDateTime:  NULL, BeginDateTimeUTCOffset:  NULL, EndDateTime:  ", EndDateTimeUTCOffset:  ", ActionDescription:  "Action generated by Excel Template for Specimen v.0.1.0-alpha", ActionFileLink:  "}</t>
  </si>
  <si>
    <t xml:space="preserve">  - &amp;ActionID00750 {ActionTypeCV:  "Specimen analysis", MethodObj: *MethodID00001, BeginDateTime:  NULL, BeginDateTimeUTCOffset:  NULL, EndDateTime:  ", EndDateTimeUTCOffset:  ", ActionDescription:  "Action generated by Excel Template for Specimen v.0.1.0-alpha", ActionFileLink:  "}</t>
  </si>
  <si>
    <t xml:space="preserve">  - &amp;ActionID00751 {ActionTypeCV:  "Specimen analysis", MethodObj: *MethodID00001, BeginDateTime:  NULL, BeginDateTimeUTCOffset:  NULL, EndDateTime:  ", EndDateTimeUTCOffset:  ", ActionDescription:  "Action generated by Excel Template for Specimen v.0.1.0-alpha", ActionFileLink:  "}</t>
  </si>
  <si>
    <t xml:space="preserve">  - &amp;ActionID00752 {ActionTypeCV:  "Specimen analysis", MethodObj: *MethodID00001, BeginDateTime:  NULL, BeginDateTimeUTCOffset:  NULL, EndDateTime:  ", EndDateTimeUTCOffset:  ", ActionDescription:  "Action generated by Excel Template for Specimen v.0.1.0-alpha", ActionFileLink:  "}</t>
  </si>
  <si>
    <t xml:space="preserve">  - &amp;ActionID00753 {ActionTypeCV:  "Specimen analysis", MethodObj: *MethodID00001, BeginDateTime:  NULL, BeginDateTimeUTCOffset:  NULL, EndDateTime:  ", EndDateTimeUTCOffset:  ", ActionDescription:  "Action generated by Excel Template for Specimen v.0.1.0-alpha", ActionFileLink:  "}</t>
  </si>
  <si>
    <t xml:space="preserve">  - &amp;ActionID00754 {ActionTypeCV:  "Specimen analysis", MethodObj: *MethodID00001, BeginDateTime:  NULL, BeginDateTimeUTCOffset:  NULL, EndDateTime:  ", EndDateTimeUTCOffset:  ", ActionDescription:  "Action generated by Excel Template for Specimen v.0.1.0-alpha", ActionFileLink:  "}</t>
  </si>
  <si>
    <t xml:space="preserve">  - &amp;ActionID00755 {ActionTypeCV:  "Specimen analysis", MethodObj: *MethodID00001, BeginDateTime:  NULL, BeginDateTimeUTCOffset:  NULL, EndDateTime:  ", EndDateTimeUTCOffset:  ", ActionDescription:  "Action generated by Excel Template for Specimen v.0.1.0-alpha", ActionFileLink:  "}</t>
  </si>
  <si>
    <t xml:space="preserve">  - &amp;ActionID00756 {ActionTypeCV:  "Specimen analysis", MethodObj: *MethodID00001, BeginDateTime:  NULL, BeginDateTimeUTCOffset:  NULL, EndDateTime:  ", EndDateTimeUTCOffset:  ", ActionDescription:  "Action generated by Excel Template for Specimen v.0.1.0-alpha", ActionFileLink:  "}</t>
  </si>
  <si>
    <t xml:space="preserve">  - &amp;ActionID00757 {ActionTypeCV:  "Specimen analysis", MethodObj: *MethodID00001, BeginDateTime:  NULL, BeginDateTimeUTCOffset:  NULL, EndDateTime:  ", EndDateTimeUTCOffset:  ", ActionDescription:  "Action generated by Excel Template for Specimen v.0.1.0-alpha", ActionFileLink:  "}</t>
  </si>
  <si>
    <t xml:space="preserve">  - &amp;ActionID00758 {ActionTypeCV:  "Specimen analysis", MethodObj: *MethodID00001, BeginDateTime:  NULL, BeginDateTimeUTCOffset:  NULL, EndDateTime:  ", EndDateTimeUTCOffset:  ", ActionDescription:  "Action generated by Excel Template for Specimen v.0.1.0-alpha", ActionFileLink:  "}</t>
  </si>
  <si>
    <t xml:space="preserve">  - &amp;ActionID00759 {ActionTypeCV:  "Specimen analysis", MethodObj: *MethodID00001, BeginDateTime:  NULL, BeginDateTimeUTCOffset:  NULL, EndDateTime:  ", EndDateTimeUTCOffset:  ", ActionDescription:  "Action generated by Excel Template for Specimen v.0.1.0-alpha", ActionFileLink:  "}</t>
  </si>
  <si>
    <t xml:space="preserve">  - &amp;ActionID00760 {ActionTypeCV:  "Specimen analysis", MethodObj: *MethodID00001, BeginDateTime:  NULL, BeginDateTimeUTCOffset:  NULL, EndDateTime:  ", EndDateTimeUTCOffset:  ", ActionDescription:  "Action generated by Excel Template for Specimen v.0.1.0-alpha", ActionFileLink:  "}</t>
  </si>
  <si>
    <t xml:space="preserve">  - &amp;ActionID00761 {ActionTypeCV:  "Specimen analysis", MethodObj: *MethodID00001, BeginDateTime:  NULL, BeginDateTimeUTCOffset:  NULL, EndDateTime:  ", EndDateTimeUTCOffset:  ", ActionDescription:  "Action generated by Excel Template for Specimen v.0.1.0-alpha", ActionFileLink:  "}</t>
  </si>
  <si>
    <t xml:space="preserve">  - &amp;ActionID00762 {ActionTypeCV:  "Specimen analysis", MethodObj: *MethodID00001, BeginDateTime:  NULL, BeginDateTimeUTCOffset:  NULL, EndDateTime:  ", EndDateTimeUTCOffset:  ", ActionDescription:  "Action generated by Excel Template for Specimen v.0.1.0-alpha", ActionFileLink:  "}</t>
  </si>
  <si>
    <t xml:space="preserve">  - &amp;ActionID00763 {ActionTypeCV:  "Specimen analysis", MethodObj: *MethodID00001, BeginDateTime:  NULL, BeginDateTimeUTCOffset:  NULL, EndDateTime:  ", EndDateTimeUTCOffset:  ", ActionDescription:  "Action generated by Excel Template for Specimen v.0.1.0-alpha", ActionFileLink:  "}</t>
  </si>
  <si>
    <t xml:space="preserve">  - &amp;ActionID00764 {ActionTypeCV:  "Specimen analysis", MethodObj: *MethodID00001, BeginDateTime:  NULL, BeginDateTimeUTCOffset:  NULL, EndDateTime:  ", EndDateTimeUTCOffset:  ", ActionDescription:  "Action generated by Excel Template for Specimen v.0.1.0-alpha", ActionFileLink:  "}</t>
  </si>
  <si>
    <t xml:space="preserve">  - &amp;ActionID00765 {ActionTypeCV:  "Specimen analysis", MethodObj: *MethodID00001, BeginDateTime:  NULL, BeginDateTimeUTCOffset:  NULL, EndDateTime:  ", EndDateTimeUTCOffset:  ", ActionDescription:  "Action generated by Excel Template for Specimen v.0.1.0-alpha", ActionFileLink:  "}</t>
  </si>
  <si>
    <t xml:space="preserve">  - &amp;ActionID00766 {ActionTypeCV:  "Specimen analysis", MethodObj: *MethodID00001, BeginDateTime:  NULL, BeginDateTimeUTCOffset:  NULL, EndDateTime:  ", EndDateTimeUTCOffset:  ", ActionDescription:  "Action generated by Excel Template for Specimen v.0.1.0-alpha", ActionFileLink:  "}</t>
  </si>
  <si>
    <t xml:space="preserve">  - &amp;ActionID00767 {ActionTypeCV:  "Specimen analysis", MethodObj: *MethodID00001, BeginDateTime:  NULL, BeginDateTimeUTCOffset:  NULL, EndDateTime:  ", EndDateTimeUTCOffset:  ", ActionDescription:  "Action generated by Excel Template for Specimen v.0.1.0-alpha", ActionFileLink:  "}</t>
  </si>
  <si>
    <t xml:space="preserve">  - &amp;ActionID00768 {ActionTypeCV:  "Specimen analysis", MethodObj: *MethodID00001, BeginDateTime:  NULL, BeginDateTimeUTCOffset:  NULL, EndDateTime:  ", EndDateTimeUTCOffset:  ", ActionDescription:  "Action generated by Excel Template for Specimen v.0.1.0-alpha", ActionFileLink:  "}</t>
  </si>
  <si>
    <t xml:space="preserve">  - &amp;ActionID00769 {ActionTypeCV:  "Specimen analysis", MethodObj: *MethodID00001, BeginDateTime:  NULL, BeginDateTimeUTCOffset:  NULL, EndDateTime:  ", EndDateTimeUTCOffset:  ", ActionDescription:  "Action generated by Excel Template for Specimen v.0.1.0-alpha", ActionFileLink:  "}</t>
  </si>
  <si>
    <t xml:space="preserve">  - &amp;ActionID00770 {ActionTypeCV:  "Specimen analysis", MethodObj: *MethodID00001, BeginDateTime:  NULL, BeginDateTimeUTCOffset:  NULL, EndDateTime:  ", EndDateTimeUTCOffset:  ", ActionDescription:  "Action generated by Excel Template for Specimen v.0.1.0-alpha", ActionFileLink:  "}</t>
  </si>
  <si>
    <t xml:space="preserve">  - &amp;ActionID00771 {ActionTypeCV:  "Specimen analysis", MethodObj: *MethodID00001, BeginDateTime:  NULL, BeginDateTimeUTCOffset:  NULL, EndDateTime:  ", EndDateTimeUTCOffset:  ", ActionDescription:  "Action generated by Excel Template for Specimen v.0.1.0-alpha", ActionFileLink:  "}</t>
  </si>
  <si>
    <t xml:space="preserve">  - &amp;ActionID00772 {ActionTypeCV:  "Specimen analysis", MethodObj: *MethodID00001, BeginDateTime:  NULL, BeginDateTimeUTCOffset:  NULL, EndDateTime:  ", EndDateTimeUTCOffset:  ", ActionDescription:  "Action generated by Excel Template for Specimen v.0.1.0-alpha", ActionFileLink:  "}</t>
  </si>
  <si>
    <t xml:space="preserve">  - &amp;ActionID00773 {ActionTypeCV:  "Specimen analysis", MethodObj: *MethodID00001, BeginDateTime:  NULL, BeginDateTimeUTCOffset:  NULL, EndDateTime:  ", EndDateTimeUTCOffset:  ", ActionDescription:  "Action generated by Excel Template for Specimen v.0.1.0-alpha", ActionFileLink:  "}</t>
  </si>
  <si>
    <t xml:space="preserve">  - &amp;ActionID00774 {ActionTypeCV:  "Specimen analysis", MethodObj: *MethodID00001, BeginDateTime:  NULL, BeginDateTimeUTCOffset:  NULL, EndDateTime:  ", EndDateTimeUTCOffset:  ", ActionDescription:  "Action generated by Excel Template for Specimen v.0.1.0-alpha", ActionFileLink:  "}</t>
  </si>
  <si>
    <t xml:space="preserve">  - &amp;ActionID00775 {ActionTypeCV:  "Specimen analysis", MethodObj: *MethodID00001, BeginDateTime:  NULL, BeginDateTimeUTCOffset:  NULL, EndDateTime:  ", EndDateTimeUTCOffset:  ", ActionDescription:  "Action generated by Excel Template for Specimen v.0.1.0-alpha", ActionFileLink:  "}</t>
  </si>
  <si>
    <t xml:space="preserve">  - &amp;ActionID00776 {ActionTypeCV:  "Specimen analysis", MethodObj: *MethodID00001, BeginDateTime:  NULL, BeginDateTimeUTCOffset:  NULL, EndDateTime:  ", EndDateTimeUTCOffset:  ", ActionDescription:  "Action generated by Excel Template for Specimen v.0.1.0-alpha", ActionFileLink:  "}</t>
  </si>
  <si>
    <t xml:space="preserve">  - &amp;ActionID00777 {ActionTypeCV:  "Specimen analysis", MethodObj: *MethodID00001, BeginDateTime:  NULL, BeginDateTimeUTCOffset:  NULL, EndDateTime:  ", EndDateTimeUTCOffset:  ", ActionDescription:  "Action generated by Excel Template for Specimen v.0.1.0-alpha", ActionFileLink:  "}</t>
  </si>
  <si>
    <t xml:space="preserve">  - &amp;ActionID00778 {ActionTypeCV:  "Specimen analysis", MethodObj: *MethodID00001, BeginDateTime:  NULL, BeginDateTimeUTCOffset:  NULL, EndDateTime:  ", EndDateTimeUTCOffset:  ", ActionDescription:  "Action generated by Excel Template for Specimen v.0.1.0-alpha", ActionFileLink:  "}</t>
  </si>
  <si>
    <t xml:space="preserve">  - &amp;ActionID00779 {ActionTypeCV:  "Specimen analysis", MethodObj: *MethodID00001, BeginDateTime:  NULL, BeginDateTimeUTCOffset:  NULL, EndDateTime:  ", EndDateTimeUTCOffset:  ", ActionDescription:  "Action generated by Excel Template for Specimen v.0.1.0-alpha", ActionFileLink:  "}</t>
  </si>
  <si>
    <t xml:space="preserve">  - &amp;ActionID00780 {ActionTypeCV:  "Specimen analysis", MethodObj: *MethodID00001, BeginDateTime:  NULL, BeginDateTimeUTCOffset:  NULL, EndDateTime:  ", EndDateTimeUTCOffset:  ", ActionDescription:  "Action generated by Excel Template for Specimen v.0.1.0-alpha", ActionFileLink:  "}</t>
  </si>
  <si>
    <t xml:space="preserve">  - &amp;ActionID00781 {ActionTypeCV:  "Specimen analysis", MethodObj: *MethodID00001, BeginDateTime:  NULL, BeginDateTimeUTCOffset:  NULL, EndDateTime:  ", EndDateTimeUTCOffset:  ", ActionDescription:  "Action generated by Excel Template for Specimen v.0.1.0-alpha", ActionFileLink:  "}</t>
  </si>
  <si>
    <t xml:space="preserve">  - &amp;ActionID00782 {ActionTypeCV:  "Specimen analysis", MethodObj: *MethodID00001, BeginDateTime:  NULL, BeginDateTimeUTCOffset:  NULL, EndDateTime:  ", EndDateTimeUTCOffset:  ", ActionDescription:  "Action generated by Excel Template for Specimen v.0.1.0-alpha", ActionFileLink:  "}</t>
  </si>
  <si>
    <t xml:space="preserve">  - &amp;ActionID00783 {ActionTypeCV:  "Specimen analysis", MethodObj: *MethodID00001, BeginDateTime:  NULL, BeginDateTimeUTCOffset:  NULL, EndDateTime:  ", EndDateTimeUTCOffset:  ", ActionDescription:  "Action generated by Excel Template for Specimen v.0.1.0-alpha", ActionFileLink:  "}</t>
  </si>
  <si>
    <t xml:space="preserve">  - &amp;ActionID00784 {ActionTypeCV:  "Specimen analysis", MethodObj: *MethodID00001, BeginDateTime:  NULL, BeginDateTimeUTCOffset:  NULL, EndDateTime:  ", EndDateTimeUTCOffset:  ", ActionDescription:  "Action generated by Excel Template for Specimen v.0.1.0-alpha", ActionFileLink:  "}</t>
  </si>
  <si>
    <t xml:space="preserve">  - &amp;ActionID00785 {ActionTypeCV:  "Specimen analysis", MethodObj: *MethodID00001, BeginDateTime:  NULL, BeginDateTimeUTCOffset:  NULL, EndDateTime:  ", EndDateTimeUTCOffset:  ", ActionDescription:  "Action generated by Excel Template for Specimen v.0.1.0-alpha", ActionFileLink:  "}</t>
  </si>
  <si>
    <t xml:space="preserve">  - &amp;ActionID00786 {ActionTypeCV:  "Specimen analysis", MethodObj: *MethodID00001, BeginDateTime:  NULL, BeginDateTimeUTCOffset:  NULL, EndDateTime:  ", EndDateTimeUTCOffset:  ", ActionDescription:  "Action generated by Excel Template for Specimen v.0.1.0-alpha", ActionFileLink:  "}</t>
  </si>
  <si>
    <t xml:space="preserve">  - &amp;ActionID00787 {ActionTypeCV:  "Specimen analysis", MethodObj: *MethodID00001, BeginDateTime:  NULL, BeginDateTimeUTCOffset:  NULL, EndDateTime:  ", EndDateTimeUTCOffset:  ", ActionDescription:  "Action generated by Excel Template for Specimen v.0.1.0-alpha", ActionFileLink:  "}</t>
  </si>
  <si>
    <t xml:space="preserve">  - &amp;ActionID00788 {ActionTypeCV:  "Specimen analysis", MethodObj: *MethodID00001, BeginDateTime:  NULL, BeginDateTimeUTCOffset:  NULL, EndDateTime:  ", EndDateTimeUTCOffset:  ", ActionDescription:  "Action generated by Excel Template for Specimen v.0.1.0-alpha", ActionFileLink:  "}</t>
  </si>
  <si>
    <t xml:space="preserve">  - &amp;ActionID00789 {ActionTypeCV:  "Specimen analysis", MethodObj: *MethodID00001, BeginDateTime:  NULL, BeginDateTimeUTCOffset:  NULL, EndDateTime:  ", EndDateTimeUTCOffset:  ", ActionDescription:  "Action generated by Excel Template for Specimen v.0.1.0-alpha", ActionFileLink:  "}</t>
  </si>
  <si>
    <t xml:space="preserve">  - &amp;ActionID00790 {ActionTypeCV:  "Specimen analysis", MethodObj: *MethodID00001, BeginDateTime:  NULL, BeginDateTimeUTCOffset:  NULL, EndDateTime:  ", EndDateTimeUTCOffset:  ", ActionDescription:  "Action generated by Excel Template for Specimen v.0.1.0-alpha", ActionFileLink:  "}</t>
  </si>
  <si>
    <t xml:space="preserve">  - &amp;ActionID00791 {ActionTypeCV:  "Specimen analysis", MethodObj: *MethodID00001, BeginDateTime:  NULL, BeginDateTimeUTCOffset:  NULL, EndDateTime:  ", EndDateTimeUTCOffset:  ", ActionDescription:  "Action generated by Excel Template for Specimen v.0.1.0-alpha", ActionFileLink:  "}</t>
  </si>
  <si>
    <t xml:space="preserve">  - &amp;ActionID00792 {ActionTypeCV:  "Specimen analysis", MethodObj: *MethodID00001, BeginDateTime:  NULL, BeginDateTimeUTCOffset:  NULL, EndDateTime:  ", EndDateTimeUTCOffset:  ", ActionDescription:  "Action generated by Excel Template for Specimen v.0.1.0-alpha", ActionFileLink:  "}</t>
  </si>
  <si>
    <t xml:space="preserve">  - &amp;ActionID00793 {ActionTypeCV:  "Specimen analysis", MethodObj: *MethodID00001, BeginDateTime:  NULL, BeginDateTimeUTCOffset:  NULL, EndDateTime:  ", EndDateTimeUTCOffset:  ", ActionDescription:  "Action generated by Excel Template for Specimen v.0.1.0-alpha", ActionFileLink:  "}</t>
  </si>
  <si>
    <t xml:space="preserve">  - &amp;ActionID00794 {ActionTypeCV:  "Specimen analysis", MethodObj: *MethodID00001, BeginDateTime:  NULL, BeginDateTimeUTCOffset:  NULL, EndDateTime:  ", EndDateTimeUTCOffset:  ", ActionDescription:  "Action generated by Excel Template for Specimen v.0.1.0-alpha", ActionFileLink:  "}</t>
  </si>
  <si>
    <t xml:space="preserve">  - &amp;ActionID00795 {ActionTypeCV:  "Specimen analysis", MethodObj: *MethodID00001, BeginDateTime:  NULL, BeginDateTimeUTCOffset:  NULL, EndDateTime:  ", EndDateTimeUTCOffset:  ", ActionDescription:  "Action generated by Excel Template for Specimen v.0.1.0-alpha", ActionFileLink:  "}</t>
  </si>
  <si>
    <t xml:space="preserve">  - &amp;ActionID00796 {ActionTypeCV:  "Specimen analysis", MethodObj: *MethodID00001, BeginDateTime:  NULL, BeginDateTimeUTCOffset:  NULL, EndDateTime:  ", EndDateTimeUTCOffset:  ", ActionDescription:  "Action generated by Excel Template for Specimen v.0.1.0-alpha", ActionFileLink:  "}</t>
  </si>
  <si>
    <t xml:space="preserve">  - &amp;ActionID00797 {ActionTypeCV:  "Specimen analysis", MethodObj: *MethodID00001, BeginDateTime:  NULL, BeginDateTimeUTCOffset:  NULL, EndDateTime:  ", EndDateTimeUTCOffset:  ", ActionDescription:  "Action generated by Excel Template for Specimen v.0.1.0-alpha", ActionFileLink:  "}</t>
  </si>
  <si>
    <t xml:space="preserve">  - &amp;ActionID00798 {ActionTypeCV:  "Specimen analysis", MethodObj: *MethodID00001, BeginDateTime:  NULL, BeginDateTimeUTCOffset:  NULL, EndDateTime:  ", EndDateTimeUTCOffset:  ", ActionDescription:  "Action generated by Excel Template for Specimen v.0.1.0-alpha", ActionFileLink:  "}</t>
  </si>
  <si>
    <t xml:space="preserve">  - &amp;ActionID00799 {ActionTypeCV:  "Specimen analysis", MethodObj: *MethodID00001, BeginDateTime:  NULL, BeginDateTimeUTCOffset:  NULL, EndDateTime:  ", EndDateTimeUTCOffset:  ", ActionDescription:  "Action generated by Excel Template for Specimen v.0.1.0-alpha", ActionFileLink:  "}</t>
  </si>
  <si>
    <t xml:space="preserve">  - &amp;ActionID00800 {ActionTypeCV:  "Specimen analysis", MethodObj: *MethodID00001, BeginDateTime:  NULL, BeginDateTimeUTCOffset:  NULL, EndDateTime:  ", EndDateTimeUTCOffset:  ", ActionDescription:  "Action generated by Excel Template for Specimen v.0.1.0-alpha", ActionFileLink:  "}</t>
  </si>
  <si>
    <t xml:space="preserve">  - &amp;ActionID00801 {ActionTypeCV:  "Specimen analysis", MethodObj: *MethodID00001, BeginDateTime:  NULL, BeginDateTimeUTCOffset:  NULL, EndDateTime:  ", EndDateTimeUTCOffset:  ", ActionDescription:  "Action generated by Excel Template for Specimen v.0.1.0-alpha", ActionFileLink:  "}</t>
  </si>
  <si>
    <t xml:space="preserve">  - &amp;ActionID00802 {ActionTypeCV:  "Specimen analysis", MethodObj: *MethodID00001, BeginDateTime:  NULL, BeginDateTimeUTCOffset:  NULL, EndDateTime:  ", EndDateTimeUTCOffset:  ", ActionDescription:  "Action generated by Excel Template for Specimen v.0.1.0-alpha", ActionFileLink:  "}</t>
  </si>
  <si>
    <t xml:space="preserve">  - &amp;ActionID00803 {ActionTypeCV:  "Specimen analysis", MethodObj: *MethodID00001, BeginDateTime:  NULL, BeginDateTimeUTCOffset:  NULL, EndDateTime:  ", EndDateTimeUTCOffset:  ", ActionDescription:  "Action generated by Excel Template for Specimen v.0.1.0-alpha", ActionFileLink:  "}</t>
  </si>
  <si>
    <t xml:space="preserve">  - &amp;ActionID00804 {ActionTypeCV:  "Specimen analysis", MethodObj: *MethodID00001, BeginDateTime:  NULL, BeginDateTimeUTCOffset:  NULL, EndDateTime:  ", EndDateTimeUTCOffset:  ", ActionDescription:  "Action generated by Excel Template for Specimen v.0.1.0-alpha", ActionFileLink:  "}</t>
  </si>
  <si>
    <t xml:space="preserve">  - &amp;ActionID00805 {ActionTypeCV:  "Specimen analysis", MethodObj: *MethodID00001, BeginDateTime:  NULL, BeginDateTimeUTCOffset:  NULL, EndDateTime:  ", EndDateTimeUTCOffset:  ", ActionDescription:  "Action generated by Excel Template for Specimen v.0.1.0-alpha", ActionFileLink:  "}</t>
  </si>
  <si>
    <t xml:space="preserve">  - &amp;ActionID00806 {ActionTypeCV:  "Specimen analysis", MethodObj: *MethodID00001, BeginDateTime:  NULL, BeginDateTimeUTCOffset:  NULL, EndDateTime:  ", EndDateTimeUTCOffset:  ", ActionDescription:  "Action generated by Excel Template for Specimen v.0.1.0-alpha", ActionFileLink:  "}</t>
  </si>
  <si>
    <t xml:space="preserve">  - &amp;ActionID00807 {ActionTypeCV:  "Specimen analysis", MethodObj: *MethodID00001, BeginDateTime:  NULL, BeginDateTimeUTCOffset:  NULL, EndDateTime:  ", EndDateTimeUTCOffset:  ", ActionDescription:  "Action generated by Excel Template for Specimen v.0.1.0-alpha", ActionFileLink:  "}</t>
  </si>
  <si>
    <t xml:space="preserve">  - &amp;ActionID00808 {ActionTypeCV:  "Specimen analysis", MethodObj: *MethodID00001, BeginDateTime:  NULL, BeginDateTimeUTCOffset:  NULL, EndDateTime:  ", EndDateTimeUTCOffset:  ", ActionDescription:  "Action generated by Excel Template for Specimen v.0.1.0-alpha", ActionFileLink:  "}</t>
  </si>
  <si>
    <t xml:space="preserve">  - &amp;ActionID00809 {ActionTypeCV:  "Specimen analysis", MethodObj: *MethodID00001, BeginDateTime:  NULL, BeginDateTimeUTCOffset:  NULL, EndDateTime:  ", EndDateTimeUTCOffset:  ", ActionDescription:  "Action generated by Excel Template for Specimen v.0.1.0-alpha", ActionFileLink:  "}</t>
  </si>
  <si>
    <t xml:space="preserve">  - &amp;ActionID00810 {ActionTypeCV:  "Specimen analysis", MethodObj: *MethodID00001, BeginDateTime:  NULL, BeginDateTimeUTCOffset:  NULL, EndDateTime:  ", EndDateTimeUTCOffset:  ", ActionDescription:  "Action generated by Excel Template for Specimen v.0.1.0-alpha", ActionFileLink:  "}</t>
  </si>
  <si>
    <t xml:space="preserve">  - &amp;ActionID00811 {ActionTypeCV:  "Specimen analysis", MethodObj: *MethodID00001, BeginDateTime:  NULL, BeginDateTimeUTCOffset:  NULL, EndDateTime:  ", EndDateTimeUTCOffset:  ", ActionDescription:  "Action generated by Excel Template for Specimen v.0.1.0-alpha", ActionFileLink:  "}</t>
  </si>
  <si>
    <t xml:space="preserve">  - &amp;ActionID00812 {ActionTypeCV:  "Specimen analysis", MethodObj: *MethodID00001, BeginDateTime:  NULL, BeginDateTimeUTCOffset:  NULL, EndDateTime:  ", EndDateTimeUTCOffset:  ", ActionDescription:  "Action generated by Excel Template for Specimen v.0.1.0-alpha", ActionFileLink:  "}</t>
  </si>
  <si>
    <t xml:space="preserve">  - &amp;ActionID00813 {ActionTypeCV:  "Specimen analysis", MethodObj: *MethodID00001, BeginDateTime:  NULL, BeginDateTimeUTCOffset:  NULL, EndDateTime:  ", EndDateTimeUTCOffset:  ", ActionDescription:  "Action generated by Excel Template for Specimen v.0.1.0-alpha", ActionFileLink:  "}</t>
  </si>
  <si>
    <t xml:space="preserve">  - &amp;ActionID00814 {ActionTypeCV:  "Specimen analysis", MethodObj: *MethodID00001, BeginDateTime:  NULL, BeginDateTimeUTCOffset:  NULL, EndDateTime:  ", EndDateTimeUTCOffset:  ", ActionDescription:  "Action generated by Excel Template for Specimen v.0.1.0-alpha", ActionFileLink:  "}</t>
  </si>
  <si>
    <t xml:space="preserve">  - &amp;ActionID00815 {ActionTypeCV:  "Specimen analysis", MethodObj: *MethodID00001, BeginDateTime:  NULL, BeginDateTimeUTCOffset:  NULL, EndDateTime:  ", EndDateTimeUTCOffset:  ", ActionDescription:  "Action generated by Excel Template for Specimen v.0.1.0-alpha", ActionFileLink:  "}</t>
  </si>
  <si>
    <t xml:space="preserve">  - &amp;ActionID00816 {ActionTypeCV:  "Specimen analysis", MethodObj: *MethodID00001, BeginDateTime:  NULL, BeginDateTimeUTCOffset:  NULL, EndDateTime:  ", EndDateTimeUTCOffset:  ", ActionDescription:  "Action generated by Excel Template for Specimen v.0.1.0-alpha", ActionFileLink:  "}</t>
  </si>
  <si>
    <t xml:space="preserve">  - &amp;ActionID00817 {ActionTypeCV:  "Specimen analysis", MethodObj: *MethodID00001, BeginDateTime:  NULL, BeginDateTimeUTCOffset:  NULL, EndDateTime:  ", EndDateTimeUTCOffset:  ", ActionDescription:  "Action generated by Excel Template for Specimen v.0.1.0-alpha", ActionFileLink:  "}</t>
  </si>
  <si>
    <t xml:space="preserve">  - &amp;ActionID00818 {ActionTypeCV:  "Specimen analysis", MethodObj: *MethodID00001, BeginDateTime:  NULL, BeginDateTimeUTCOffset:  NULL, EndDateTime:  ", EndDateTimeUTCOffset:  ", ActionDescription:  "Action generated by Excel Template for Specimen v.0.1.0-alpha", ActionFileLink:  "}</t>
  </si>
  <si>
    <t xml:space="preserve">  - &amp;ActionID00819 {ActionTypeCV:  "Specimen analysis", MethodObj: *MethodID00001, BeginDateTime:  NULL, BeginDateTimeUTCOffset:  NULL, EndDateTime:  ", EndDateTimeUTCOffset:  ", ActionDescription:  "Action generated by Excel Template for Specimen v.0.1.0-alpha", ActionFileLink:  "}</t>
  </si>
  <si>
    <t xml:space="preserve">  - &amp;ActionID00820 {ActionTypeCV:  "Specimen analysis", MethodObj: *MethodID00001, BeginDateTime:  NULL, BeginDateTimeUTCOffset:  NULL, EndDateTime:  ", EndDateTimeUTCOffset:  ", ActionDescription:  "Action generated by Excel Template for Specimen v.0.1.0-alpha", ActionFileLink:  "}</t>
  </si>
  <si>
    <t xml:space="preserve">  - &amp;ActionID00821 {ActionTypeCV:  "Specimen analysis", MethodObj: *MethodID00001, BeginDateTime:  NULL, BeginDateTimeUTCOffset:  NULL, EndDateTime:  ", EndDateTimeUTCOffset:  ", ActionDescription:  "Action generated by Excel Template for Specimen v.0.1.0-alpha", ActionFileLink:  "}</t>
  </si>
  <si>
    <t xml:space="preserve">  - &amp;ActionID00822 {ActionTypeCV:  "Specimen analysis", MethodObj: *MethodID00001, BeginDateTime:  NULL, BeginDateTimeUTCOffset:  NULL, EndDateTime:  ", EndDateTimeUTCOffset:  ", ActionDescription:  "Action generated by Excel Template for Specimen v.0.1.0-alpha", ActionFileLink:  "}</t>
  </si>
  <si>
    <t xml:space="preserve">  - &amp;ActionID00823 {ActionTypeCV:  "Specimen analysis", MethodObj: *MethodID00001, BeginDateTime:  NULL, BeginDateTimeUTCOffset:  NULL, EndDateTime:  ", EndDateTimeUTCOffset:  ", ActionDescription:  "Action generated by Excel Template for Specimen v.0.1.0-alpha", ActionFileLink:  "}</t>
  </si>
  <si>
    <t xml:space="preserve">  - &amp;ActionID00824 {ActionTypeCV:  "Specimen analysis", MethodObj: *MethodID00001, BeginDateTime:  NULL, BeginDateTimeUTCOffset:  NULL, EndDateTime:  ", EndDateTimeUTCOffset:  ", ActionDescription:  "Action generated by Excel Template for Specimen v.0.1.0-alpha", ActionFileLink:  "}</t>
  </si>
  <si>
    <t xml:space="preserve">  - &amp;ActionID00825 {ActionTypeCV:  "Specimen analysis", MethodObj: *MethodID00001, BeginDateTime:  NULL, BeginDateTimeUTCOffset:  NULL, EndDateTime:  ", EndDateTimeUTCOffset:  ", ActionDescription:  "Action generated by Excel Template for Specimen v.0.1.0-alpha", ActionFileLink:  "}</t>
  </si>
  <si>
    <t xml:space="preserve">  - &amp;ActionID00826 {ActionTypeCV:  "Specimen analysis", MethodObj: *MethodID00001, BeginDateTime:  NULL, BeginDateTimeUTCOffset:  NULL, EndDateTime:  ", EndDateTimeUTCOffset:  ", ActionDescription:  "Action generated by Excel Template for Specimen v.0.1.0-alpha", ActionFileLink:  "}</t>
  </si>
  <si>
    <t xml:space="preserve">  - &amp;ActionID00827 {ActionTypeCV:  "Specimen analysis", MethodObj: *MethodID00001, BeginDateTime:  NULL, BeginDateTimeUTCOffset:  NULL, EndDateTime:  ", EndDateTimeUTCOffset:  ", ActionDescription:  "Action generated by Excel Template for Specimen v.0.1.0-alpha", ActionFileLink:  "}</t>
  </si>
  <si>
    <t xml:space="preserve">  - &amp;ActionID00828 {ActionTypeCV:  "Specimen analysis", MethodObj: *MethodID00001, BeginDateTime:  NULL, BeginDateTimeUTCOffset:  NULL, EndDateTime:  ", EndDateTimeUTCOffset:  ", ActionDescription:  "Action generated by Excel Template for Specimen v.0.1.0-alpha", ActionFileLink:  "}</t>
  </si>
  <si>
    <t xml:space="preserve">  - &amp;ActionID00829 {ActionTypeCV:  "Specimen analysis", MethodObj: *MethodID00001, BeginDateTime:  NULL, BeginDateTimeUTCOffset:  NULL, EndDateTime:  ", EndDateTimeUTCOffset:  ", ActionDescription:  "Action generated by Excel Template for Specimen v.0.1.0-alpha", ActionFileLink:  "}</t>
  </si>
  <si>
    <t xml:space="preserve">  - &amp;ActionID00830 {ActionTypeCV:  "Specimen analysis", MethodObj: *MethodID00001, BeginDateTime:  NULL, BeginDateTimeUTCOffset:  NULL, EndDateTime:  ", EndDateTimeUTCOffset:  ", ActionDescription:  "Action generated by Excel Template for Specimen v.0.1.0-alpha", ActionFileLink:  "}</t>
  </si>
  <si>
    <t xml:space="preserve">  - &amp;ActionID00831 {ActionTypeCV:  "Specimen analysis", MethodObj: *MethodID00001, BeginDateTime:  NULL, BeginDateTimeUTCOffset:  NULL, EndDateTime:  ", EndDateTimeUTCOffset:  ", ActionDescription:  "Action generated by Excel Template for Specimen v.0.1.0-alpha", ActionFileLink:  "}</t>
  </si>
  <si>
    <t xml:space="preserve">  - &amp;ActionID00832 {ActionTypeCV:  "Specimen analysis", MethodObj: *MethodID00002, BeginDateTime:  NULL, BeginDateTimeUTCOffset:  NULL, EndDateTime:  ", EndDateTimeUTCOffset:  ", ActionDescription:  "Action generated by Excel Template for Specimen v.0.1.0-alpha", ActionFileLink:  "}</t>
  </si>
  <si>
    <t xml:space="preserve">  - &amp;ActionID00835 {ActionTypeCV:  "Specimen analysis", MethodObj: *MethodID00002, BeginDateTime:  NULL, BeginDateTimeUTCOffset:  NULL, EndDateTime:  ", EndDateTimeUTCOffset:  ", ActionDescription:  "Action generated by Excel Template for Specimen v.0.1.0-alpha", ActionFileLink:  "}</t>
  </si>
  <si>
    <t xml:space="preserve">  - &amp;ActionID00838 {ActionTypeCV:  "Specimen analysis", MethodObj: *MethodID00002, BeginDateTime:  NULL, BeginDateTimeUTCOffset:  NULL, EndDateTime:  ", EndDateTimeUTCOffset:  ", ActionDescription:  "Action generated by Excel Template for Specimen v.0.1.0-alpha", ActionFileLink:  "}</t>
  </si>
  <si>
    <t xml:space="preserve">  - &amp;ActionID00839 {ActionTypeCV:  "Specimen analysis", MethodObj: *MethodID00002, BeginDateTime:  NULL, BeginDateTimeUTCOffset:  NULL, EndDateTime:  ", EndDateTimeUTCOffset:  ", ActionDescription:  "Action generated by Excel Template for Specimen v.0.1.0-alpha", ActionFileLink:  "}</t>
  </si>
  <si>
    <t xml:space="preserve">  - &amp;ActionID00840 {ActionTypeCV:  "Specimen analysis", MethodObj: *MethodID00002, BeginDateTime:  NULL, BeginDateTimeUTCOffset:  NULL, EndDateTime:  ", EndDateTimeUTCOffset:  ", ActionDescription:  "Action generated by Excel Template for Specimen v.0.1.0-alpha", ActionFileLink:  "}</t>
  </si>
  <si>
    <t xml:space="preserve">  - &amp;ActionID00841 {ActionTypeCV:  "Specimen analysis", MethodObj: *MethodID00002, BeginDateTime:  NULL, BeginDateTimeUTCOffset:  NULL, EndDateTime:  ", EndDateTimeUTCOffset:  ", ActionDescription:  "Action generated by Excel Template for Specimen v.0.1.0-alpha", ActionFileLink:  "}</t>
  </si>
  <si>
    <t xml:space="preserve">  - &amp;ActionID00842 {ActionTypeCV:  "Specimen analysis", MethodObj: *MethodID00002, BeginDateTime:  NULL, BeginDateTimeUTCOffset:  NULL, EndDateTime:  ", EndDateTimeUTCOffset:  ", ActionDescription:  "Action generated by Excel Template for Specimen v.0.1.0-alpha", ActionFileLink:  "}</t>
  </si>
  <si>
    <t xml:space="preserve">  - &amp;ActionID00843 {ActionTypeCV:  "Specimen analysis", MethodObj: *MethodID00002, BeginDateTime:  NULL, BeginDateTimeUTCOffset:  NULL, EndDateTime:  ", EndDateTimeUTCOffset:  ", ActionDescription:  "Action generated by Excel Template for Specimen v.0.1.0-alpha", ActionFileLink:  "}</t>
  </si>
  <si>
    <t xml:space="preserve">  - &amp;ActionID00844 {ActionTypeCV:  "Specimen analysis", MethodObj: *MethodID00002, BeginDateTime:  NULL, BeginDateTimeUTCOffset:  NULL, EndDateTime:  ", EndDateTimeUTCOffset:  ", ActionDescription:  "Action generated by Excel Template for Specimen v.0.1.0-alpha", ActionFileLink:  "}</t>
  </si>
  <si>
    <t xml:space="preserve">  - &amp;ActionID00845 {ActionTypeCV:  "Specimen analysis", MethodObj: *MethodID00002, BeginDateTime:  NULL, BeginDateTimeUTCOffset:  NULL, EndDateTime:  ", EndDateTimeUTCOffset:  ", ActionDescription:  "Action generated by Excel Template for Specimen v.0.1.0-alpha", ActionFileLink:  "}</t>
  </si>
  <si>
    <t xml:space="preserve">  - &amp;ActionID00846 {ActionTypeCV:  "Specimen analysis", MethodObj: *MethodID00002, BeginDateTime:  NULL, BeginDateTimeUTCOffset:  NULL, EndDateTime:  ", EndDateTimeUTCOffset:  ", ActionDescription:  "Action generated by Excel Template for Specimen v.0.1.0-alpha", ActionFileLink:  "}</t>
  </si>
  <si>
    <t xml:space="preserve">  - &amp;ActionID00847 {ActionTypeCV:  "Specimen analysis", MethodObj: *MethodID00002, BeginDateTime:  NULL, BeginDateTimeUTCOffset:  NULL, EndDateTime:  ", EndDateTimeUTCOffset:  ", ActionDescription:  "Action generated by Excel Template for Specimen v.0.1.0-alpha", ActionFileLink:  "}</t>
  </si>
  <si>
    <t xml:space="preserve">  - &amp;ActionID00848 {ActionTypeCV:  "Specimen analysis", MethodObj: *MethodID00002, BeginDateTime:  NULL, BeginDateTimeUTCOffset:  NULL, EndDateTime:  ", EndDateTimeUTCOffset:  ", ActionDescription:  "Action generated by Excel Template for Specimen v.0.1.0-alpha", ActionFileLink:  "}</t>
  </si>
  <si>
    <t xml:space="preserve">  - &amp;ActionID00849 {ActionTypeCV:  "Specimen analysis", MethodObj: *MethodID00002, BeginDateTime:  NULL, BeginDateTimeUTCOffset:  NULL, EndDateTime:  ", EndDateTimeUTCOffset:  ", ActionDescription:  "Action generated by Excel Template for Specimen v.0.1.0-alpha", ActionFileLink:  "}</t>
  </si>
  <si>
    <t xml:space="preserve">  - &amp;ActionID00850 {ActionTypeCV:  "Specimen analysis", MethodObj: *MethodID00002, BeginDateTime:  NULL, BeginDateTimeUTCOffset:  NULL, EndDateTime:  ", EndDateTimeUTCOffset:  ", ActionDescription:  "Action generated by Excel Template for Specimen v.0.1.0-alpha", ActionFileLink:  "}</t>
  </si>
  <si>
    <t xml:space="preserve">  - &amp;ActionID00851 {ActionTypeCV:  "Specimen analysis", MethodObj: *MethodID00002, BeginDateTime:  NULL, BeginDateTimeUTCOffset:  NULL, EndDateTime:  ", EndDateTimeUTCOffset:  ", ActionDescription:  "Action generated by Excel Template for Specimen v.0.1.0-alpha", ActionFileLink:  "}</t>
  </si>
  <si>
    <t xml:space="preserve">  - &amp;ActionID00852 {ActionTypeCV:  "Specimen analysis", MethodObj: *MethodID00002, BeginDateTime:  NULL, BeginDateTimeUTCOffset:  NULL, EndDateTime:  ", EndDateTimeUTCOffset:  ", ActionDescription:  "Action generated by Excel Template for Specimen v.0.1.0-alpha", ActionFileLink:  "}</t>
  </si>
  <si>
    <t xml:space="preserve">  - &amp;ActionID00853 {ActionTypeCV:  "Specimen analysis", MethodObj: *MethodID00002, BeginDateTime:  NULL, BeginDateTimeUTCOffset:  NULL, EndDateTime:  ", EndDateTimeUTCOffset:  ", ActionDescription:  "Action generated by Excel Template for Specimen v.0.1.0-alpha", ActionFileLink:  "}</t>
  </si>
  <si>
    <t xml:space="preserve">  - &amp;ActionID00854 {ActionTypeCV:  "Specimen analysis", MethodObj: *MethodID00002, BeginDateTime:  NULL, BeginDateTimeUTCOffset:  NULL, EndDateTime:  ", EndDateTimeUTCOffset:  ", ActionDescription:  "Action generated by Excel Template for Specimen v.0.1.0-alpha", ActionFileLink:  "}</t>
  </si>
  <si>
    <t xml:space="preserve">  - &amp;ActionID00855 {ActionTypeCV:  "Specimen analysis", MethodObj: *MethodID00002, BeginDateTime:  NULL, BeginDateTimeUTCOffset:  NULL, EndDateTime:  ", EndDateTimeUTCOffset:  ", ActionDescription:  "Action generated by Excel Template for Specimen v.0.1.0-alpha", ActionFileLink:  "}</t>
  </si>
  <si>
    <t xml:space="preserve">  - &amp;ActionID00856 {ActionTypeCV:  "Specimen analysis", MethodObj: *MethodID00002, BeginDateTime:  NULL, BeginDateTimeUTCOffset:  NULL, EndDateTime:  ", EndDateTimeUTCOffset:  ", ActionDescription:  "Action generated by Excel Template for Specimen v.0.1.0-alpha", ActionFileLink:  "}</t>
  </si>
  <si>
    <t xml:space="preserve">  - &amp;ActionID00857 {ActionTypeCV:  "Specimen analysis", MethodObj: *MethodID00002, BeginDateTime:  NULL, BeginDateTimeUTCOffset:  NULL, EndDateTime:  ", EndDateTimeUTCOffset:  ", ActionDescription:  "Action generated by Excel Template for Specimen v.0.1.0-alpha", ActionFileLink:  "}</t>
  </si>
  <si>
    <t xml:space="preserve">  - &amp;ActionID00858 {ActionTypeCV:  "Specimen analysis", MethodObj: *MethodID00002, BeginDateTime:  NULL, BeginDateTimeUTCOffset:  NULL, EndDateTime:  ", EndDateTimeUTCOffset:  ", ActionDescription:  "Action generated by Excel Template for Specimen v.0.1.0-alpha", ActionFileLink:  "}</t>
  </si>
  <si>
    <t xml:space="preserve">  - &amp;ActionID00859 {ActionTypeCV:  "Specimen analysis", MethodObj: *MethodID00002, BeginDateTime:  NULL, BeginDateTimeUTCOffset:  NULL, EndDateTime:  ", EndDateTimeUTCOffset:  ", ActionDescription:  "Action generated by Excel Template for Specimen v.0.1.0-alpha", ActionFileLink:  "}</t>
  </si>
  <si>
    <t xml:space="preserve">  - &amp;ActionID00860 {ActionTypeCV:  "Specimen analysis", MethodObj: *MethodID00002, BeginDateTime:  NULL, BeginDateTimeUTCOffset:  NULL, EndDateTime:  ", EndDateTimeUTCOffset:  ", ActionDescription:  "Action generated by Excel Template for Specimen v.0.1.0-alpha", ActionFileLink:  "}</t>
  </si>
  <si>
    <t xml:space="preserve">  - &amp;ActionID00863 {ActionTypeCV:  "Specimen analysis", MethodObj: *MethodID00002, BeginDateTime:  NULL, BeginDateTimeUTCOffset:  NULL, EndDateTime:  ", EndDateTimeUTCOffset:  ", ActionDescription:  "Action generated by Excel Template for Specimen v.0.1.0-alpha", ActionFileLink:  "}</t>
  </si>
  <si>
    <t xml:space="preserve">  - &amp;ActionID00866 {ActionTypeCV:  "Specimen analysis", MethodObj: *MethodID00002, BeginDateTime:  NULL, BeginDateTimeUTCOffset:  NULL, EndDateTime:  ", EndDateTimeUTCOffset:  ", ActionDescription:  "Action generated by Excel Template for Specimen v.0.1.0-alpha", ActionFileLink:  "}</t>
  </si>
  <si>
    <t xml:space="preserve">  - &amp;ActionID00867 {ActionTypeCV:  "Specimen analysis", MethodObj: *MethodID00002, BeginDateTime:  NULL, BeginDateTimeUTCOffset:  NULL, EndDateTime:  ", EndDateTimeUTCOffset:  ", ActionDescription:  "Action generated by Excel Template for Specimen v.0.1.0-alpha", ActionFileLink:  "}</t>
  </si>
  <si>
    <t xml:space="preserve">  - &amp;ActionID00868 {ActionTypeCV:  "Specimen analysis", MethodObj: *MethodID00002, BeginDateTime:  NULL, BeginDateTimeUTCOffset:  NULL, EndDateTime:  ", EndDateTimeUTCOffset:  ", ActionDescription:  "Action generated by Excel Template for Specimen v.0.1.0-alpha", ActionFileLink:  "}</t>
  </si>
  <si>
    <t xml:space="preserve">  - &amp;ActionID00869 {ActionTypeCV:  "Specimen analysis", MethodObj: *MethodID00002, BeginDateTime:  NULL, BeginDateTimeUTCOffset:  NULL, EndDateTime:  ", EndDateTimeUTCOffset:  ", ActionDescription:  "Action generated by Excel Template for Specimen v.0.1.0-alpha", ActionFileLink:  "}</t>
  </si>
  <si>
    <t xml:space="preserve">  - &amp;ActionID00870 {ActionTypeCV:  "Specimen analysis", MethodObj: *MethodID00002, BeginDateTime:  NULL, BeginDateTimeUTCOffset:  NULL, EndDateTime:  ", EndDateTimeUTCOffset:  ", ActionDescription:  "Action generated by Excel Template for Specimen v.0.1.0-alpha", ActionFileLink:  "}</t>
  </si>
  <si>
    <t xml:space="preserve">  - &amp;ActionID00871 {ActionTypeCV:  "Specimen analysis", MethodObj: *MethodID00002, BeginDateTime:  NULL, BeginDateTimeUTCOffset:  NULL, EndDateTime:  ", EndDateTimeUTCOffset:  ", ActionDescription:  "Action generated by Excel Template for Specimen v.0.1.0-alpha", ActionFileLink:  "}</t>
  </si>
  <si>
    <t xml:space="preserve">  - &amp;ActionID00872 {ActionTypeCV:  "Specimen analysis", MethodObj: *MethodID00002, BeginDateTime:  NULL, BeginDateTimeUTCOffset:  NULL, EndDateTime:  ", EndDateTimeUTCOffset:  ", ActionDescription:  "Action generated by Excel Template for Specimen v.0.1.0-alpha", ActionFileLink:  "}</t>
  </si>
  <si>
    <t xml:space="preserve">  - &amp;ActionID00873 {ActionTypeCV:  "Specimen analysis", MethodObj: *MethodID00002, BeginDateTime:  NULL, BeginDateTimeUTCOffset:  NULL, EndDateTime:  ", EndDateTimeUTCOffset:  ", ActionDescription:  "Action generated by Excel Template for Specimen v.0.1.0-alpha", ActionFileLink:  "}</t>
  </si>
  <si>
    <t xml:space="preserve">  - &amp;ActionID00874 {ActionTypeCV:  "Specimen analysis", MethodObj: *MethodID00002, BeginDateTime:  NULL, BeginDateTimeUTCOffset:  NULL, EndDateTime:  ", EndDateTimeUTCOffset:  ", ActionDescription:  "Action generated by Excel Template for Specimen v.0.1.0-alpha", ActionFileLink:  "}</t>
  </si>
  <si>
    <t xml:space="preserve">  - &amp;ActionID00875 {ActionTypeCV:  "Specimen analysis", MethodObj: *MethodID00002, BeginDateTime:  NULL, BeginDateTimeUTCOffset:  NULL, EndDateTime:  ", EndDateTimeUTCOffset:  ", ActionDescription:  "Action generated by Excel Template for Specimen v.0.1.0-alpha", ActionFileLink:  "}</t>
  </si>
  <si>
    <t xml:space="preserve">  - &amp;ActionID00876 {ActionTypeCV:  "Specimen analysis", MethodObj: *MethodID00002, BeginDateTime:  NULL, BeginDateTimeUTCOffset:  NULL, EndDateTime:  ", EndDateTimeUTCOffset:  ", ActionDescription:  "Action generated by Excel Template for Specimen v.0.1.0-alpha", ActionFileLink:  "}</t>
  </si>
  <si>
    <t xml:space="preserve">  - &amp;ActionID00877 {ActionTypeCV:  "Specimen analysis", MethodObj: *MethodID00002, BeginDateTime:  NULL, BeginDateTimeUTCOffset:  NULL, EndDateTime:  ", EndDateTimeUTCOffset:  ", ActionDescription:  "Action generated by Excel Template for Specimen v.0.1.0-alpha", ActionFileLink:  "}</t>
  </si>
  <si>
    <t xml:space="preserve">  - &amp;ActionID00878 {ActionTypeCV:  "Specimen analysis", MethodObj: *MethodID00002, BeginDateTime:  NULL, BeginDateTimeUTCOffset:  NULL, EndDateTime:  ", EndDateTimeUTCOffset:  ", ActionDescription:  "Action generated by Excel Template for Specimen v.0.1.0-alpha", ActionFileLink:  "}</t>
  </si>
  <si>
    <t xml:space="preserve">  - &amp;ActionID00879 {ActionTypeCV:  "Specimen analysis", MethodObj: *MethodID00002, BeginDateTime:  NULL, BeginDateTimeUTCOffset:  NULL, EndDateTime:  ", EndDateTimeUTCOffset:  ", ActionDescription:  "Action generated by Excel Template for Specimen v.0.1.0-alpha", ActionFileLink:  "}</t>
  </si>
  <si>
    <t xml:space="preserve">  - &amp;ActionID00880 {ActionTypeCV:  "Specimen analysis", MethodObj: *MethodID00002, BeginDateTime:  NULL, BeginDateTimeUTCOffset:  NULL, EndDateTime:  ", EndDateTimeUTCOffset:  ", ActionDescription:  "Action generated by Excel Template for Specimen v.0.1.0-alpha", ActionFileLink:  "}</t>
  </si>
  <si>
    <t xml:space="preserve">  - &amp;ActionID00882 {ActionTypeCV:  "Specimen analysis", MethodObj: *MethodID00002, BeginDateTime:  NULL, BeginDateTimeUTCOffset:  NULL, EndDateTime:  ", EndDateTimeUTCOffset:  ", ActionDescription:  "Action generated by Excel Template for Specimen v.0.1.0-alpha", ActionFileLink:  "}</t>
  </si>
  <si>
    <t xml:space="preserve">  - &amp;ActionID00883 {ActionTypeCV:  "Specimen analysis", MethodObj: *MethodID00002, BeginDateTime:  NULL, BeginDateTimeUTCOffset:  NULL, EndDateTime:  ", EndDateTimeUTCOffset:  ", ActionDescription:  "Action generated by Excel Template for Specimen v.0.1.0-alpha", ActionFileLink:  "}</t>
  </si>
  <si>
    <t xml:space="preserve">  - &amp;ActionID00887 {ActionTypeCV:  "Specimen analysis", MethodObj: *MethodID00002, BeginDateTime:  NULL, BeginDateTimeUTCOffset:  NULL, EndDateTime:  ", EndDateTimeUTCOffset:  ", ActionDescription:  "Action generated by Excel Template for Specimen v.0.1.0-alpha", ActionFileLink:  "}</t>
  </si>
  <si>
    <t xml:space="preserve">  - &amp;ActionID00894 {ActionTypeCV:  "Specimen analysis", MethodObj: *MethodID00002, BeginDateTime:  NULL, BeginDateTimeUTCOffset:  NULL, EndDateTime:  ", EndDateTimeUTCOffset:  ", ActionDescription:  "Action generated by Excel Template for Specimen v.0.1.0-alpha", ActionFileLink:  "}</t>
  </si>
  <si>
    <t xml:space="preserve">  - &amp;ActionID00903 {ActionTypeCV:  "Specimen analysis", MethodObj: *MethodID00002, BeginDateTime:  NULL, BeginDateTimeUTCOffset:  NULL, EndDateTime:  ", EndDateTimeUTCOffset:  ", ActionDescription:  "Action generated by Excel Template for Specimen v.0.1.0-alpha", ActionFileLink:  "}</t>
  </si>
  <si>
    <t xml:space="preserve">  - &amp;ActionID00904 {ActionTypeCV:  "Specimen analysis", MethodObj: *MethodID00002, BeginDateTime:  NULL, BeginDateTimeUTCOffset:  NULL, EndDateTime:  ", EndDateTimeUTCOffset:  ", ActionDescription:  "Action generated by Excel Template for Specimen v.0.1.0-alpha", ActionFileLink:  "}</t>
  </si>
  <si>
    <t xml:space="preserve">  - &amp;ActionID00905 {ActionTypeCV:  "Specimen analysis", MethodObj: *MethodID00002, BeginDateTime:  NULL, BeginDateTimeUTCOffset:  NULL, EndDateTime:  ", EndDateTimeUTCOffset:  ", ActionDescription:  "Action generated by Excel Template for Specimen v.0.1.0-alpha", ActionFileLink:  "}</t>
  </si>
  <si>
    <t xml:space="preserve">  - &amp;ActionID00906 {ActionTypeCV:  "Specimen analysis", MethodObj: *MethodID00002, BeginDateTime:  NULL, BeginDateTimeUTCOffset:  NULL, EndDateTime:  ", EndDateTimeUTCOffset:  ", ActionDescription:  "Action generated by Excel Template for Specimen v.0.1.0-alpha", ActionFileLink:  "}</t>
  </si>
  <si>
    <t xml:space="preserve">  - &amp;ActionID00907 {ActionTypeCV:  "Specimen analysis", MethodObj: *MethodID00002, BeginDateTime:  NULL, BeginDateTimeUTCOffset:  NULL, EndDateTime:  ", EndDateTimeUTCOffset:  ", ActionDescription:  "Action generated by Excel Template for Specimen v.0.1.0-alpha", ActionFileLink:  "}</t>
  </si>
  <si>
    <t xml:space="preserve">  - &amp;ActionID00908 {ActionTypeCV:  "Specimen analysis", MethodObj: *MethodID00002, BeginDateTime:  NULL, BeginDateTimeUTCOffset:  NULL, EndDateTime:  ", EndDateTimeUTCOffset:  ", ActionDescription:  "Action generated by Excel Template for Specimen v.0.1.0-alpha", ActionFileLink:  "}</t>
  </si>
  <si>
    <t xml:space="preserve">  - &amp;ActionID00909 {ActionTypeCV:  "Specimen analysis", MethodObj: *MethodID00002, BeginDateTime:  NULL, BeginDateTimeUTCOffset:  NULL, EndDateTime:  ", EndDateTimeUTCOffset:  ", ActionDescription:  "Action generated by Excel Template for Specimen v.0.1.0-alpha", ActionFileLink:  "}</t>
  </si>
  <si>
    <t xml:space="preserve">  - &amp;ActionID00910 {ActionTypeCV:  "Specimen analysis", MethodObj: *MethodID00002, BeginDateTime:  NULL, BeginDateTimeUTCOffset:  NULL, EndDateTime:  ", EndDateTimeUTCOffset:  ", ActionDescription:  "Action generated by Excel Template for Specimen v.0.1.0-alpha", ActionFileLink:  "}</t>
  </si>
  <si>
    <t xml:space="preserve">  - &amp;ActionID00911 {ActionTypeCV:  "Specimen analysis", MethodObj: *MethodID00002, BeginDateTime:  NULL, BeginDateTimeUTCOffset:  NULL, EndDateTime:  ", EndDateTimeUTCOffset:  ", ActionDescription:  "Action generated by Excel Template for Specimen v.0.1.0-alpha", ActionFileLink:  "}</t>
  </si>
  <si>
    <t xml:space="preserve">  - &amp;ActionID00912 {ActionTypeCV:  "Specimen analysis", MethodObj: *MethodID00002, BeginDateTime:  NULL, BeginDateTimeUTCOffset:  NULL, EndDateTime:  ", EndDateTimeUTCOffset:  ", ActionDescription:  "Action generated by Excel Template for Specimen v.0.1.0-alpha", ActionFileLink:  "}</t>
  </si>
  <si>
    <t xml:space="preserve">  - &amp;ActionID00915 {ActionTypeCV:  "Specimen analysis", MethodObj: *MethodID00002, BeginDateTime:  NULL, BeginDateTimeUTCOffset:  NULL, EndDateTime:  ", EndDateTimeUTCOffset:  ", ActionDescription:  "Action generated by Excel Template for Specimen v.0.1.0-alpha", ActionFileLink:  "}</t>
  </si>
  <si>
    <t xml:space="preserve">  - &amp;ActionID00916 {ActionTypeCV:  "Specimen analysis", MethodObj: *MethodID00002, BeginDateTime:  NULL, BeginDateTimeUTCOffset:  NULL, EndDateTime:  ", EndDateTimeUTCOffset:  ", ActionDescription:  "Action generated by Excel Template for Specimen v.0.1.0-alpha", ActionFileLink:  "}</t>
  </si>
  <si>
    <t xml:space="preserve">  - &amp;ActionID00917 {ActionTypeCV:  "Specimen analysis", MethodObj: *MethodID00002, BeginDateTime:  NULL, BeginDateTimeUTCOffset:  NULL, EndDateTime:  ", EndDateTimeUTCOffset:  ", ActionDescription:  "Action generated by Excel Template for Specimen v.0.1.0-alpha", ActionFileLink:  "}</t>
  </si>
  <si>
    <t xml:space="preserve">  - &amp;ActionID00918 {ActionTypeCV:  "Specimen analysis", MethodObj: *MethodID00002, BeginDateTime:  NULL, BeginDateTimeUTCOffset:  NULL, EndDateTime:  ", EndDateTimeUTCOffset:  ", ActionDescription:  "Action generated by Excel Template for Specimen v.0.1.0-alpha", ActionFileLink:  "}</t>
  </si>
  <si>
    <t xml:space="preserve">  - &amp;ActionID00919 {ActionTypeCV:  "Specimen analysis", MethodObj: *MethodID00002, BeginDateTime:  NULL, BeginDateTimeUTCOffset:  NULL, EndDateTime:  ", EndDateTimeUTCOffset:  ", ActionDescription:  "Action generated by Excel Template for Specimen v.0.1.0-alpha", ActionFileLink:  "}</t>
  </si>
  <si>
    <t xml:space="preserve">  - &amp;ActionID00920 {ActionTypeCV:  "Specimen analysis", MethodObj: *MethodID00002, BeginDateTime:  NULL, BeginDateTimeUTCOffset:  NULL, EndDateTime:  ", EndDateTimeUTCOffset:  ", ActionDescription:  "Action generated by Excel Template for Specimen v.0.1.0-alpha", ActionFileLink:  "}</t>
  </si>
  <si>
    <t xml:space="preserve">  - &amp;ActionID00921 {ActionTypeCV:  "Specimen analysis", MethodObj: *MethodID00002, BeginDateTime:  NULL, BeginDateTimeUTCOffset:  NULL, EndDateTime:  ", EndDateTimeUTCOffset:  ", ActionDescription:  "Action generated by Excel Template for Specimen v.0.1.0-alpha", ActionFileLink:  "}</t>
  </si>
  <si>
    <t xml:space="preserve">  - &amp;ActionID00922 {ActionTypeCV:  "Specimen analysis", MethodObj: *MethodID00002, BeginDateTime:  NULL, BeginDateTimeUTCOffset:  NULL, EndDateTime:  ", EndDateTimeUTCOffset:  ", ActionDescription:  "Action generated by Excel Template for Specimen v.0.1.0-alpha", ActionFileLink:  "}</t>
  </si>
  <si>
    <t xml:space="preserve">  - &amp;ActionID00923 {ActionTypeCV:  "Specimen analysis", MethodObj: *MethodID00002, BeginDateTime:  NULL, BeginDateTimeUTCOffset:  NULL, EndDateTime:  ", EndDateTimeUTCOffset:  ", ActionDescription:  "Action generated by Excel Template for Specimen v.0.1.0-alpha", ActionFileLink:  "}</t>
  </si>
  <si>
    <t xml:space="preserve">  - &amp;ActionID00924 {ActionTypeCV:  "Specimen analysis", MethodObj: *MethodID00002, BeginDateTime:  NULL, BeginDateTimeUTCOffset:  NULL, EndDateTime:  ", EndDateTimeUTCOffset:  ", ActionDescription:  "Action generated by Excel Template for Specimen v.0.1.0-alpha", ActionFileLink:  "}</t>
  </si>
  <si>
    <t xml:space="preserve">  - &amp;ActionID00925 {ActionTypeCV:  "Specimen analysis", MethodObj: *MethodID00002, BeginDateTime:  NULL, BeginDateTimeUTCOffset:  NULL, EndDateTime:  ", EndDateTimeUTCOffset:  ", ActionDescription:  "Action generated by Excel Template for Specimen v.0.1.0-alpha", ActionFileLink:  "}</t>
  </si>
  <si>
    <t xml:space="preserve">  - &amp;ActionID00926 {ActionTypeCV:  "Specimen analysis", MethodObj: *MethodID00002, BeginDateTime:  NULL, BeginDateTimeUTCOffset:  NULL, EndDateTime:  ", EndDateTimeUTCOffset:  ", ActionDescription:  "Action generated by Excel Template for Specimen v.0.1.0-alpha", ActionFileLink:  "}</t>
  </si>
  <si>
    <t xml:space="preserve">  - &amp;ActionID00927 {ActionTypeCV:  "Specimen analysis", MethodObj: *MethodID00002, BeginDateTime:  NULL, BeginDateTimeUTCOffset:  NULL, EndDateTime:  ", EndDateTimeUTCOffset:  ", ActionDescription:  "Action generated by Excel Template for Specimen v.0.1.0-alpha", ActionFileLink:  "}</t>
  </si>
  <si>
    <t xml:space="preserve">  - &amp;ActionID00928 {ActionTypeCV:  "Specimen analysis", MethodObj: *MethodID00002, BeginDateTime:  NULL, BeginDateTimeUTCOffset:  NULL, EndDateTime:  ", EndDateTimeUTCOffset:  ", ActionDescription:  "Action generated by Excel Template for Specimen v.0.1.0-alpha", ActionFileLink:  "}</t>
  </si>
  <si>
    <t xml:space="preserve">  - &amp;ActionID00929 {ActionTypeCV:  "Specimen analysis", MethodObj: *MethodID00002, BeginDateTime:  NULL, BeginDateTimeUTCOffset:  NULL, EndDateTime:  ", EndDateTimeUTCOffset:  ", ActionDescription:  "Action generated by Excel Template for Specimen v.0.1.0-alpha", ActionFileLink:  "}</t>
  </si>
  <si>
    <t xml:space="preserve">  - &amp;ActionID00930 {ActionTypeCV:  "Specimen analysis", MethodObj: *MethodID00002, BeginDateTime:  NULL, BeginDateTimeUTCOffset:  NULL, EndDateTime:  ", EndDateTimeUTCOffset:  ", ActionDescription:  "Action generated by Excel Template for Specimen v.0.1.0-alpha", ActionFileLink:  "}</t>
  </si>
  <si>
    <t xml:space="preserve">  - &amp;ActionID00931 {ActionTypeCV:  "Specimen analysis", MethodObj: *MethodID00002, BeginDateTime:  NULL, BeginDateTimeUTCOffset:  NULL, EndDateTime:  ", EndDateTimeUTCOffset:  ", ActionDescription:  "Action generated by Excel Template for Specimen v.0.1.0-alpha", ActionFileLink:  "}</t>
  </si>
  <si>
    <t xml:space="preserve">  - &amp;ActionID00932 {ActionTypeCV:  "Specimen analysis", MethodObj: *MethodID00002, BeginDateTime:  NULL, BeginDateTimeUTCOffset:  NULL, EndDateTime:  ", EndDateTimeUTCOffset:  ", ActionDescription:  "Action generated by Excel Template for Specimen v.0.1.0-alpha", ActionFileLink:  "}</t>
  </si>
  <si>
    <t xml:space="preserve">  - &amp;ActionID00933 {ActionTypeCV:  "Specimen analysis", MethodObj: *MethodID00002, BeginDateTime:  NULL, BeginDateTimeUTCOffset:  NULL, EndDateTime:  ", EndDateTimeUTCOffset:  ", ActionDescription:  "Action generated by Excel Template for Specimen v.0.1.0-alpha", ActionFileLink:  "}</t>
  </si>
  <si>
    <t xml:space="preserve">  - &amp;ActionID00934 {ActionTypeCV:  "Specimen analysis", MethodObj: *MethodID00002, BeginDateTime:  NULL, BeginDateTimeUTCOffset:  NULL, EndDateTime:  ", EndDateTimeUTCOffset:  ", ActionDescription:  "Action generated by Excel Template for Specimen v.0.1.0-alpha", ActionFileLink:  "}</t>
  </si>
  <si>
    <t xml:space="preserve">  - &amp;ActionID00935 {ActionTypeCV:  "Specimen analysis", MethodObj: *MethodID00002, BeginDateTime:  NULL, BeginDateTimeUTCOffset:  NULL, EndDateTime:  ", EndDateTimeUTCOffset:  ", ActionDescription:  "Action generated by Excel Template for Specimen v.0.1.0-alpha", ActionFileLink:  "}</t>
  </si>
  <si>
    <t xml:space="preserve">  - &amp;ActionID00936 {ActionTypeCV:  "Specimen analysis", MethodObj: *MethodID00002, BeginDateTime:  NULL, BeginDateTimeUTCOffset:  NULL, EndDateTime:  ", EndDateTimeUTCOffset:  ", ActionDescription:  "Action generated by Excel Template for Specimen v.0.1.0-alpha", ActionFileLink:  "}</t>
  </si>
  <si>
    <t xml:space="preserve">  - &amp;ActionID00937 {ActionTypeCV:  "Specimen analysis", MethodObj: *MethodID00002, BeginDateTime:  NULL, BeginDateTimeUTCOffset:  NULL, EndDateTime:  ", EndDateTimeUTCOffset:  ", ActionDescription:  "Action generated by Excel Template for Specimen v.0.1.0-alpha", ActionFileLink:  "}</t>
  </si>
  <si>
    <t xml:space="preserve">  - &amp;ActionID00938 {ActionTypeCV:  "Specimen analysis", MethodObj: *MethodID00002, BeginDateTime:  NULL, BeginDateTimeUTCOffset:  NULL, EndDateTime:  ", EndDateTimeUTCOffset:  ", ActionDescription:  "Action generated by Excel Template for Specimen v.0.1.0-alpha", ActionFileLink:  "}</t>
  </si>
  <si>
    <t xml:space="preserve">  - &amp;ActionID00939 {ActionTypeCV:  "Specimen analysis", MethodObj: *MethodID00002, BeginDateTime:  NULL, BeginDateTimeUTCOffset:  NULL, EndDateTime:  ", EndDateTimeUTCOffset:  ", ActionDescription:  "Action generated by Excel Template for Specimen v.0.1.0-alpha", ActionFileLink:  "}</t>
  </si>
  <si>
    <t xml:space="preserve">  - &amp;ActionID00940 {ActionTypeCV:  "Specimen analysis", MethodObj: *MethodID00002, BeginDateTime:  NULL, BeginDateTimeUTCOffset:  NULL, EndDateTime:  ", EndDateTimeUTCOffset:  ", ActionDescription:  "Action generated by Excel Template for Specimen v.0.1.0-alpha", ActionFileLink:  "}</t>
  </si>
  <si>
    <t xml:space="preserve">  - &amp;ActionID00941 {ActionTypeCV:  "Specimen analysis", MethodObj: *MethodID00002, BeginDateTime:  NULL, BeginDateTimeUTCOffset:  NULL, EndDateTime:  ", EndDateTimeUTCOffset:  ", ActionDescription:  "Action generated by Excel Template for Specimen v.0.1.0-alpha", ActionFileLink:  "}</t>
  </si>
  <si>
    <t xml:space="preserve">  - &amp;ActionID00942 {ActionTypeCV:  "Specimen analysis", MethodObj: *MethodID00002, BeginDateTime:  NULL, BeginDateTimeUTCOffset:  NULL, EndDateTime:  ", EndDateTimeUTCOffset:  ", ActionDescription:  "Action generated by Excel Template for Specimen v.0.1.0-alpha", ActionFileLink:  "}</t>
  </si>
  <si>
    <t xml:space="preserve">  - &amp;ActionID00943 {ActionTypeCV:  "Specimen analysis", MethodObj: *MethodID00002, BeginDateTime:  NULL, BeginDateTimeUTCOffset:  NULL, EndDateTime:  ", EndDateTimeUTCOffset:  ", ActionDescription:  "Action generated by Excel Template for Specimen v.0.1.0-alpha", ActionFileLink:  "}</t>
  </si>
  <si>
    <t xml:space="preserve">  - &amp;ActionID00944 {ActionTypeCV:  "Specimen analysis", MethodObj: *MethodID00002, BeginDateTime:  NULL, BeginDateTimeUTCOffset:  NULL, EndDateTime:  ", EndDateTimeUTCOffset:  ", ActionDescription:  "Action generated by Excel Template for Specimen v.0.1.0-alpha", ActionFileLink:  "}</t>
  </si>
  <si>
    <t xml:space="preserve">  - &amp;ActionID00945 {ActionTypeCV:  "Specimen analysis", MethodObj: *MethodID00002, BeginDateTime:  NULL, BeginDateTimeUTCOffset:  NULL, EndDateTime:  ", EndDateTimeUTCOffset:  ", ActionDescription:  "Action generated by Excel Template for Specimen v.0.1.0-alpha", ActionFileLink:  "}</t>
  </si>
  <si>
    <t xml:space="preserve">  - &amp;ActionID00946 {ActionTypeCV:  "Specimen analysis", MethodObj: *MethodID00002, BeginDateTime:  NULL, BeginDateTimeUTCOffset:  NULL, EndDateTime:  ", EndDateTimeUTCOffset:  ", ActionDescription:  "Action generated by Excel Template for Specimen v.0.1.0-alpha", ActionFileLink:  "}</t>
  </si>
  <si>
    <t xml:space="preserve">  - &amp;ActionID00947 {ActionTypeCV:  "Specimen analysis", MethodObj: *MethodID00002, BeginDateTime:  NULL, BeginDateTimeUTCOffset:  NULL, EndDateTime:  ", EndDateTimeUTCOffset:  ", ActionDescription:  "Action generated by Excel Template for Specimen v.0.1.0-alpha", ActionFileLink:  "}</t>
  </si>
  <si>
    <t xml:space="preserve">  - &amp;ActionID00948 {ActionTypeCV:  "Specimen analysis", MethodObj: *MethodID00002, BeginDateTime:  NULL, BeginDateTimeUTCOffset:  NULL, EndDateTime:  ", EndDateTimeUTCOffset:  ", ActionDescription:  "Action generated by Excel Template for Specimen v.0.1.0-alpha", ActionFileLink:  "}</t>
  </si>
  <si>
    <t xml:space="preserve">  - &amp;ActionID00949 {ActionTypeCV:  "Specimen analysis", MethodObj: *MethodID00002, BeginDateTime:  NULL, BeginDateTimeUTCOffset:  NULL, EndDateTime:  ", EndDateTimeUTCOffset:  ", ActionDescription:  "Action generated by Excel Template for Specimen v.0.1.0-alpha", ActionFileLink:  "}</t>
  </si>
  <si>
    <t xml:space="preserve">  - &amp;ActionID00950 {ActionTypeCV:  "Specimen analysis", MethodObj: *MethodID00002, BeginDateTime:  NULL, BeginDateTimeUTCOffset:  NULL, EndDateTime:  ", EndDateTimeUTCOffset:  ", ActionDescription:  "Action generated by Excel Template for Specimen v.0.1.0-alpha", ActionFileLink:  "}</t>
  </si>
  <si>
    <t xml:space="preserve">  - &amp;ActionID00951 {ActionTypeCV:  "Specimen analysis", MethodObj: *MethodID00002, BeginDateTime:  NULL, BeginDateTimeUTCOffset:  NULL, EndDateTime:  ", EndDateTimeUTCOffset:  ", ActionDescription:  "Action generated by Excel Template for Specimen v.0.1.0-alpha", ActionFileLink:  "}</t>
  </si>
  <si>
    <t xml:space="preserve">  - &amp;ActionID00952 {ActionTypeCV:  "Specimen analysis", MethodObj: *MethodID00002, BeginDateTime:  NULL, BeginDateTimeUTCOffset:  NULL, EndDateTime:  ", EndDateTimeUTCOffset:  ", ActionDescription:  "Action generated by Excel Template for Specimen v.0.1.0-alpha", ActionFileLink:  "}</t>
  </si>
  <si>
    <t xml:space="preserve">  - &amp;ActionID00953 {ActionTypeCV:  "Specimen analysis", MethodObj: *MethodID00002, BeginDateTime:  NULL, BeginDateTimeUTCOffset:  NULL, EndDateTime:  ", EndDateTimeUTCOffset:  ", ActionDescription:  "Action generated by Excel Template for Specimen v.0.1.0-alpha", ActionFileLink:  "}</t>
  </si>
  <si>
    <t xml:space="preserve">  - &amp;ActionID00954 {ActionTypeCV:  "Specimen analysis", MethodObj: *MethodID00002, BeginDateTime:  NULL, BeginDateTimeUTCOffset:  NULL, EndDateTime:  ", EndDateTimeUTCOffset:  ", ActionDescription:  "Action generated by Excel Template for Specimen v.0.1.0-alpha", ActionFileLink:  "}</t>
  </si>
  <si>
    <t xml:space="preserve">  - &amp;ActionID00955 {ActionTypeCV:  "Specimen analysis", MethodObj: *MethodID00002, BeginDateTime:  NULL, BeginDateTimeUTCOffset:  NULL, EndDateTime:  ", EndDateTimeUTCOffset:  ", ActionDescription:  "Action generated by Excel Template for Specimen v.0.1.0-alpha", ActionFileLink:  "}</t>
  </si>
  <si>
    <t xml:space="preserve">  - &amp;ActionID00956 {ActionTypeCV:  "Specimen analysis", MethodObj: *MethodID00002, BeginDateTime:  NULL, BeginDateTimeUTCOffset:  NULL, EndDateTime:  ", EndDateTimeUTCOffset:  ", ActionDescription:  "Action generated by Excel Template for Specimen v.0.1.0-alpha", ActionFileLink:  "}</t>
  </si>
  <si>
    <t xml:space="preserve">  - &amp;ActionID00957 {ActionTypeCV:  "Specimen analysis", MethodObj: *MethodID00002, BeginDateTime:  NULL, BeginDateTimeUTCOffset:  NULL, EndDateTime:  ", EndDateTimeUTCOffset:  ", ActionDescription:  "Action generated by Excel Template for Specimen v.0.1.0-alpha", ActionFileLink:  "}</t>
  </si>
  <si>
    <t xml:space="preserve">  - &amp;ActionID00958 {ActionTypeCV:  "Specimen analysis", MethodObj: *MethodID00002, BeginDateTime:  NULL, BeginDateTimeUTCOffset:  NULL, EndDateTime:  ", EndDateTimeUTCOffset:  ", ActionDescription:  "Action generated by Excel Template for Specimen v.0.1.0-alpha", ActionFileLink:  "}</t>
  </si>
  <si>
    <t xml:space="preserve">  - &amp;ActionID00959 {ActionTypeCV:  "Specimen analysis", MethodObj: *MethodID00002, BeginDateTime:  NULL, BeginDateTimeUTCOffset:  NULL, EndDateTime:  ", EndDateTimeUTCOffset:  ", ActionDescription:  "Action generated by Excel Template for Specimen v.0.1.0-alpha", ActionFileLink:  "}</t>
  </si>
  <si>
    <t xml:space="preserve">  - &amp;ActionID00960 {ActionTypeCV:  "Specimen analysis", MethodObj: *MethodID00002, BeginDateTime:  NULL, BeginDateTimeUTCOffset:  NULL, EndDateTime:  ", EndDateTimeUTCOffset:  ", ActionDescription:  "Action generated by Excel Template for Specimen v.0.1.0-alpha", ActionFileLink:  "}</t>
  </si>
  <si>
    <t xml:space="preserve">  - &amp;ActionID00961 {ActionTypeCV:  "Specimen analysis", MethodObj: *MethodID00002, BeginDateTime:  NULL, BeginDateTimeUTCOffset:  NULL, EndDateTime:  ", EndDateTimeUTCOffset:  ", ActionDescription:  "Action generated by Excel Template for Specimen v.0.1.0-alpha", ActionFileLink:  "}</t>
  </si>
  <si>
    <t xml:space="preserve">  - &amp;ActionID00962 {ActionTypeCV:  "Specimen analysis", MethodObj: *MethodID00002, BeginDateTime:  NULL, BeginDateTimeUTCOffset:  NULL, EndDateTime:  ", EndDateTimeUTCOffset:  ", ActionDescription:  "Action generated by Excel Template for Specimen v.0.1.0-alpha", ActionFileLink:  "}</t>
  </si>
  <si>
    <t xml:space="preserve">  - &amp;ActionID00963 {ActionTypeCV:  "Specimen analysis", MethodObj: *MethodID00002, BeginDateTime:  NULL, BeginDateTimeUTCOffset:  NULL, EndDateTime:  ", EndDateTimeUTCOffset:  ", ActionDescription:  "Action generated by Excel Template for Specimen v.0.1.0-alpha", ActionFileLink:  "}</t>
  </si>
  <si>
    <t xml:space="preserve">  - &amp;ActionID00964 {ActionTypeCV:  "Specimen analysis", MethodObj: *MethodID00002, BeginDateTime:  NULL, BeginDateTimeUTCOffset:  NULL, EndDateTime:  ", EndDateTimeUTCOffset:  ", ActionDescription:  "Action generated by Excel Template for Specimen v.0.1.0-alpha", ActionFileLink:  "}</t>
  </si>
  <si>
    <t xml:space="preserve">  - &amp;ActionID00965 {ActionTypeCV:  "Specimen analysis", MethodObj: *MethodID00002, BeginDateTime:  NULL, BeginDateTimeUTCOffset:  NULL, EndDateTime:  ", EndDateTimeUTCOffset:  ", ActionDescription:  "Action generated by Excel Template for Specimen v.0.1.0-alpha", ActionFileLink:  "}</t>
  </si>
  <si>
    <t xml:space="preserve">  - &amp;ActionID00966 {ActionTypeCV:  "Specimen analysis", MethodObj: *MethodID00002, BeginDateTime:  NULL, BeginDateTimeUTCOffset:  NULL, EndDateTime:  ", EndDateTimeUTCOffset:  ", ActionDescription:  "Action generated by Excel Template for Specimen v.0.1.0-alpha", ActionFileLink:  "}</t>
  </si>
  <si>
    <t xml:space="preserve">  - &amp;ActionID00967 {ActionTypeCV:  "Specimen analysis", MethodObj: *MethodID00002, BeginDateTime:  NULL, BeginDateTimeUTCOffset:  NULL, EndDateTime:  ", EndDateTimeUTCOffset:  ", ActionDescription:  "Action generated by Excel Template for Specimen v.0.1.0-alpha", ActionFileLink:  "}</t>
  </si>
  <si>
    <t xml:space="preserve">  - &amp;ActionID00968 {ActionTypeCV:  "Specimen analysis", MethodObj: *MethodID00002, BeginDateTime:  NULL, BeginDateTimeUTCOffset:  NULL, EndDateTime:  ", EndDateTimeUTCOffset:  ", ActionDescription:  "Action generated by Excel Template for Specimen v.0.1.0-alpha", ActionFileLink:  "}</t>
  </si>
  <si>
    <t xml:space="preserve">  - &amp;ActionID00969 {ActionTypeCV:  "Specimen analysis", MethodObj: *MethodID00002, BeginDateTime:  NULL, BeginDateTimeUTCOffset:  NULL, EndDateTime:  ", EndDateTimeUTCOffset:  ", ActionDescription:  "Action generated by Excel Template for Specimen v.0.1.0-alpha", ActionFileLink:  "}</t>
  </si>
  <si>
    <t xml:space="preserve">  - &amp;ActionID00970 {ActionTypeCV:  "Specimen analysis", MethodObj: *MethodID00002, BeginDateTime:  NULL, BeginDateTimeUTCOffset:  NULL, EndDateTime:  ", EndDateTimeUTCOffset:  ", ActionDescription:  "Action generated by Excel Template for Specimen v.0.1.0-alpha", ActionFileLink:  "}</t>
  </si>
  <si>
    <t xml:space="preserve">  - &amp;ActionID00971 {ActionTypeCV:  "Specimen analysis", MethodObj: *MethodID00002, BeginDateTime:  NULL, BeginDateTimeUTCOffset:  NULL, EndDateTime:  ", EndDateTimeUTCOffset:  ", ActionDescription:  "Action generated by Excel Template for Specimen v.0.1.0-alpha", ActionFileLink:  "}</t>
  </si>
  <si>
    <t xml:space="preserve">  - &amp;ActionID00972 {ActionTypeCV:  "Specimen analysis", MethodObj: *MethodID00002, BeginDateTime:  NULL, BeginDateTimeUTCOffset:  NULL, EndDateTime:  ", EndDateTimeUTCOffset:  ", ActionDescription:  "Action generated by Excel Template for Specimen v.0.1.0-alpha", ActionFileLink:  "}</t>
  </si>
  <si>
    <t xml:space="preserve">  - &amp;ActionID00973 {ActionTypeCV:  "Specimen analysis", MethodObj: *MethodID00002, BeginDateTime:  NULL, BeginDateTimeUTCOffset:  NULL, EndDateTime:  ", EndDateTimeUTCOffset:  ", ActionDescription:  "Action generated by Excel Template for Specimen v.0.1.0-alpha", ActionFileLink:  "}</t>
  </si>
  <si>
    <t xml:space="preserve">  - &amp;ActionID00974 {ActionTypeCV:  "Specimen analysis", MethodObj: *MethodID00002, BeginDateTime:  NULL, BeginDateTimeUTCOffset:  NULL, EndDateTime:  ", EndDateTimeUTCOffset:  ", ActionDescription:  "Action generated by Excel Template for Specimen v.0.1.0-alpha", ActionFileLink:  "}</t>
  </si>
  <si>
    <t xml:space="preserve">  - &amp;ActionID00975 {ActionTypeCV:  "Specimen analysis", MethodObj: *MethodID00002, BeginDateTime:  NULL, BeginDateTimeUTCOffset:  NULL, EndDateTime:  ", EndDateTimeUTCOffset:  ", ActionDescription:  "Action generated by Excel Template for Specimen v.0.1.0-alpha", ActionFileLink:  "}</t>
  </si>
  <si>
    <t xml:space="preserve">  - &amp;ActionID00976 {ActionTypeCV:  "Specimen analysis", MethodObj: *MethodID00002, BeginDateTime:  NULL, BeginDateTimeUTCOffset:  NULL, EndDateTime:  ", EndDateTimeUTCOffset:  ", ActionDescription:  "Action generated by Excel Template for Specimen v.0.1.0-alpha", ActionFileLink:  "}</t>
  </si>
  <si>
    <t xml:space="preserve">  - &amp;ActionID00977 {ActionTypeCV:  "Specimen analysis", MethodObj: *MethodID00002, BeginDateTime:  NULL, BeginDateTimeUTCOffset:  NULL, EndDateTime:  ", EndDateTimeUTCOffset:  ", ActionDescription:  "Action generated by Excel Template for Specimen v.0.1.0-alpha", ActionFileLink:  "}</t>
  </si>
  <si>
    <t xml:space="preserve">  - &amp;ActionID00978 {ActionTypeCV:  "Specimen analysis", MethodObj: *MethodID00002, BeginDateTime:  NULL, BeginDateTimeUTCOffset:  NULL, EndDateTime:  ", EndDateTimeUTCOffset:  ", ActionDescription:  "Action generated by Excel Template for Specimen v.0.1.0-alpha", ActionFileLink:  "}</t>
  </si>
  <si>
    <t xml:space="preserve">  - &amp;ActionID00979 {ActionTypeCV:  "Specimen analysis", MethodObj: *MethodID00002, BeginDateTime:  NULL, BeginDateTimeUTCOffset:  NULL, EndDateTime:  ", EndDateTimeUTCOffset:  ", ActionDescription:  "Action generated by Excel Template for Specimen v.0.1.0-alpha", ActionFileLink:  "}</t>
  </si>
  <si>
    <t xml:space="preserve">  - &amp;ActionID00980 {ActionTypeCV:  "Specimen analysis", MethodObj: *MethodID00002, BeginDateTime:  NULL, BeginDateTimeUTCOffset:  NULL, EndDateTime:  ", EndDateTimeUTCOffset:  ", ActionDescription:  "Action generated by Excel Template for Specimen v.0.1.0-alpha", ActionFileLink:  "}</t>
  </si>
  <si>
    <t xml:space="preserve">  - &amp;ActionID00981 {ActionTypeCV:  "Specimen analysis", MethodObj: *MethodID00002, BeginDateTime:  NULL, BeginDateTimeUTCOffset:  NULL, EndDateTime:  ", EndDateTimeUTCOffset:  ", ActionDescription:  "Action generated by Excel Template for Specimen v.0.1.0-alpha", ActionFileLink:  "}</t>
  </si>
  <si>
    <t xml:space="preserve">  - &amp;ActionID00982 {ActionTypeCV:  "Specimen analysis", MethodObj: *MethodID00002, BeginDateTime:  NULL, BeginDateTimeUTCOffset:  NULL, EndDateTime:  ", EndDateTimeUTCOffset:  ", ActionDescription:  "Action generated by Excel Template for Specimen v.0.1.0-alpha", ActionFileLink:  "}</t>
  </si>
  <si>
    <t xml:space="preserve">  - &amp;ActionID00983 {ActionTypeCV:  "Specimen analysis", MethodObj: *MethodID00002, BeginDateTime:  NULL, BeginDateTimeUTCOffset:  NULL, EndDateTime:  ", EndDateTimeUTCOffset:  ", ActionDescription:  "Action generated by Excel Template for Specimen v.0.1.0-alpha", ActionFileLink:  "}</t>
  </si>
  <si>
    <t xml:space="preserve">  - &amp;ActionID00984 {ActionTypeCV:  "Specimen analysis", MethodObj: *MethodID00002, BeginDateTime:  NULL, BeginDateTimeUTCOffset:  NULL, EndDateTime:  ", EndDateTimeUTCOffset:  ", ActionDescription:  "Action generated by Excel Template for Specimen v.0.1.0-alpha", ActionFileLink:  "}</t>
  </si>
  <si>
    <t xml:space="preserve">  - &amp;ActionID00985 {ActionTypeCV:  "Specimen analysis", MethodObj: *MethodID00002, BeginDateTime:  NULL, BeginDateTimeUTCOffset:  NULL, EndDateTime:  ", EndDateTimeUTCOffset:  ", ActionDescription:  "Action generated by Excel Template for Specimen v.0.1.0-alpha", ActionFileLink:  "}</t>
  </si>
  <si>
    <t xml:space="preserve">  - &amp;ActionID00986 {ActionTypeCV:  "Specimen analysis", MethodObj: *MethodID00002, BeginDateTime:  NULL, BeginDateTimeUTCOffset:  NULL, EndDateTime:  ", EndDateTimeUTCOffset:  ", ActionDescription:  "Action generated by Excel Template for Specimen v.0.1.0-alpha", ActionFileLink:  "}</t>
  </si>
  <si>
    <t xml:space="preserve">  - &amp;ActionID00987 {ActionTypeCV:  "Specimen analysis", MethodObj: *MethodID00002, BeginDateTime:  NULL, BeginDateTimeUTCOffset:  NULL, EndDateTime:  ", EndDateTimeUTCOffset:  ", ActionDescription:  "Action generated by Excel Template for Specimen v.0.1.0-alpha", ActionFileLink:  "}</t>
  </si>
  <si>
    <t xml:space="preserve">  - &amp;ActionID00988 {ActionTypeCV:  "Specimen analysis", MethodObj: *MethodID00002, BeginDateTime:  NULL, BeginDateTimeUTCOffset:  NULL, EndDateTime:  ", EndDateTimeUTCOffset:  ", ActionDescription:  "Action generated by Excel Template for Specimen v.0.1.0-alpha", ActionFileLink:  "}</t>
  </si>
  <si>
    <t xml:space="preserve">  - &amp;ActionID00989 {ActionTypeCV:  "Specimen analysis", MethodObj: *MethodID00002, BeginDateTime:  NULL, BeginDateTimeUTCOffset:  NULL, EndDateTime:  ", EndDateTimeUTCOffset:  ", ActionDescription:  "Action generated by Excel Template for Specimen v.0.1.0-alpha", ActionFileLink:  "}</t>
  </si>
  <si>
    <t xml:space="preserve">  - &amp;ActionID00990 {ActionTypeCV:  "Specimen analysis", MethodObj: *MethodID00002, BeginDateTime:  NULL, BeginDateTimeUTCOffset:  NULL, EndDateTime:  ", EndDateTimeUTCOffset:  ", ActionDescription:  "Action generated by Excel Template for Specimen v.0.1.0-alpha", ActionFileLink:  "}</t>
  </si>
  <si>
    <t xml:space="preserve">  - &amp;ActionID00991 {ActionTypeCV:  "Specimen analysis", MethodObj: *MethodID00002, BeginDateTime:  NULL, BeginDateTimeUTCOffset:  NULL, EndDateTime:  ", EndDateTimeUTCOffset:  ", ActionDescription:  "Action generated by Excel Template for Specimen v.0.1.0-alpha", ActionFileLink:  "}</t>
  </si>
  <si>
    <t xml:space="preserve">  - &amp;ActionID00992 {ActionTypeCV:  "Specimen analysis", MethodObj: *MethodID00002, BeginDateTime:  NULL, BeginDateTimeUTCOffset:  NULL, EndDateTime:  ", EndDateTimeUTCOffset:  ", ActionDescription:  "Action generated by Excel Template for Specimen v.0.1.0-alpha", ActionFileLink:  "}</t>
  </si>
  <si>
    <t xml:space="preserve">  - &amp;ActionID00993 {ActionTypeCV:  "Specimen analysis", MethodObj: *MethodID00002, BeginDateTime:  NULL, BeginDateTimeUTCOffset:  NULL, EndDateTime:  ", EndDateTimeUTCOffset:  ", ActionDescription:  "Action generated by Excel Template for Specimen v.0.1.0-alpha", ActionFileLink:  "}</t>
  </si>
  <si>
    <t xml:space="preserve">  - &amp;ActionID00996 {ActionTypeCV:  "Specimen analysis", MethodObj: *MethodID00002, BeginDateTime:  NULL, BeginDateTimeUTCOffset:  NULL, EndDateTime:  ", EndDateTimeUTCOffset:  ", ActionDescription:  "Action generated by Excel Template for Specimen v.0.1.0-alpha", ActionFileLink:  "}</t>
  </si>
  <si>
    <t xml:space="preserve">  - &amp;ActionID00997 {ActionTypeCV:  "Specimen analysis", MethodObj: *MethodID00002, BeginDateTime:  NULL, BeginDateTimeUTCOffset:  NULL, EndDateTime:  ", EndDateTimeUTCOffset:  ", ActionDescription:  "Action generated by Excel Template for Specimen v.0.1.0-alpha", ActionFileLink:  "}</t>
  </si>
  <si>
    <t xml:space="preserve">  - &amp;ActionID00998 {ActionTypeCV:  "Specimen analysis", MethodObj: *MethodID00002, BeginDateTime:  NULL, BeginDateTimeUTCOffset:  NULL, EndDateTime:  ", EndDateTimeUTCOffset:  ", ActionDescription:  "Action generated by Excel Template for Specimen v.0.1.0-alpha", ActionFileLink:  "}</t>
  </si>
  <si>
    <t xml:space="preserve">  - &amp;ActionID00999 {ActionTypeCV:  "Specimen analysis", MethodObj: *MethodID00002, BeginDateTime:  NULL, BeginDateTimeUTCOffset:  NULL, EndDateTime:  ", EndDateTimeUTCOffset:  ", ActionDescription:  "Action generated by Excel Template for Specimen v.0.1.0-alpha", ActionFileLink:  "}</t>
  </si>
  <si>
    <t xml:space="preserve">  - &amp;ActionID01000 {ActionTypeCV:  "Specimen analysis", MethodObj: *MethodID00002, BeginDateTime:  NULL, BeginDateTimeUTCOffset:  NULL, EndDateTime:  ", EndDateTimeUTCOffset:  ", ActionDescription:  "Action generated by Excel Template for Specimen v.0.1.0-alpha", ActionFileLink:  "}</t>
  </si>
  <si>
    <t xml:space="preserve">  - &amp;ActionID01001 {ActionTypeCV:  "Specimen analysis", MethodObj: *MethodID00002, BeginDateTime:  NULL, BeginDateTimeUTCOffset:  NULL, EndDateTime:  ", EndDateTimeUTCOffset:  ", ActionDescription:  "Action generated by Excel Template for Specimen v.0.1.0-alpha", ActionFileLink:  "}</t>
  </si>
  <si>
    <t xml:space="preserve">  - &amp;ActionID01002 {ActionTypeCV:  "Specimen analysis", MethodObj: *MethodID00002, BeginDateTime:  NULL, BeginDateTimeUTCOffset:  NULL, EndDateTime:  ", EndDateTimeUTCOffset:  ", ActionDescription:  "Action generated by Excel Template for Specimen v.0.1.0-alpha", ActionFileLink:  "}</t>
  </si>
  <si>
    <t xml:space="preserve">  - &amp;ActionID01003 {ActionTypeCV:  "Specimen analysis", MethodObj: *MethodID00002, BeginDateTime:  NULL, BeginDateTimeUTCOffset:  NULL, EndDateTime:  ", EndDateTimeUTCOffset:  ", ActionDescription:  "Action generated by Excel Template for Specimen v.0.1.0-alpha", ActionFileLink:  "}</t>
  </si>
  <si>
    <t xml:space="preserve">  - &amp;ActionID01004 {ActionTypeCV:  "Specimen analysis", MethodObj: *MethodID00002, BeginDateTime:  NULL, BeginDateTimeUTCOffset:  NULL, EndDateTime:  ", EndDateTimeUTCOffset:  ", ActionDescription:  "Action generated by Excel Template for Specimen v.0.1.0-alpha", ActionFileLink:  "}</t>
  </si>
  <si>
    <t xml:space="preserve">  - &amp;ActionID01005 {ActionTypeCV:  "Specimen analysis", MethodObj: *MethodID00002, BeginDateTime:  NULL, BeginDateTimeUTCOffset:  NULL, EndDateTime:  ", EndDateTimeUTCOffset:  ", ActionDescription:  "Action generated by Excel Template for Specimen v.0.1.0-alpha", ActionFileLink:  "}</t>
  </si>
  <si>
    <t xml:space="preserve">  - &amp;ActionID01006 {ActionTypeCV:  "Specimen analysis", MethodObj: *MethodID00002, BeginDateTime:  NULL, BeginDateTimeUTCOffset:  NULL, EndDateTime:  ", EndDateTimeUTCOffset:  ", ActionDescription:  "Action generated by Excel Template for Specimen v.0.1.0-alpha", ActionFileLink:  "}</t>
  </si>
  <si>
    <t xml:space="preserve">  - &amp;ActionID01007 {ActionTypeCV:  "Specimen analysis", MethodObj: *MethodID00002, BeginDateTime:  NULL, BeginDateTimeUTCOffset:  NULL, EndDateTime:  ", EndDateTimeUTCOffset:  ", ActionDescription:  "Action generated by Excel Template for Specimen v.0.1.0-alpha", ActionFileLink:  "}</t>
  </si>
  <si>
    <t xml:space="preserve">  - &amp;ActionID01008 {ActionTypeCV:  "Specimen analysis", MethodObj: *MethodID00002, BeginDateTime:  NULL, BeginDateTimeUTCOffset:  NULL, EndDateTime:  ", EndDateTimeUTCOffset:  ", ActionDescription:  "Action generated by Excel Template for Specimen v.0.1.0-alpha", ActionFileLink:  "}</t>
  </si>
  <si>
    <t xml:space="preserve">  - &amp;ActionID01009 {ActionTypeCV:  "Specimen analysis", MethodObj: *MethodID00002, BeginDateTime:  NULL, BeginDateTimeUTCOffset:  NULL, EndDateTime:  ", EndDateTimeUTCOffset:  ", ActionDescription:  "Action generated by Excel Template for Specimen v.0.1.0-alpha", ActionFileLink:  "}</t>
  </si>
  <si>
    <t xml:space="preserve">  - &amp;ActionID01010 {ActionTypeCV:  "Specimen analysis", MethodObj: *MethodID00002, BeginDateTime:  NULL, BeginDateTimeUTCOffset:  NULL, EndDateTime:  ", EndDateTimeUTCOffset:  ", ActionDescription:  "Action generated by Excel Template for Specimen v.0.1.0-alpha", ActionFileLink:  "}</t>
  </si>
  <si>
    <t xml:space="preserve">  - &amp;ActionID01011 {ActionTypeCV:  "Specimen analysis", MethodObj: *MethodID00002, BeginDateTime:  NULL, BeginDateTimeUTCOffset:  NULL, EndDateTime:  ", EndDateTimeUTCOffset:  ", ActionDescription:  "Action generated by Excel Template for Specimen v.0.1.0-alpha", ActionFileLink:  "}</t>
  </si>
  <si>
    <t xml:space="preserve">  - &amp;ActionID01012 {ActionTypeCV:  "Specimen analysis", MethodObj: *MethodID00002, BeginDateTime:  NULL, BeginDateTimeUTCOffset:  NULL, EndDateTime:  ", EndDateTimeUTCOffset:  ", ActionDescription:  "Action generated by Excel Template for Specimen v.0.1.0-alpha", ActionFileLink:  "}</t>
  </si>
  <si>
    <t xml:space="preserve">  - &amp;ActionID01013 {ActionTypeCV:  "Specimen analysis", MethodObj: *MethodID00002, BeginDateTime:  NULL, BeginDateTimeUTCOffset:  NULL, EndDateTime:  ", EndDateTimeUTCOffset:  ", ActionDescription:  "Action generated by Excel Template for Specimen v.0.1.0-alpha", ActionFileLink:  "}</t>
  </si>
  <si>
    <t xml:space="preserve">  - &amp;ActionID01014 {ActionTypeCV:  "Specimen analysis", MethodObj: *MethodID00002, BeginDateTime:  NULL, BeginDateTimeUTCOffset:  NULL, EndDateTime:  ", EndDateTimeUTCOffset:  ", ActionDescription:  "Action generated by Excel Template for Specimen v.0.1.0-alpha", ActionFileLink:  "}</t>
  </si>
  <si>
    <t xml:space="preserve">  - &amp;ActionID01015 {ActionTypeCV:  "Specimen analysis", MethodObj: *MethodID00002, BeginDateTime:  NULL, BeginDateTimeUTCOffset:  NULL, EndDateTime:  ", EndDateTimeUTCOffset:  ", ActionDescription:  "Action generated by Excel Template for Specimen v.0.1.0-alpha", ActionFileLink:  "}</t>
  </si>
  <si>
    <t xml:space="preserve">  - &amp;ActionID01016 {ActionTypeCV:  "Specimen analysis", MethodObj: *MethodID00002, BeginDateTime:  NULL, BeginDateTimeUTCOffset:  NULL, EndDateTime:  ", EndDateTimeUTCOffset:  ", ActionDescription:  "Action generated by Excel Template for Specimen v.0.1.0-alpha", ActionFileLink:  "}</t>
  </si>
  <si>
    <t xml:space="preserve">  - &amp;ActionID01017 {ActionTypeCV:  "Specimen analysis", MethodObj: *MethodID00002, BeginDateTime:  NULL, BeginDateTimeUTCOffset:  NULL, EndDateTime:  ", EndDateTimeUTCOffset:  ", ActionDescription:  "Action generated by Excel Template for Specimen v.0.1.0-alpha", ActionFileLink:  "}</t>
  </si>
  <si>
    <t xml:space="preserve">  - &amp;ActionID01018 {ActionTypeCV:  "Specimen analysis", MethodObj: *MethodID00002, BeginDateTime:  NULL, BeginDateTimeUTCOffset:  NULL, EndDateTime:  ", EndDateTimeUTCOffset:  ", ActionDescription:  "Action generated by Excel Template for Specimen v.0.1.0-alpha", ActionFileLink:  "}</t>
  </si>
  <si>
    <t xml:space="preserve">  - &amp;ActionID01019 {ActionTypeCV:  "Specimen analysis", MethodObj: *MethodID00002, BeginDateTime:  NULL, BeginDateTimeUTCOffset:  NULL, EndDateTime:  ", EndDateTimeUTCOffset:  ", ActionDescription:  "Action generated by Excel Template for Specimen v.0.1.0-alpha", ActionFileLink:  "}</t>
  </si>
  <si>
    <t xml:space="preserve">  - &amp;ActionID01020 {ActionTypeCV:  "Specimen analysis", MethodObj: *MethodID00002, BeginDateTime:  NULL, BeginDateTimeUTCOffset:  NULL, EndDateTime:  ", EndDateTimeUTCOffset:  ", ActionDescription:  "Action generated by Excel Template for Specimen v.0.1.0-alpha", ActionFileLink:  "}</t>
  </si>
  <si>
    <t xml:space="preserve">  - &amp;ActionID01021 {ActionTypeCV:  "Specimen analysis", MethodObj: *MethodID00002, BeginDateTime:  NULL, BeginDateTimeUTCOffset:  NULL, EndDateTime:  ", EndDateTimeUTCOffset:  ", ActionDescription:  "Action generated by Excel Template for Specimen v.0.1.0-alpha", ActionFileLink:  "}</t>
  </si>
  <si>
    <t xml:space="preserve">  - &amp;ActionID01022 {ActionTypeCV:  "Specimen analysis", MethodObj: *MethodID00002, BeginDateTime:  NULL, BeginDateTimeUTCOffset:  NULL, EndDateTime:  ", EndDateTimeUTCOffset:  ", ActionDescription:  "Action generated by Excel Template for Specimen v.0.1.0-alpha", ActionFileLink:  "}</t>
  </si>
  <si>
    <t xml:space="preserve">  - &amp;ActionID01023 {ActionTypeCV:  "Specimen analysis", MethodObj: *MethodID00002, BeginDateTime:  NULL, BeginDateTimeUTCOffset:  NULL, EndDateTime:  ", EndDateTimeUTCOffset:  ", ActionDescription:  "Action generated by Excel Template for Specimen v.0.1.0-alpha", ActionFileLink:  "}</t>
  </si>
  <si>
    <t xml:space="preserve">  - &amp;ActionID01024 {ActionTypeCV:  "Specimen analysis", MethodObj: *MethodID00002, BeginDateTime:  NULL, BeginDateTimeUTCOffset:  NULL, EndDateTime:  ", EndDateTimeUTCOffset:  ", ActionDescription:  "Action generated by Excel Template for Specimen v.0.1.0-alpha", ActionFileLink:  "}</t>
  </si>
  <si>
    <t xml:space="preserve">  - &amp;ActionID01025 {ActionTypeCV:  "Specimen analysis", MethodObj: *MethodID00002, BeginDateTime:  NULL, BeginDateTimeUTCOffset:  NULL, EndDateTime:  ", EndDateTimeUTCOffset:  ", ActionDescription:  "Action generated by Excel Template for Specimen v.0.1.0-alpha", ActionFileLink:  "}</t>
  </si>
  <si>
    <t xml:space="preserve">  - &amp;ActionID01026 {ActionTypeCV:  "Specimen analysis", MethodObj: *MethodID00002, BeginDateTime:  NULL, BeginDateTimeUTCOffset:  NULL, EndDateTime:  ", EndDateTimeUTCOffset:  ", ActionDescription:  "Action generated by Excel Template for Specimen v.0.1.0-alpha", ActionFileLink:  "}</t>
  </si>
  <si>
    <t xml:space="preserve">  - &amp;ActionID01027 {ActionTypeCV:  "Specimen analysis", MethodObj: *MethodID00002, BeginDateTime:  NULL, BeginDateTimeUTCOffset:  NULL, EndDateTime:  ", EndDateTimeUTCOffset:  ", ActionDescription:  "Action generated by Excel Template for Specimen v.0.1.0-alpha", ActionFileLink:  "}</t>
  </si>
  <si>
    <t xml:space="preserve">  - &amp;ActionID01028 {ActionTypeCV:  "Specimen analysis", MethodObj: *MethodID00002, BeginDateTime:  NULL, BeginDateTimeUTCOffset:  NULL, EndDateTime:  ", EndDateTimeUTCOffset:  ", ActionDescription:  "Action generated by Excel Template for Specimen v.0.1.0-alpha", ActionFileLink:  "}</t>
  </si>
  <si>
    <t xml:space="preserve">  - &amp;ActionID01029 {ActionTypeCV:  "Specimen analysis", MethodObj: *MethodID00002, BeginDateTime:  NULL, BeginDateTimeUTCOffset:  NULL, EndDateTime:  ", EndDateTimeUTCOffset:  ", ActionDescription:  "Action generated by Excel Template for Specimen v.0.1.0-alpha", ActionFileLink:  "}</t>
  </si>
  <si>
    <t xml:space="preserve">  - &amp;ActionID01030 {ActionTypeCV:  "Specimen analysis", MethodObj: *MethodID00002, BeginDateTime:  NULL, BeginDateTimeUTCOffset:  NULL, EndDateTime:  ", EndDateTimeUTCOffset:  ", ActionDescription:  "Action generated by Excel Template for Specimen v.0.1.0-alpha", ActionFileLink:  "}</t>
  </si>
  <si>
    <t xml:space="preserve">  - &amp;ActionID01031 {ActionTypeCV:  "Specimen analysis", MethodObj: *MethodID00002, BeginDateTime:  NULL, BeginDateTimeUTCOffset:  NULL, EndDateTime:  ", EndDateTimeUTCOffset:  ", ActionDescription:  "Action generated by Excel Template for Specimen v.0.1.0-alpha", ActionFileLink:  "}</t>
  </si>
  <si>
    <t xml:space="preserve">  - &amp;ActionID01032 {ActionTypeCV:  "Specimen analysis", MethodObj: *MethodID00002, BeginDateTime:  NULL, BeginDateTimeUTCOffset:  NULL, EndDateTime:  ", EndDateTimeUTCOffset:  ", ActionDescription:  "Action generated by Excel Template for Specimen v.0.1.0-alpha", ActionFileLink:  "}</t>
  </si>
  <si>
    <t xml:space="preserve">  - &amp;ActionID01033 {ActionTypeCV:  "Specimen analysis", MethodObj: *MethodID00002, BeginDateTime:  NULL, BeginDateTimeUTCOffset:  NULL, EndDateTime:  ", EndDateTimeUTCOffset:  ", ActionDescription:  "Action generated by Excel Template for Specimen v.0.1.0-alpha", ActionFileLink:  "}</t>
  </si>
  <si>
    <t xml:space="preserve">  - &amp;ActionID01035 {ActionTypeCV:  "Specimen analysis", MethodObj: *MethodID00002, BeginDateTime:  NULL, BeginDateTimeUTCOffset:  NULL, EndDateTime:  ", EndDateTimeUTCOffset:  ", ActionDescription:  "Action generated by Excel Template for Specimen v.0.1.0-alpha", ActionFileLink:  "}</t>
  </si>
  <si>
    <t xml:space="preserve">  - &amp;ActionID01036 {ActionTypeCV:  "Specimen analysis", MethodObj: *MethodID00002, BeginDateTime:  NULL, BeginDateTimeUTCOffset:  NULL, EndDateTime:  ", EndDateTimeUTCOffset:  ", ActionDescription:  "Action generated by Excel Template for Specimen v.0.1.0-alpha", ActionFileLink:  "}</t>
  </si>
  <si>
    <t xml:space="preserve">  - &amp;ActionID01037 {ActionTypeCV:  "Specimen analysis", MethodObj: *MethodID00002, BeginDateTime:  NULL, BeginDateTimeUTCOffset:  NULL, EndDateTime:  ", EndDateTimeUTCOffset:  ", ActionDescription:  "Action generated by Excel Template for Specimen v.0.1.0-alpha", ActionFileLink:  "}</t>
  </si>
  <si>
    <t xml:space="preserve">  - &amp;ActionID01038 {ActionTypeCV:  "Specimen analysis", MethodObj: *MethodID00002, BeginDateTime:  NULL, BeginDateTimeUTCOffset:  NULL, EndDateTime:  ", EndDateTimeUTCOffset:  ", ActionDescription:  "Action generated by Excel Template for Specimen v.0.1.0-alpha", ActionFileLink:  "}</t>
  </si>
  <si>
    <t xml:space="preserve">  - &amp;ActionID01039 {ActionTypeCV:  "Specimen analysis", MethodObj: *MethodID00002, BeginDateTime:  NULL, BeginDateTimeUTCOffset:  NULL, EndDateTime:  ", EndDateTimeUTCOffset:  ", ActionDescription:  "Action generated by Excel Template for Specimen v.0.1.0-alpha", ActionFileLink:  "}</t>
  </si>
  <si>
    <t xml:space="preserve">  - &amp;ActionID01040 {ActionTypeCV:  "Specimen analysis", MethodObj: *MethodID00002, BeginDateTime:  NULL, BeginDateTimeUTCOffset:  NULL, EndDateTime:  ", EndDateTimeUTCOffset:  ", ActionDescription:  "Action generated by Excel Template for Specimen v.0.1.0-alpha", ActionFileLink:  "}</t>
  </si>
  <si>
    <t xml:space="preserve">  - &amp;ActionID01041 {ActionTypeCV:  "Specimen analysis", MethodObj: *MethodID00002, BeginDateTime:  NULL, BeginDateTimeUTCOffset:  NULL, EndDateTime:  ", EndDateTimeUTCOffset:  ", ActionDescription:  "Action generated by Excel Template for Specimen v.0.1.0-alpha", ActionFileLink:  "}</t>
  </si>
  <si>
    <t xml:space="preserve">  - &amp;ActionID01042 {ActionTypeCV:  "Specimen analysis", MethodObj: *MethodID00002, BeginDateTime:  NULL, BeginDateTimeUTCOffset:  NULL, EndDateTime:  ", EndDateTimeUTCOffset:  ", ActionDescription:  "Action generated by Excel Template for Specimen v.0.1.0-alpha", ActionFileLink:  "}</t>
  </si>
  <si>
    <t xml:space="preserve">  - &amp;ActionID01043 {ActionTypeCV:  "Specimen analysis", MethodObj: *MethodID00002, BeginDateTime:  NULL, BeginDateTimeUTCOffset:  NULL, EndDateTime:  ", EndDateTimeUTCOffset:  ", ActionDescription:  "Action generated by Excel Template for Specimen v.0.1.0-alpha", ActionFileLink:  "}</t>
  </si>
  <si>
    <t xml:space="preserve">  - &amp;ActionID01044 {ActionTypeCV:  "Specimen analysis", MethodObj: *MethodID00002, BeginDateTime:  NULL, BeginDateTimeUTCOffset:  NULL, EndDateTime:  ", EndDateTimeUTCOffset:  ", ActionDescription:  "Action generated by Excel Template for Specimen v.0.1.0-alpha", ActionFileLink:  "}</t>
  </si>
  <si>
    <t xml:space="preserve">  - &amp;ActionID01045 {ActionTypeCV:  "Specimen analysis", MethodObj: *MethodID00002, BeginDateTime:  NULL, BeginDateTimeUTCOffset:  NULL, EndDateTime:  ", EndDateTimeUTCOffset:  ", ActionDescription:  "Action generated by Excel Template for Specimen v.0.1.0-alpha", ActionFileLink:  "}</t>
  </si>
  <si>
    <t xml:space="preserve">  - &amp;ActionID01046 {ActionTypeCV:  "Specimen analysis", MethodObj: *MethodID00002, BeginDateTime:  NULL, BeginDateTimeUTCOffset:  NULL, EndDateTime:  ", EndDateTimeUTCOffset:  ", ActionDescription:  "Action generated by Excel Template for Specimen v.0.1.0-alpha", ActionFileLink:  "}</t>
  </si>
  <si>
    <t xml:space="preserve">  - &amp;ActionID01047 {ActionTypeCV:  "Specimen analysis", MethodObj: *MethodID00002, BeginDateTime:  NULL, BeginDateTimeUTCOffset:  NULL, EndDateTime:  ", EndDateTimeUTCOffset:  ", ActionDescription:  "Action generated by Excel Template for Specimen v.0.1.0-alpha", ActionFileLink:  "}</t>
  </si>
  <si>
    <t xml:space="preserve">  - &amp;ActionID01048 {ActionTypeCV:  "Specimen analysis", MethodObj: *MethodID00002, BeginDateTime:  NULL, BeginDateTimeUTCOffset:  NULL, EndDateTime:  ", EndDateTimeUTCOffset:  ", ActionDescription:  "Action generated by Excel Template for Specimen v.0.1.0-alpha", ActionFileLink:  "}</t>
  </si>
  <si>
    <t xml:space="preserve">  - &amp;ActionID01049 {ActionTypeCV:  "Specimen analysis", MethodObj: *MethodID00002, BeginDateTime:  NULL, BeginDateTimeUTCOffset:  NULL, EndDateTime:  ", EndDateTimeUTCOffset:  ", ActionDescription:  "Action generated by Excel Template for Specimen v.0.1.0-alpha", ActionFileLink:  "}</t>
  </si>
  <si>
    <t xml:space="preserve">  - &amp;ActionID01050 {ActionTypeCV:  "Specimen analysis", MethodObj: *MethodID00002, BeginDateTime:  NULL, BeginDateTimeUTCOffset:  NULL, EndDateTime:  ", EndDateTimeUTCOffset:  ", ActionDescription:  "Action generated by Excel Template for Specimen v.0.1.0-alpha", ActionFileLink:  "}</t>
  </si>
  <si>
    <t xml:space="preserve">  - &amp;ActionID01051 {ActionTypeCV:  "Specimen analysis", MethodObj: *MethodID00002, BeginDateTime:  NULL, BeginDateTimeUTCOffset:  NULL, EndDateTime:  ", EndDateTimeUTCOffset:  ", ActionDescription:  "Action generated by Excel Template for Specimen v.0.1.0-alpha", ActionFileLink:  "}</t>
  </si>
  <si>
    <t xml:space="preserve">  - &amp;ActionID01052 {ActionTypeCV:  "Specimen analysis", MethodObj: *MethodID00002, BeginDateTime:  NULL, BeginDateTimeUTCOffset:  NULL, EndDateTime:  ", EndDateTimeUTCOffset:  ", ActionDescription:  "Action generated by Excel Template for Specimen v.0.1.0-alpha", ActionFileLink:  "}</t>
  </si>
  <si>
    <t xml:space="preserve">  - &amp;ActionID01053 {ActionTypeCV:  "Specimen analysis", MethodObj: *MethodID00002, BeginDateTime:  NULL, BeginDateTimeUTCOffset:  NULL, EndDateTime:  ", EndDateTimeUTCOffset:  ", ActionDescription:  "Action generated by Excel Template for Specimen v.0.1.0-alpha", ActionFileLink:  "}</t>
  </si>
  <si>
    <t xml:space="preserve">  - &amp;ActionID01054 {ActionTypeCV:  "Specimen analysis", MethodObj: *MethodID00002, BeginDateTime:  NULL, BeginDateTimeUTCOffset:  NULL, EndDateTime:  ", EndDateTimeUTCOffset:  ", ActionDescription:  "Action generated by Excel Template for Specimen v.0.1.0-alpha", ActionFileLink:  "}</t>
  </si>
  <si>
    <t xml:space="preserve">  - &amp;ActionID01055 {ActionTypeCV:  "Specimen analysis", MethodObj: *MethodID00002, BeginDateTime:  NULL, BeginDateTimeUTCOffset:  NULL, EndDateTime:  ", EndDateTimeUTCOffset:  ", ActionDescription:  "Action generated by Excel Template for Specimen v.0.1.0-alpha", ActionFileLink:  "}</t>
  </si>
  <si>
    <t xml:space="preserve">  - &amp;ActionID01058 {ActionTypeCV:  "Specimen analysis", MethodObj: *MethodID00002, BeginDateTime:  NULL, BeginDateTimeUTCOffset:  NULL, EndDateTime:  ", EndDateTimeUTCOffset:  ", ActionDescription:  "Action generated by Excel Template for Specimen v.0.1.0-alpha", ActionFileLink:  "}</t>
  </si>
  <si>
    <t xml:space="preserve">  - &amp;ActionID01059 {ActionTypeCV:  "Specimen analysis", MethodObj: *MethodID00002, BeginDateTime:  NULL, BeginDateTimeUTCOffset:  NULL, EndDateTime:  ", EndDateTimeUTCOffset:  ", ActionDescription:  "Action generated by Excel Template for Specimen v.0.1.0-alpha", ActionFileLink:  "}</t>
  </si>
  <si>
    <t xml:space="preserve">  - &amp;ActionID01060 {ActionTypeCV:  "Specimen analysis", MethodObj: *MethodID00002, BeginDateTime:  NULL, BeginDateTimeUTCOffset:  NULL, EndDateTime:  ", EndDateTimeUTCOffset:  ", ActionDescription:  "Action generated by Excel Template for Specimen v.0.1.0-alpha", ActionFileLink:  "}</t>
  </si>
  <si>
    <t xml:space="preserve">  - &amp;ActionID01061 {ActionTypeCV:  "Specimen analysis", MethodObj: *MethodID00002, BeginDateTime:  NULL, BeginDateTimeUTCOffset:  NULL, EndDateTime:  ", EndDateTimeUTCOffset:  ", ActionDescription:  "Action generated by Excel Template for Specimen v.0.1.0-alpha", ActionFileLink:  "}</t>
  </si>
  <si>
    <t xml:space="preserve">  - &amp;ActionID01062 {ActionTypeCV:  "Specimen analysis", MethodObj: *MethodID00002, BeginDateTime:  NULL, BeginDateTimeUTCOffset:  NULL, EndDateTime:  ", EndDateTimeUTCOffset:  ", ActionDescription:  "Action generated by Excel Template for Specimen v.0.1.0-alpha", ActionFileLink:  "}</t>
  </si>
  <si>
    <t xml:space="preserve">  - &amp;ActionID01063 {ActionTypeCV:  "Specimen analysis", MethodObj: *MethodID00002, BeginDateTime:  NULL, BeginDateTimeUTCOffset:  NULL, EndDateTime:  ", EndDateTimeUTCOffset:  ", ActionDescription:  "Action generated by Excel Template for Specimen v.0.1.0-alpha", ActionFileLink:  "}</t>
  </si>
  <si>
    <t xml:space="preserve">  - &amp;ActionID01064 {ActionTypeCV:  "Specimen analysis", MethodObj: *MethodID00002, BeginDateTime:  NULL, BeginDateTimeUTCOffset:  NULL, EndDateTime:  ", EndDateTimeUTCOffset:  ", ActionDescription:  "Action generated by Excel Template for Specimen v.0.1.0-alpha", ActionFileLink:  "}</t>
  </si>
  <si>
    <t xml:space="preserve">  - &amp;ActionID01065 {ActionTypeCV:  "Specimen analysis", MethodObj: *MethodID00002, BeginDateTime:  NULL, BeginDateTimeUTCOffset:  NULL, EndDateTime:  ", EndDateTimeUTCOffset:  ", ActionDescription:  "Action generated by Excel Template for Specimen v.0.1.0-alpha", ActionFileLink:  "}</t>
  </si>
  <si>
    <t xml:space="preserve">  - &amp;ActionID01066 {ActionTypeCV:  "Specimen analysis", MethodObj: *MethodID00002, BeginDateTime:  NULL, BeginDateTimeUTCOffset:  NULL, EndDateTime:  ", EndDateTimeUTCOffset:  ", ActionDescription:  "Action generated by Excel Template for Specimen v.0.1.0-alpha", ActionFileLink:  "}</t>
  </si>
  <si>
    <t xml:space="preserve">  - &amp;ActionID01067 {ActionTypeCV:  "Specimen analysis", MethodObj: *MethodID00002, BeginDateTime:  NULL, BeginDateTimeUTCOffset:  NULL, EndDateTime:  ", EndDateTimeUTCOffset:  ", ActionDescription:  "Action generated by Excel Template for Specimen v.0.1.0-alpha", ActionFileLink:  "}</t>
  </si>
  <si>
    <t xml:space="preserve">  - &amp;ActionID01068 {ActionTypeCV:  "Specimen analysis", MethodObj: *MethodID00002, BeginDateTime:  NULL, BeginDateTimeUTCOffset:  NULL, EndDateTime:  ", EndDateTimeUTCOffset:  ", ActionDescription:  "Action generated by Excel Template for Specimen v.0.1.0-alpha", ActionFileLink:  "}</t>
  </si>
  <si>
    <t xml:space="preserve">  - &amp;ActionID01069 {ActionTypeCV:  "Specimen analysis", MethodObj: *MethodID00002, BeginDateTime:  NULL, BeginDateTimeUTCOffset:  NULL, EndDateTime:  ", EndDateTimeUTCOffset:  ", ActionDescription:  "Action generated by Excel Template for Specimen v.0.1.0-alpha", ActionFileLink:  "}</t>
  </si>
  <si>
    <t xml:space="preserve">  - &amp;ActionID01070 {ActionTypeCV:  "Specimen analysis", MethodObj: *MethodID00002, BeginDateTime:  NULL, BeginDateTimeUTCOffset:  NULL, EndDateTime:  ", EndDateTimeUTCOffset:  ", ActionDescription:  "Action generated by Excel Template for Specimen v.0.1.0-alpha", ActionFileLink:  "}</t>
  </si>
  <si>
    <t xml:space="preserve">  - &amp;ActionID01071 {ActionTypeCV:  "Specimen analysis", MethodObj: *MethodID00002, BeginDateTime:  NULL, BeginDateTimeUTCOffset:  NULL, EndDateTime:  ", EndDateTimeUTCOffset:  ", ActionDescription:  "Action generated by Excel Template for Specimen v.0.1.0-alpha", ActionFileLink:  "}</t>
  </si>
  <si>
    <t xml:space="preserve">  - &amp;ActionID01072 {ActionTypeCV:  "Specimen analysis", MethodObj: *MethodID00002, BeginDateTime:  NULL, BeginDateTimeUTCOffset:  NULL, EndDateTime:  ", EndDateTimeUTCOffset:  ", ActionDescription:  "Action generated by Excel Template for Specimen v.0.1.0-alpha", ActionFileLink:  "}</t>
  </si>
  <si>
    <t xml:space="preserve">  - &amp;ActionID01073 {ActionTypeCV:  "Specimen analysis", MethodObj: *MethodID00002, BeginDateTime:  NULL, BeginDateTimeUTCOffset:  NULL, EndDateTime:  ", EndDateTimeUTCOffset:  ", ActionDescription:  "Action generated by Excel Template for Specimen v.0.1.0-alpha", ActionFileLink:  "}</t>
  </si>
  <si>
    <t xml:space="preserve">  - &amp;ActionID01074 {ActionTypeCV:  "Specimen analysis", MethodObj: *MethodID00002, BeginDateTime:  NULL, BeginDateTimeUTCOffset:  NULL, EndDateTime:  ", EndDateTimeUTCOffset:  ", ActionDescription:  "Action generated by Excel Template for Specimen v.0.1.0-alpha", ActionFileLink:  "}</t>
  </si>
  <si>
    <t xml:space="preserve">  - &amp;ActionID01075 {ActionTypeCV:  "Specimen analysis", MethodObj: *MethodID00002, BeginDateTime:  NULL, BeginDateTimeUTCOffset:  NULL, EndDateTime:  ", EndDateTimeUTCOffset:  ", ActionDescription:  "Action generated by Excel Template for Specimen v.0.1.0-alpha", ActionFileLink:  "}</t>
  </si>
  <si>
    <t xml:space="preserve">  - &amp;ActionID01076 {ActionTypeCV:  "Specimen analysis", MethodObj: *MethodID00002, BeginDateTime:  NULL, BeginDateTimeUTCOffset:  NULL, EndDateTime:  ", EndDateTimeUTCOffset:  ", ActionDescription:  "Action generated by Excel Template for Specimen v.0.1.0-alpha", ActionFileLink:  "}</t>
  </si>
  <si>
    <t xml:space="preserve">  - &amp;ActionID01077 {ActionTypeCV:  "Specimen analysis", MethodObj: *MethodID00002, BeginDateTime:  NULL, BeginDateTimeUTCOffset:  NULL, EndDateTime:  ", EndDateTimeUTCOffset:  ", ActionDescription:  "Action generated by Excel Template for Specimen v.0.1.0-alpha", ActionFileLink:  "}</t>
  </si>
  <si>
    <t xml:space="preserve">  - &amp;ActionID01078 {ActionTypeCV:  "Specimen analysis", MethodObj: *MethodID00002, BeginDateTime:  NULL, BeginDateTimeUTCOffset:  NULL, EndDateTime:  ", EndDateTimeUTCOffset:  ", ActionDescription:  "Action generated by Excel Template for Specimen v.0.1.0-alpha", ActionFileLink:  "}</t>
  </si>
  <si>
    <t xml:space="preserve">  - &amp;ActionID01079 {ActionTypeCV:  "Specimen analysis", MethodObj: *MethodID00002, BeginDateTime:  NULL, BeginDateTimeUTCOffset:  NULL, EndDateTime:  ", EndDateTimeUTCOffset:  ", ActionDescription:  "Action generated by Excel Template for Specimen v.0.1.0-alpha", ActionFileLink:  "}</t>
  </si>
  <si>
    <t xml:space="preserve">  - &amp;ActionID01080 {ActionTypeCV:  "Specimen analysis", MethodObj: *MethodID00002, BeginDateTime:  NULL, BeginDateTimeUTCOffset:  NULL, EndDateTime:  ", EndDateTimeUTCOffset:  ", ActionDescription:  "Action generated by Excel Template for Specimen v.0.1.0-alpha", ActionFileLink:  "}</t>
  </si>
  <si>
    <t xml:space="preserve">  - &amp;ActionID01081 {ActionTypeCV:  "Specimen analysis", MethodObj: *MethodID00002, BeginDateTime:  NULL, BeginDateTimeUTCOffset:  NULL, EndDateTime:  ", EndDateTimeUTCOffset:  ", ActionDescription:  "Action generated by Excel Template for Specimen v.0.1.0-alpha", ActionFileLink:  "}</t>
  </si>
  <si>
    <t xml:space="preserve">  - &amp;ActionID01082 {ActionTypeCV:  "Specimen analysis", MethodObj: *MethodID00002, BeginDateTime:  NULL, BeginDateTimeUTCOffset:  NULL, EndDateTime:  ", EndDateTimeUTCOffset:  ", ActionDescription:  "Action generated by Excel Template for Specimen v.0.1.0-alpha", ActionFileLink:  "}</t>
  </si>
  <si>
    <t xml:space="preserve">  - &amp;ActionID01083 {ActionTypeCV:  "Specimen analysis", MethodObj: *MethodID00002, BeginDateTime:  NULL, BeginDateTimeUTCOffset:  NULL, EndDateTime:  ", EndDateTimeUTCOffset:  ", ActionDescription:  "Action generated by Excel Template for Specimen v.0.1.0-alpha", ActionFileLink:  "}</t>
  </si>
  <si>
    <t xml:space="preserve">  - &amp;ActionID01084 {ActionTypeCV:  "Specimen analysis", MethodObj: *MethodID00002, BeginDateTime:  NULL, BeginDateTimeUTCOffset:  NULL, EndDateTime:  ", EndDateTimeUTCOffset:  ", ActionDescription:  "Action generated by Excel Template for Specimen v.0.1.0-alpha", ActionFileLink:  "}</t>
  </si>
  <si>
    <t xml:space="preserve">  - &amp;ActionID01085 {ActionTypeCV:  "Specimen analysis", MethodObj: *MethodID00002, BeginDateTime:  NULL, BeginDateTimeUTCOffset:  NULL, EndDateTime:  ", EndDateTimeUTCOffset:  ", ActionDescription:  "Action generated by Excel Template for Specimen v.0.1.0-alpha", ActionFileLink:  "}</t>
  </si>
  <si>
    <t xml:space="preserve">  - &amp;ActionID01086 {ActionTypeCV:  "Specimen analysis", MethodObj: *MethodID00002, BeginDateTime:  NULL, BeginDateTimeUTCOffset:  NULL, EndDateTime:  ", EndDateTimeUTCOffset:  ", ActionDescription:  "Action generated by Excel Template for Specimen v.0.1.0-alpha", ActionFileLink:  "}</t>
  </si>
  <si>
    <t xml:space="preserve">  - &amp;ActionID01087 {ActionTypeCV:  "Specimen analysis", MethodObj: *MethodID00002, BeginDateTime:  NULL, BeginDateTimeUTCOffset:  NULL, EndDateTime:  ", EndDateTimeUTCOffset:  ", ActionDescription:  "Action generated by Excel Template for Specimen v.0.1.0-alpha", ActionFileLink:  "}</t>
  </si>
  <si>
    <t xml:space="preserve">  - &amp;ActionID01088 {ActionTypeCV:  "Specimen analysis", MethodObj: *MethodID00002, BeginDateTime:  NULL, BeginDateTimeUTCOffset:  NULL, EndDateTime:  ", EndDateTimeUTCOffset:  ", ActionDescription:  "Action generated by Excel Template for Specimen v.0.1.0-alpha", ActionFileLink:  "}</t>
  </si>
  <si>
    <t xml:space="preserve">  - &amp;ActionID01089 {ActionTypeCV:  "Specimen analysis", MethodObj: *MethodID00002, BeginDateTime:  NULL, BeginDateTimeUTCOffset:  NULL, EndDateTime:  ", EndDateTimeUTCOffset:  ", ActionDescription:  "Action generated by Excel Template for Specimen v.0.1.0-alpha", ActionFileLink:  "}</t>
  </si>
  <si>
    <t xml:space="preserve">  - &amp;ActionID01090 {ActionTypeCV:  "Specimen analysis", MethodObj: *MethodID00002, BeginDateTime:  NULL, BeginDateTimeUTCOffset:  NULL, EndDateTime:  ", EndDateTimeUTCOffset:  ", ActionDescription:  "Action generated by Excel Template for Specimen v.0.1.0-alpha", ActionFileLink:  "}</t>
  </si>
  <si>
    <t xml:space="preserve">  - &amp;ActionID01091 {ActionTypeCV:  "Specimen analysis", MethodObj: *MethodID00002, BeginDateTime:  NULL, BeginDateTimeUTCOffset:  NULL, EndDateTime:  ", EndDateTimeUTCOffset:  ", ActionDescription:  "Action generated by Excel Template for Specimen v.0.1.0-alpha", ActionFileLink:  "}</t>
  </si>
  <si>
    <t xml:space="preserve">  - &amp;ActionID01092 {ActionTypeCV:  "Specimen analysis", MethodObj: *MethodID00002, BeginDateTime:  NULL, BeginDateTimeUTCOffset:  NULL, EndDateTime:  ", EndDateTimeUTCOffset:  ", ActionDescription:  "Action generated by Excel Template for Specimen v.0.1.0-alpha", ActionFileLink:  "}</t>
  </si>
  <si>
    <t xml:space="preserve">  - &amp;ActionID01093 {ActionTypeCV:  "Specimen analysis", MethodObj: *MethodID00002, BeginDateTime:  NULL, BeginDateTimeUTCOffset:  NULL, EndDateTime:  ", EndDateTimeUTCOffset:  ", ActionDescription:  "Action generated by Excel Template for Specimen v.0.1.0-alpha", ActionFileLink:  "}</t>
  </si>
  <si>
    <t xml:space="preserve">  - &amp;ActionID01094 {ActionTypeCV:  "Specimen analysis", MethodObj: *MethodID00002, BeginDateTime:  NULL, BeginDateTimeUTCOffset:  NULL, EndDateTime:  ", EndDateTimeUTCOffset:  ", ActionDescription:  "Action generated by Excel Template for Specimen v.0.1.0-alpha", ActionFileLink:  "}</t>
  </si>
  <si>
    <t xml:space="preserve">  - &amp;ActionID01095 {ActionTypeCV:  "Specimen analysis", MethodObj: *MethodID00002, BeginDateTime:  NULL, BeginDateTimeUTCOffset:  NULL, EndDateTime:  ", EndDateTimeUTCOffset:  ", ActionDescription:  "Action generated by Excel Template for Specimen v.0.1.0-alpha", ActionFileLink:  "}</t>
  </si>
  <si>
    <t xml:space="preserve">  - &amp;ActionID01096 {ActionTypeCV:  "Specimen analysis", MethodObj: *MethodID00002, BeginDateTime:  NULL, BeginDateTimeUTCOffset:  NULL, EndDateTime:  ", EndDateTimeUTCOffset:  ", ActionDescription:  "Action generated by Excel Template for Specimen v.0.1.0-alpha", ActionFileLink:  "}</t>
  </si>
  <si>
    <t xml:space="preserve">  - &amp;ActionID01097 {ActionTypeCV:  "Specimen analysis", MethodObj: *MethodID00002, BeginDateTime:  NULL, BeginDateTimeUTCOffset:  NULL, EndDateTime:  ", EndDateTimeUTCOffset:  ", ActionDescription:  "Action generated by Excel Template for Specimen v.0.1.0-alpha", ActionFileLink:  "}</t>
  </si>
  <si>
    <t xml:space="preserve">  - &amp;ActionID01098 {ActionTypeCV:  "Specimen analysis", MethodObj: *MethodID00002, BeginDateTime:  NULL, BeginDateTimeUTCOffset:  NULL, EndDateTime:  ", EndDateTimeUTCOffset:  ", ActionDescription:  "Action generated by Excel Template for Specimen v.0.1.0-alpha", ActionFileLink:  "}</t>
  </si>
  <si>
    <t xml:space="preserve">  - &amp;ActionID01099 {ActionTypeCV:  "Specimen analysis", MethodObj: *MethodID00002, BeginDateTime:  NULL, BeginDateTimeUTCOffset:  NULL, EndDateTime:  ", EndDateTimeUTCOffset:  ", ActionDescription:  "Action generated by Excel Template for Specimen v.0.1.0-alpha", ActionFileLink:  "}</t>
  </si>
  <si>
    <t xml:space="preserve">  - &amp;ActionID01100 {ActionTypeCV:  "Specimen analysis", MethodObj: *MethodID00002, BeginDateTime:  NULL, BeginDateTimeUTCOffset:  NULL, EndDateTime:  ", EndDateTimeUTCOffset:  ", ActionDescription:  "Action generated by Excel Template for Specimen v.0.1.0-alpha", ActionFileLink:  "}</t>
  </si>
  <si>
    <t xml:space="preserve">  - &amp;ActionID01101 {ActionTypeCV:  "Specimen analysis", MethodObj: *MethodID00002, BeginDateTime:  NULL, BeginDateTimeUTCOffset:  NULL, EndDateTime:  ", EndDateTimeUTCOffset:  ", ActionDescription:  "Action generated by Excel Template for Specimen v.0.1.0-alpha", ActionFileLink:  "}</t>
  </si>
  <si>
    <t xml:space="preserve">  - &amp;ActionID01102 {ActionTypeCV:  "Specimen analysis", MethodObj: *MethodID00002, BeginDateTime:  NULL, BeginDateTimeUTCOffset:  NULL, EndDateTime:  ", EndDateTimeUTCOffset:  ", ActionDescription:  "Action generated by Excel Template for Specimen v.0.1.0-alpha", ActionFileLink:  "}</t>
  </si>
  <si>
    <t xml:space="preserve">  - &amp;ActionID01103 {ActionTypeCV:  "Specimen analysis", MethodObj: *MethodID00002, BeginDateTime:  NULL, BeginDateTimeUTCOffset:  NULL, EndDateTime:  ", EndDateTimeUTCOffset:  ", ActionDescription:  "Action generated by Excel Template for Specimen v.0.1.0-alpha", ActionFileLink:  "}</t>
  </si>
  <si>
    <t xml:space="preserve">  - &amp;ActionID01104 {ActionTypeCV:  "Specimen analysis", MethodObj: *MethodID00002, BeginDateTime:  NULL, BeginDateTimeUTCOffset:  NULL, EndDateTime:  ", EndDateTimeUTCOffset:  ", ActionDescription:  "Action generated by Excel Template for Specimen v.0.1.0-alpha", ActionFileLink:  "}</t>
  </si>
  <si>
    <t xml:space="preserve">  - &amp;ActionID01105 {ActionTypeCV:  "Specimen analysis", MethodObj: *MethodID00002, BeginDateTime:  NULL, BeginDateTimeUTCOffset:  NULL, EndDateTime:  ", EndDateTimeUTCOffset:  ", ActionDescription:  "Action generated by Excel Template for Specimen v.0.1.0-alpha", ActionFileLink:  "}</t>
  </si>
  <si>
    <t xml:space="preserve">  - &amp;ActionID01106 {ActionTypeCV:  "Specimen analysis", MethodObj: *MethodID00002, BeginDateTime:  NULL, BeginDateTimeUTCOffset:  NULL, EndDateTime:  ", EndDateTimeUTCOffset:  ", ActionDescription:  "Action generated by Excel Template for Specimen v.0.1.0-alpha", ActionFileLink:  "}</t>
  </si>
  <si>
    <t xml:space="preserve">  - &amp;ActionID01107 {ActionTypeCV:  "Specimen analysis", MethodObj: *MethodID00002, BeginDateTime:  NULL, BeginDateTimeUTCOffset:  NULL, EndDateTime:  ", EndDateTimeUTCOffset:  ", ActionDescription:  "Action generated by Excel Template for Specimen v.0.1.0-alpha", ActionFileLink:  "}</t>
  </si>
  <si>
    <t xml:space="preserve">  - &amp;ActionID01108 {ActionTypeCV:  "Specimen analysis", MethodObj: *MethodID00002, BeginDateTime:  NULL, BeginDateTimeUTCOffset:  NULL, EndDateTime:  ", EndDateTimeUTCOffset:  ", ActionDescription:  "Action generated by Excel Template for Specimen v.0.1.0-alpha", ActionFileLink:  "}</t>
  </si>
  <si>
    <t xml:space="preserve">  - &amp;ActionID01109 {ActionTypeCV:  "Specimen analysis", MethodObj: *MethodID00003, BeginDateTime:  NULL, BeginDateTimeUTCOffset:  NULL, EndDateTime:  ", EndDateTimeUTCOffset:  ", ActionDescription:  "Action generated by Excel Template for Specimen v.0.1.0-alpha", ActionFileLink:  "}</t>
  </si>
  <si>
    <t xml:space="preserve">  - &amp;ActionID01112 {ActionTypeCV:  "Specimen analysis", MethodObj: *MethodID00003, BeginDateTime:  NULL, BeginDateTimeUTCOffset:  NULL, EndDateTime:  ", EndDateTimeUTCOffset:  ", ActionDescription:  "Action generated by Excel Template for Specimen v.0.1.0-alpha", ActionFileLink:  "}</t>
  </si>
  <si>
    <t xml:space="preserve">  - &amp;ActionID01115 {ActionTypeCV:  "Specimen analysis", MethodObj: *MethodID00003, BeginDateTime:  NULL, BeginDateTimeUTCOffset:  NULL, EndDateTime:  ", EndDateTimeUTCOffset:  ", ActionDescription:  "Action generated by Excel Template for Specimen v.0.1.0-alpha", ActionFileLink:  "}</t>
  </si>
  <si>
    <t xml:space="preserve">  - &amp;ActionID01116 {ActionTypeCV:  "Specimen analysis", MethodObj: *MethodID00003, BeginDateTime:  NULL, BeginDateTimeUTCOffset:  NULL, EndDateTime:  ", EndDateTimeUTCOffset:  ", ActionDescription:  "Action generated by Excel Template for Specimen v.0.1.0-alpha", ActionFileLink:  "}</t>
  </si>
  <si>
    <t xml:space="preserve">  - &amp;ActionID01117 {ActionTypeCV:  "Specimen analysis", MethodObj: *MethodID00003, BeginDateTime:  NULL, BeginDateTimeUTCOffset:  NULL, EndDateTime:  ", EndDateTimeUTCOffset:  ", ActionDescription:  "Action generated by Excel Template for Specimen v.0.1.0-alpha", ActionFileLink:  "}</t>
  </si>
  <si>
    <t xml:space="preserve">  - &amp;ActionID01118 {ActionTypeCV:  "Specimen analysis", MethodObj: *MethodID00003, BeginDateTime:  NULL, BeginDateTimeUTCOffset:  NULL, EndDateTime:  ", EndDateTimeUTCOffset:  ", ActionDescription:  "Action generated by Excel Template for Specimen v.0.1.0-alpha", ActionFileLink:  "}</t>
  </si>
  <si>
    <t xml:space="preserve">  - &amp;ActionID01119 {ActionTypeCV:  "Specimen analysis", MethodObj: *MethodID00003, BeginDateTime:  NULL, BeginDateTimeUTCOffset:  NULL, EndDateTime:  ", EndDateTimeUTCOffset:  ", ActionDescription:  "Action generated by Excel Template for Specimen v.0.1.0-alpha", ActionFileLink:  "}</t>
  </si>
  <si>
    <t xml:space="preserve">  - &amp;ActionID01120 {ActionTypeCV:  "Specimen analysis", MethodObj: *MethodID00003, BeginDateTime:  NULL, BeginDateTimeUTCOffset:  NULL, EndDateTime:  ", EndDateTimeUTCOffset:  ", ActionDescription:  "Action generated by Excel Template for Specimen v.0.1.0-alpha", ActionFileLink:  "}</t>
  </si>
  <si>
    <t xml:space="preserve">  - &amp;ActionID01121 {ActionTypeCV:  "Specimen analysis", MethodObj: *MethodID00003, BeginDateTime:  NULL, BeginDateTimeUTCOffset:  NULL, EndDateTime:  ", EndDateTimeUTCOffset:  ", ActionDescription:  "Action generated by Excel Template for Specimen v.0.1.0-alpha", ActionFileLink:  "}</t>
  </si>
  <si>
    <t xml:space="preserve">  - &amp;ActionID01122 {ActionTypeCV:  "Specimen analysis", MethodObj: *MethodID00003, BeginDateTime:  NULL, BeginDateTimeUTCOffset:  NULL, EndDateTime:  ", EndDateTimeUTCOffset:  ", ActionDescription:  "Action generated by Excel Template for Specimen v.0.1.0-alpha", ActionFileLink:  "}</t>
  </si>
  <si>
    <t xml:space="preserve">  - &amp;ActionID01123 {ActionTypeCV:  "Specimen analysis", MethodObj: *MethodID00003, BeginDateTime:  NULL, BeginDateTimeUTCOffset:  NULL, EndDateTime:  ", EndDateTimeUTCOffset:  ", ActionDescription:  "Action generated by Excel Template for Specimen v.0.1.0-alpha", ActionFileLink:  "}</t>
  </si>
  <si>
    <t xml:space="preserve">  - &amp;ActionID01124 {ActionTypeCV:  "Specimen analysis", MethodObj: *MethodID00003, BeginDateTime:  NULL, BeginDateTimeUTCOffset:  NULL, EndDateTime:  ", EndDateTimeUTCOffset:  ", ActionDescription:  "Action generated by Excel Template for Specimen v.0.1.0-alpha", ActionFileLink:  "}</t>
  </si>
  <si>
    <t xml:space="preserve">  - &amp;ActionID01125 {ActionTypeCV:  "Specimen analysis", MethodObj: *MethodID00003, BeginDateTime:  NULL, BeginDateTimeUTCOffset:  NULL, EndDateTime:  ", EndDateTimeUTCOffset:  ", ActionDescription:  "Action generated by Excel Template for Specimen v.0.1.0-alpha", ActionFileLink:  "}</t>
  </si>
  <si>
    <t xml:space="preserve">  - &amp;ActionID01140 {ActionTypeCV:  "Specimen analysis", MethodObj: *MethodID00003, BeginDateTime:  NULL, BeginDateTimeUTCOffset:  NULL, EndDateTime:  ", EndDateTimeUTCOffset:  ", ActionDescription:  "Action generated by Excel Template for Specimen v.0.1.0-alpha", ActionFileLink:  "}</t>
  </si>
  <si>
    <t xml:space="preserve">  - &amp;ActionID01146 {ActionTypeCV:  "Specimen analysis", MethodObj: *MethodID00003, BeginDateTime:  NULL, BeginDateTimeUTCOffset:  NULL, EndDateTime:  ", EndDateTimeUTCOffset:  ", ActionDescription:  "Action generated by Excel Template for Specimen v.0.1.0-alpha", ActionFileLink:  "}</t>
  </si>
  <si>
    <t xml:space="preserve">  - &amp;ActionID01147 {ActionTypeCV:  "Specimen analysis", MethodObj: *MethodID00003, BeginDateTime:  NULL, BeginDateTimeUTCOffset:  NULL, EndDateTime:  ", EndDateTimeUTCOffset:  ", ActionDescription:  "Action generated by Excel Template for Specimen v.0.1.0-alpha", ActionFileLink:  "}</t>
  </si>
  <si>
    <t xml:space="preserve">  - &amp;ActionID01148 {ActionTypeCV:  "Specimen analysis", MethodObj: *MethodID00003, BeginDateTime:  NULL, BeginDateTimeUTCOffset:  NULL, EndDateTime:  ", EndDateTimeUTCOffset:  ", ActionDescription:  "Action generated by Excel Template for Specimen v.0.1.0-alpha", ActionFileLink:  "}</t>
  </si>
  <si>
    <t xml:space="preserve">  - &amp;ActionID01149 {ActionTypeCV:  "Specimen analysis", MethodObj: *MethodID00003, BeginDateTime:  NULL, BeginDateTimeUTCOffset:  NULL, EndDateTime:  ", EndDateTimeUTCOffset:  ", ActionDescription:  "Action generated by Excel Template for Specimen v.0.1.0-alpha", ActionFileLink:  "}</t>
  </si>
  <si>
    <t xml:space="preserve">  - &amp;ActionID01150 {ActionTypeCV:  "Specimen analysis", MethodObj: *MethodID00003, BeginDateTime:  NULL, BeginDateTimeUTCOffset:  NULL, EndDateTime:  ", EndDateTimeUTCOffset:  ", ActionDescription:  "Action generated by Excel Template for Specimen v.0.1.0-alpha", ActionFileLink:  "}</t>
  </si>
  <si>
    <t xml:space="preserve">  - &amp;ActionID01151 {ActionTypeCV:  "Specimen analysis", MethodObj: *MethodID00003, BeginDateTime:  NULL, BeginDateTimeUTCOffset:  NULL, EndDateTime:  ", EndDateTimeUTCOffset:  ", ActionDescription:  "Action generated by Excel Template for Specimen v.0.1.0-alpha", ActionFileLink:  "}</t>
  </si>
  <si>
    <t xml:space="preserve">  - &amp;ActionID01152 {ActionTypeCV:  "Specimen analysis", MethodObj: *MethodID00003, BeginDateTime:  NULL, BeginDateTimeUTCOffset:  NULL, EndDateTime:  ", EndDateTimeUTCOffset:  ", ActionDescription:  "Action generated by Excel Template for Specimen v.0.1.0-alpha", ActionFileLink:  "}</t>
  </si>
  <si>
    <t xml:space="preserve">  - &amp;ActionID01153 {ActionTypeCV:  "Specimen analysis", MethodObj: *MethodID00003, BeginDateTime:  NULL, BeginDateTimeUTCOffset:  NULL, EndDateTime:  ", EndDateTimeUTCOffset:  ", ActionDescription:  "Action generated by Excel Template for Specimen v.0.1.0-alpha", ActionFileLink:  "}</t>
  </si>
  <si>
    <t xml:space="preserve">  - &amp;ActionID01154 {ActionTypeCV:  "Specimen analysis", MethodObj: *MethodID00003, BeginDateTime:  NULL, BeginDateTimeUTCOffset:  NULL, EndDateTime:  ", EndDateTimeUTCOffset:  ", ActionDescription:  "Action generated by Excel Template for Specimen v.0.1.0-alpha", ActionFileLink:  "}</t>
  </si>
  <si>
    <t xml:space="preserve">  - &amp;ActionID01155 {ActionTypeCV:  "Specimen analysis", MethodObj: *MethodID00003, BeginDateTime:  NULL, BeginDateTimeUTCOffset:  NULL, EndDateTime:  ", EndDateTimeUTCOffset:  ", ActionDescription:  "Action generated by Excel Template for Specimen v.0.1.0-alpha", ActionFileLink:  "}</t>
  </si>
  <si>
    <t xml:space="preserve">  - &amp;ActionID01156 {ActionTypeCV:  "Specimen analysis", MethodObj: *MethodID00003, BeginDateTime:  NULL, BeginDateTimeUTCOffset:  NULL, EndDateTime:  ", EndDateTimeUTCOffset:  ", ActionDescription:  "Action generated by Excel Template for Specimen v.0.1.0-alpha", ActionFileLink:  "}</t>
  </si>
  <si>
    <t xml:space="preserve">  - &amp;ActionID01157 {ActionTypeCV:  "Specimen analysis", MethodObj: *MethodID00003, BeginDateTime:  NULL, BeginDateTimeUTCOffset:  NULL, EndDateTime:  ", EndDateTimeUTCOffset:  ", ActionDescription:  "Action generated by Excel Template for Specimen v.0.1.0-alpha", ActionFileLink:  "}</t>
  </si>
  <si>
    <t xml:space="preserve">  - &amp;ActionID01159 {ActionTypeCV:  "Specimen analysis", MethodObj: *MethodID00003, BeginDateTime:  NULL, BeginDateTimeUTCOffset:  NULL, EndDateTime:  ", EndDateTimeUTCOffset:  ", ActionDescription:  "Action generated by Excel Template for Specimen v.0.1.0-alpha", ActionFileLink:  "}</t>
  </si>
  <si>
    <t xml:space="preserve">  - &amp;ActionID01160 {ActionTypeCV:  "Specimen analysis", MethodObj: *MethodID00003, BeginDateTime:  NULL, BeginDateTimeUTCOffset:  NULL, EndDateTime:  ", EndDateTimeUTCOffset:  ", ActionDescription:  "Action generated by Excel Template for Specimen v.0.1.0-alpha", ActionFileLink:  "}</t>
  </si>
  <si>
    <t xml:space="preserve">  - &amp;ActionID01164 {ActionTypeCV:  "Specimen analysis", MethodObj: *MethodID00003, BeginDateTime:  NULL, BeginDateTimeUTCOffset:  NULL, EndDateTime:  ", EndDateTimeUTCOffset:  ", ActionDescription:  "Action generated by Excel Template for Specimen v.0.1.0-alpha", ActionFileLink:  "}</t>
  </si>
  <si>
    <t xml:space="preserve">  - &amp;ActionID01171 {ActionTypeCV:  "Specimen analysis", MethodObj: *MethodID00003, BeginDateTime:  NULL, BeginDateTimeUTCOffset:  NULL, EndDateTime:  ", EndDateTimeUTCOffset:  ", ActionDescription:  "Action generated by Excel Template for Specimen v.0.1.0-alpha", ActionFileLink:  "}</t>
  </si>
  <si>
    <t xml:space="preserve">  - &amp;ActionID01180 {ActionTypeCV:  "Specimen analysis", MethodObj: *MethodID00003, BeginDateTime:  NULL, BeginDateTimeUTCOffset:  NULL, EndDateTime:  ", EndDateTimeUTCOffset:  ", ActionDescription:  "Action generated by Excel Template for Specimen v.0.1.0-alpha", ActionFileLink:  "}</t>
  </si>
  <si>
    <t xml:space="preserve">  - &amp;ActionID01181 {ActionTypeCV:  "Specimen analysis", MethodObj: *MethodID00003, BeginDateTime:  NULL, BeginDateTimeUTCOffset:  NULL, EndDateTime:  ", EndDateTimeUTCOffset:  ", ActionDescription:  "Action generated by Excel Template for Specimen v.0.1.0-alpha", ActionFileLink:  "}</t>
  </si>
  <si>
    <t xml:space="preserve">  - &amp;ActionID01182 {ActionTypeCV:  "Specimen analysis", MethodObj: *MethodID00003, BeginDateTime:  NULL, BeginDateTimeUTCOffset:  NULL, EndDateTime:  ", EndDateTimeUTCOffset:  ", ActionDescription:  "Action generated by Excel Template for Specimen v.0.1.0-alpha", ActionFileLink:  "}</t>
  </si>
  <si>
    <t xml:space="preserve">  - &amp;ActionID01183 {ActionTypeCV:  "Specimen analysis", MethodObj: *MethodID00003, BeginDateTime:  NULL, BeginDateTimeUTCOffset:  NULL, EndDateTime:  ", EndDateTimeUTCOffset:  ", ActionDescription:  "Action generated by Excel Template for Specimen v.0.1.0-alpha", ActionFileLink:  "}</t>
  </si>
  <si>
    <t xml:space="preserve">  - &amp;ActionID01184 {ActionTypeCV:  "Specimen analysis", MethodObj: *MethodID00003, BeginDateTime:  NULL, BeginDateTimeUTCOffset:  NULL, EndDateTime:  ", EndDateTimeUTCOffset:  ", ActionDescription:  "Action generated by Excel Template for Specimen v.0.1.0-alpha", ActionFileLink:  "}</t>
  </si>
  <si>
    <t xml:space="preserve">  - &amp;ActionID01185 {ActionTypeCV:  "Specimen analysis", MethodObj: *MethodID00003, BeginDateTime:  NULL, BeginDateTimeUTCOffset:  NULL, EndDateTime:  ", EndDateTimeUTCOffset:  ", ActionDescription:  "Action generated by Excel Template for Specimen v.0.1.0-alpha", ActionFileLink:  "}</t>
  </si>
  <si>
    <t xml:space="preserve">  - &amp;ActionID01186 {ActionTypeCV:  "Specimen analysis", MethodObj: *MethodID00003, BeginDateTime:  NULL, BeginDateTimeUTCOffset:  NULL, EndDateTime:  ", EndDateTimeUTCOffset:  ", ActionDescription:  "Action generated by Excel Template for Specimen v.0.1.0-alpha", ActionFileLink:  "}</t>
  </si>
  <si>
    <t xml:space="preserve">  - &amp;ActionID01187 {ActionTypeCV:  "Specimen analysis", MethodObj: *MethodID00003, BeginDateTime:  NULL, BeginDateTimeUTCOffset:  NULL, EndDateTime:  ", EndDateTimeUTCOffset:  ", ActionDescription:  "Action generated by Excel Template for Specimen v.0.1.0-alpha", ActionFileLink:  "}</t>
  </si>
  <si>
    <t xml:space="preserve">  - &amp;ActionID01188 {ActionTypeCV:  "Specimen analysis", MethodObj: *MethodID00003, BeginDateTime:  NULL, BeginDateTimeUTCOffset:  NULL, EndDateTime:  ", EndDateTimeUTCOffset:  ", ActionDescription:  "Action generated by Excel Template for Specimen v.0.1.0-alpha", ActionFileLink:  "}</t>
  </si>
  <si>
    <t xml:space="preserve">  - &amp;ActionID01189 {ActionTypeCV:  "Specimen analysis", MethodObj: *MethodID00003, BeginDateTime:  NULL, BeginDateTimeUTCOffset:  NULL, EndDateTime:  ", EndDateTimeUTCOffset:  ", ActionDescription:  "Action generated by Excel Template for Specimen v.0.1.0-alpha", ActionFileLink:  "}</t>
  </si>
  <si>
    <t xml:space="preserve">  - &amp;ActionID01192 {ActionTypeCV:  "Specimen analysis", MethodObj: *MethodID00003, BeginDateTime:  NULL, BeginDateTimeUTCOffset:  NULL, EndDateTime:  ", EndDateTimeUTCOffset:  ", ActionDescription:  "Action generated by Excel Template for Specimen v.0.1.0-alpha", ActionFileLink:  "}</t>
  </si>
  <si>
    <t xml:space="preserve">  - &amp;ActionID01194 {ActionTypeCV:  "Specimen analysis", MethodObj: *MethodID00003, BeginDateTime:  NULL, BeginDateTimeUTCOffset:  NULL, EndDateTime:  ", EndDateTimeUTCOffset:  ", ActionDescription:  "Action generated by Excel Template for Specimen v.0.1.0-alpha", ActionFileLink:  "}</t>
  </si>
  <si>
    <t xml:space="preserve">  - &amp;ActionID01195 {ActionTypeCV:  "Specimen analysis", MethodObj: *MethodID00003, BeginDateTime:  NULL, BeginDateTimeUTCOffset:  NULL, EndDateTime:  ", EndDateTimeUTCOffset:  ", ActionDescription:  "Action generated by Excel Template for Specimen v.0.1.0-alpha", ActionFileLink:  "}</t>
  </si>
  <si>
    <t xml:space="preserve">  - &amp;ActionID01196 {ActionTypeCV:  "Specimen analysis", MethodObj: *MethodID00003, BeginDateTime:  NULL, BeginDateTimeUTCOffset:  NULL, EndDateTime:  ", EndDateTimeUTCOffset:  ", ActionDescription:  "Action generated by Excel Template for Specimen v.0.1.0-alpha", ActionFileLink:  "}</t>
  </si>
  <si>
    <t xml:space="preserve">  - &amp;ActionID01197 {ActionTypeCV:  "Specimen analysis", MethodObj: *MethodID00003, BeginDateTime:  NULL, BeginDateTimeUTCOffset:  NULL, EndDateTime:  ", EndDateTimeUTCOffset:  ", ActionDescription:  "Action generated by Excel Template for Specimen v.0.1.0-alpha", ActionFileLink:  "}</t>
  </si>
  <si>
    <t xml:space="preserve">  - &amp;ActionID01198 {ActionTypeCV:  "Specimen analysis", MethodObj: *MethodID00003, BeginDateTime:  NULL, BeginDateTimeUTCOffset:  NULL, EndDateTime:  ", EndDateTimeUTCOffset:  ", ActionDescription:  "Action generated by Excel Template for Specimen v.0.1.0-alpha", ActionFileLink:  "}</t>
  </si>
  <si>
    <t xml:space="preserve">  - &amp;ActionID01199 {ActionTypeCV:  "Specimen analysis", MethodObj: *MethodID00003, BeginDateTime:  NULL, BeginDateTimeUTCOffset:  NULL, EndDateTime:  ", EndDateTimeUTCOffset:  ", ActionDescription:  "Action generated by Excel Template for Specimen v.0.1.0-alpha", ActionFileLink:  "}</t>
  </si>
  <si>
    <t xml:space="preserve">  - &amp;ActionID01200 {ActionTypeCV:  "Specimen analysis", MethodObj: *MethodID00003, BeginDateTime:  NULL, BeginDateTimeUTCOffset:  NULL, EndDateTime:  ", EndDateTimeUTCOffset:  ", ActionDescription:  "Action generated by Excel Template for Specimen v.0.1.0-alpha", ActionFileLink:  "}</t>
  </si>
  <si>
    <t xml:space="preserve">  - &amp;ActionID01201 {ActionTypeCV:  "Specimen analysis", MethodObj: *MethodID00003, BeginDateTime:  NULL, BeginDateTimeUTCOffset:  NULL, EndDateTime:  ", EndDateTimeUTCOffset:  ", ActionDescription:  "Action generated by Excel Template for Specimen v.0.1.0-alpha", ActionFileLink:  "}</t>
  </si>
  <si>
    <t xml:space="preserve">  - &amp;ActionID01202 {ActionTypeCV:  "Specimen analysis", MethodObj: *MethodID00003, BeginDateTime:  NULL, BeginDateTimeUTCOffset:  NULL, EndDateTime:  ", EndDateTimeUTCOffset:  ", ActionDescription:  "Action generated by Excel Template for Specimen v.0.1.0-alpha", ActionFileLink:  "}</t>
  </si>
  <si>
    <t xml:space="preserve">  - &amp;ActionID01203 {ActionTypeCV:  "Specimen analysis", MethodObj: *MethodID00003, BeginDateTime:  NULL, BeginDateTimeUTCOffset:  NULL, EndDateTime:  ", EndDateTimeUTCOffset:  ", ActionDescription:  "Action generated by Excel Template for Specimen v.0.1.0-alpha", ActionFileLink:  "}</t>
  </si>
  <si>
    <t xml:space="preserve">  - &amp;ActionID01204 {ActionTypeCV:  "Specimen analysis", MethodObj: *MethodID00003, BeginDateTime:  NULL, BeginDateTimeUTCOffset:  NULL, EndDateTime:  ", EndDateTimeUTCOffset:  ", ActionDescription:  "Action generated by Excel Template for Specimen v.0.1.0-alpha", ActionFileLink:  "}</t>
  </si>
  <si>
    <t xml:space="preserve">  - &amp;ActionID01205 {ActionTypeCV:  "Specimen analysis", MethodObj: *MethodID00003, BeginDateTime:  NULL, BeginDateTimeUTCOffset:  NULL, EndDateTime:  ", EndDateTimeUTCOffset:  ", ActionDescription:  "Action generated by Excel Template for Specimen v.0.1.0-alpha", ActionFileLink:  "}</t>
  </si>
  <si>
    <t xml:space="preserve">  - &amp;ActionID01206 {ActionTypeCV:  "Specimen analysis", MethodObj: *MethodID00003, BeginDateTime:  NULL, BeginDateTimeUTCOffset:  NULL, EndDateTime:  ", EndDateTimeUTCOffset:  ", ActionDescription:  "Action generated by Excel Template for Specimen v.0.1.0-alpha", ActionFileLink:  "}</t>
  </si>
  <si>
    <t xml:space="preserve">  - &amp;ActionID01207 {ActionTypeCV:  "Specimen analysis", MethodObj: *MethodID00003, BeginDateTime:  NULL, BeginDateTimeUTCOffset:  NULL, EndDateTime:  ", EndDateTimeUTCOffset:  ", ActionDescription:  "Action generated by Excel Template for Specimen v.0.1.0-alpha", ActionFileLink:  "}</t>
  </si>
  <si>
    <t xml:space="preserve">  - &amp;ActionID01208 {ActionTypeCV:  "Specimen analysis", MethodObj: *MethodID00003, BeginDateTime:  NULL, BeginDateTimeUTCOffset:  NULL, EndDateTime:  ", EndDateTimeUTCOffset:  ", ActionDescription:  "Action generated by Excel Template for Specimen v.0.1.0-alpha", ActionFileLink:  "}</t>
  </si>
  <si>
    <t xml:space="preserve">  - &amp;ActionID01209 {ActionTypeCV:  "Specimen analysis", MethodObj: *MethodID00003, BeginDateTime:  NULL, BeginDateTimeUTCOffset:  NULL, EndDateTime:  ", EndDateTimeUTCOffset:  ", ActionDescription:  "Action generated by Excel Template for Specimen v.0.1.0-alpha", ActionFileLink:  "}</t>
  </si>
  <si>
    <t xml:space="preserve">  - &amp;ActionID01210 {ActionTypeCV:  "Specimen analysis", MethodObj: *MethodID00003, BeginDateTime:  NULL, BeginDateTimeUTCOffset:  NULL, EndDateTime:  ", EndDateTimeUTCOffset:  ", ActionDescription:  "Action generated by Excel Template for Specimen v.0.1.0-alpha", ActionFileLink:  "}</t>
  </si>
  <si>
    <t xml:space="preserve">  - &amp;ActionID01211 {ActionTypeCV:  "Specimen analysis", MethodObj: *MethodID00003, BeginDateTime:  NULL, BeginDateTimeUTCOffset:  NULL, EndDateTime:  ", EndDateTimeUTCOffset:  ", ActionDescription:  "Action generated by Excel Template for Specimen v.0.1.0-alpha", ActionFileLink:  "}</t>
  </si>
  <si>
    <t xml:space="preserve">  - &amp;ActionID01212 {ActionTypeCV:  "Specimen analysis", MethodObj: *MethodID00003, BeginDateTime:  NULL, BeginDateTimeUTCOffset:  NULL, EndDateTime:  ", EndDateTimeUTCOffset:  ", ActionDescription:  "Action generated by Excel Template for Specimen v.0.1.0-alpha", ActionFileLink:  "}</t>
  </si>
  <si>
    <t xml:space="preserve">  - &amp;ActionID01213 {ActionTypeCV:  "Specimen analysis", MethodObj: *MethodID00003, BeginDateTime:  NULL, BeginDateTimeUTCOffset:  NULL, EndDateTime:  ", EndDateTimeUTCOffset:  ", ActionDescription:  "Action generated by Excel Template for Specimen v.0.1.0-alpha", ActionFileLink:  "}</t>
  </si>
  <si>
    <t xml:space="preserve">  - &amp;ActionID01214 {ActionTypeCV:  "Specimen analysis", MethodObj: *MethodID00003, BeginDateTime:  NULL, BeginDateTimeUTCOffset:  NULL, EndDateTime:  ", EndDateTimeUTCOffset:  ", ActionDescription:  "Action generated by Excel Template for Specimen v.0.1.0-alpha", ActionFileLink:  "}</t>
  </si>
  <si>
    <t xml:space="preserve">  - &amp;ActionID01215 {ActionTypeCV:  "Specimen analysis", MethodObj: *MethodID00003, BeginDateTime:  NULL, BeginDateTimeUTCOffset:  NULL, EndDateTime:  ", EndDateTimeUTCOffset:  ", ActionDescription:  "Action generated by Excel Template for Specimen v.0.1.0-alpha", ActionFileLink:  "}</t>
  </si>
  <si>
    <t xml:space="preserve">  - &amp;ActionID01216 {ActionTypeCV:  "Specimen analysis", MethodObj: *MethodID00003, BeginDateTime:  NULL, BeginDateTimeUTCOffset:  NULL, EndDateTime:  ", EndDateTimeUTCOffset:  ", ActionDescription:  "Action generated by Excel Template for Specimen v.0.1.0-alpha", ActionFileLink:  "}</t>
  </si>
  <si>
    <t xml:space="preserve">  - &amp;ActionID01217 {ActionTypeCV:  "Specimen analysis", MethodObj: *MethodID00003, BeginDateTime:  NULL, BeginDateTimeUTCOffset:  NULL, EndDateTime:  ", EndDateTimeUTCOffset:  ", ActionDescription:  "Action generated by Excel Template for Specimen v.0.1.0-alpha", ActionFileLink:  "}</t>
  </si>
  <si>
    <t xml:space="preserve">  - &amp;ActionID01218 {ActionTypeCV:  "Specimen analysis", MethodObj: *MethodID00003, BeginDateTime:  NULL, BeginDateTimeUTCOffset:  NULL, EndDateTime:  ", EndDateTimeUTCOffset:  ", ActionDescription:  "Action generated by Excel Template for Specimen v.0.1.0-alpha", ActionFileLink:  "}</t>
  </si>
  <si>
    <t xml:space="preserve">  - &amp;ActionID01219 {ActionTypeCV:  "Specimen analysis", MethodObj: *MethodID00003, BeginDateTime:  NULL, BeginDateTimeUTCOffset:  NULL, EndDateTime:  ", EndDateTimeUTCOffset:  ", ActionDescription:  "Action generated by Excel Template for Specimen v.0.1.0-alpha", ActionFileLink:  "}</t>
  </si>
  <si>
    <t xml:space="preserve">  - &amp;ActionID01220 {ActionTypeCV:  "Specimen analysis", MethodObj: *MethodID00003, BeginDateTime:  NULL, BeginDateTimeUTCOffset:  NULL, EndDateTime:  ", EndDateTimeUTCOffset:  ", ActionDescription:  "Action generated by Excel Template for Specimen v.0.1.0-alpha", ActionFileLink:  "}</t>
  </si>
  <si>
    <t xml:space="preserve">  - &amp;ActionID01221 {ActionTypeCV:  "Specimen analysis", MethodObj: *MethodID00003, BeginDateTime:  NULL, BeginDateTimeUTCOffset:  NULL, EndDateTime:  ", EndDateTimeUTCOffset:  ", ActionDescription:  "Action generated by Excel Template for Specimen v.0.1.0-alpha", ActionFileLink:  "}</t>
  </si>
  <si>
    <t xml:space="preserve">  - &amp;ActionID01222 {ActionTypeCV:  "Specimen analysis", MethodObj: *MethodID00003, BeginDateTime:  NULL, BeginDateTimeUTCOffset:  NULL, EndDateTime:  ", EndDateTimeUTCOffset:  ", ActionDescription:  "Action generated by Excel Template for Specimen v.0.1.0-alpha", ActionFileLink:  "}</t>
  </si>
  <si>
    <t xml:space="preserve">  - &amp;ActionID01223 {ActionTypeCV:  "Specimen analysis", MethodObj: *MethodID00003, BeginDateTime:  NULL, BeginDateTimeUTCOffset:  NULL, EndDateTime:  ", EndDateTimeUTCOffset:  ", ActionDescription:  "Action generated by Excel Template for Specimen v.0.1.0-alpha", ActionFileLink:  "}</t>
  </si>
  <si>
    <t xml:space="preserve">  - &amp;ActionID01224 {ActionTypeCV:  "Specimen analysis", MethodObj: *MethodID00003, BeginDateTime:  NULL, BeginDateTimeUTCOffset:  NULL, EndDateTime:  ", EndDateTimeUTCOffset:  ", ActionDescription:  "Action generated by Excel Template for Specimen v.0.1.0-alpha", ActionFileLink:  "}</t>
  </si>
  <si>
    <t xml:space="preserve">  - &amp;ActionID01225 {ActionTypeCV:  "Specimen analysis", MethodObj: *MethodID00003, BeginDateTime:  NULL, BeginDateTimeUTCOffset:  NULL, EndDateTime:  ", EndDateTimeUTCOffset:  ", ActionDescription:  "Action generated by Excel Template for Specimen v.0.1.0-alpha", ActionFileLink:  "}</t>
  </si>
  <si>
    <t xml:space="preserve">  - &amp;ActionID01226 {ActionTypeCV:  "Specimen analysis", MethodObj: *MethodID00003, BeginDateTime:  NULL, BeginDateTimeUTCOffset:  NULL, EndDateTime:  ", EndDateTimeUTCOffset:  ", ActionDescription:  "Action generated by Excel Template for Specimen v.0.1.0-alpha", ActionFileLink:  "}</t>
  </si>
  <si>
    <t xml:space="preserve">  - &amp;ActionID01229 {ActionTypeCV:  "Specimen analysis", MethodObj: *MethodID00003, BeginDateTime:  NULL, BeginDateTimeUTCOffset:  NULL, EndDateTime:  ", EndDateTimeUTCOffset:  ", ActionDescription:  "Action generated by Excel Template for Specimen v.0.1.0-alpha", ActionFileLink:  "}</t>
  </si>
  <si>
    <t xml:space="preserve">  - &amp;ActionID01230 {ActionTypeCV:  "Specimen analysis", MethodObj: *MethodID00003, BeginDateTime:  NULL, BeginDateTimeUTCOffset:  NULL, EndDateTime:  ", EndDateTimeUTCOffset:  ", ActionDescription:  "Action generated by Excel Template for Specimen v.0.1.0-alpha", ActionFileLink:  "}</t>
  </si>
  <si>
    <t xml:space="preserve">  - &amp;ActionID01231 {ActionTypeCV:  "Specimen analysis", MethodObj: *MethodID00003, BeginDateTime:  NULL, BeginDateTimeUTCOffset:  NULL, EndDateTime:  ", EndDateTimeUTCOffset:  ", ActionDescription:  "Action generated by Excel Template for Specimen v.0.1.0-alpha", ActionFileLink:  "}</t>
  </si>
  <si>
    <t xml:space="preserve">  - &amp;ActionID01235 {ActionTypeCV:  "Specimen analysis", MethodObj: *MethodID00003, BeginDateTime:  NULL, BeginDateTimeUTCOffset:  NULL, EndDateTime:  ", EndDateTimeUTCOffset:  ", ActionDescription:  "Action generated by Excel Template for Specimen v.0.1.0-alpha", ActionFileLink:  "}</t>
  </si>
  <si>
    <t xml:space="preserve">  - &amp;ActionID01236 {ActionTypeCV:  "Specimen analysis", MethodObj: *MethodID00003, BeginDateTime:  NULL, BeginDateTimeUTCOffset:  NULL, EndDateTime:  ", EndDateTimeUTCOffset:  ", ActionDescription:  "Action generated by Excel Template for Specimen v.0.1.0-alpha", ActionFileLink:  "}</t>
  </si>
  <si>
    <t xml:space="preserve">  - &amp;ActionID01237 {ActionTypeCV:  "Specimen analysis", MethodObj: *MethodID00003, BeginDateTime:  NULL, BeginDateTimeUTCOffset:  NULL, EndDateTime:  ", EndDateTimeUTCOffset:  ", ActionDescription:  "Action generated by Excel Template for Specimen v.0.1.0-alpha", ActionFileLink:  "}</t>
  </si>
  <si>
    <t xml:space="preserve">  - &amp;ActionID01238 {ActionTypeCV:  "Specimen analysis", MethodObj: *MethodID00003, BeginDateTime:  NULL, BeginDateTimeUTCOffset:  NULL, EndDateTime:  ", EndDateTimeUTCOffset:  ", ActionDescription:  "Action generated by Excel Template for Specimen v.0.1.0-alpha", ActionFileLink:  "}</t>
  </si>
  <si>
    <t xml:space="preserve">  - &amp;ActionID01239 {ActionTypeCV:  "Specimen analysis", MethodObj: *MethodID00003, BeginDateTime:  NULL, BeginDateTimeUTCOffset:  NULL, EndDateTime:  ", EndDateTimeUTCOffset:  ", ActionDescription:  "Action generated by Excel Template for Specimen v.0.1.0-alpha", ActionFileLink:  "}</t>
  </si>
  <si>
    <t xml:space="preserve">  - &amp;ActionID01240 {ActionTypeCV:  "Specimen analysis", MethodObj: *MethodID00003, BeginDateTime:  NULL, BeginDateTimeUTCOffset:  NULL, EndDateTime:  ", EndDateTimeUTCOffset:  ", ActionDescription:  "Action generated by Excel Template for Specimen v.0.1.0-alpha", ActionFileLink:  "}</t>
  </si>
  <si>
    <t xml:space="preserve">  - &amp;ActionID01243 {ActionTypeCV:  "Specimen analysis", MethodObj: *MethodID00003, BeginDateTime:  NULL, BeginDateTimeUTCOffset:  NULL, EndDateTime:  ", EndDateTimeUTCOffset:  ", ActionDescription:  "Action generated by Excel Template for Specimen v.0.1.0-alpha", ActionFileLink:  "}</t>
  </si>
  <si>
    <t xml:space="preserve">  - &amp;ActionID01244 {ActionTypeCV:  "Specimen analysis", MethodObj: *MethodID00003, BeginDateTime:  NULL, BeginDateTimeUTCOffset:  NULL, EndDateTime:  ", EndDateTimeUTCOffset:  ", ActionDescription:  "Action generated by Excel Template for Specimen v.0.1.0-alpha", ActionFileLink:  "}</t>
  </si>
  <si>
    <t xml:space="preserve">  - &amp;ActionID01245 {ActionTypeCV:  "Specimen analysis", MethodObj: *MethodID00003, BeginDateTime:  NULL, BeginDateTimeUTCOffset:  NULL, EndDateTime:  ", EndDateTimeUTCOffset:  ", ActionDescription:  "Action generated by Excel Template for Specimen v.0.1.0-alpha", ActionFileLink:  "}</t>
  </si>
  <si>
    <t xml:space="preserve">  - &amp;ActionID01246 {ActionTypeCV:  "Specimen analysis", MethodObj: *MethodID00003, BeginDateTime:  NULL, BeginDateTimeUTCOffset:  NULL, EndDateTime:  ", EndDateTimeUTCOffset:  ", ActionDescription:  "Action generated by Excel Template for Specimen v.0.1.0-alpha", ActionFileLink:  "}</t>
  </si>
  <si>
    <t xml:space="preserve">  - &amp;ActionID01247 {ActionTypeCV:  "Specimen analysis", MethodObj: *MethodID00003, BeginDateTime:  NULL, BeginDateTimeUTCOffset:  NULL, EndDateTime:  ", EndDateTimeUTCOffset:  ", ActionDescription:  "Action generated by Excel Template for Specimen v.0.1.0-alpha", ActionFileLink:  "}</t>
  </si>
  <si>
    <t xml:space="preserve">  - &amp;ActionID01248 {ActionTypeCV:  "Specimen analysis", MethodObj: *MethodID00003, BeginDateTime:  NULL, BeginDateTimeUTCOffset:  NULL, EndDateTime:  ", EndDateTimeUTCOffset:  ", ActionDescription:  "Action generated by Excel Template for Specimen v.0.1.0-alpha", ActionFileLink:  "}</t>
  </si>
  <si>
    <t xml:space="preserve">  - &amp;ActionID01249 {ActionTypeCV:  "Specimen analysis", MethodObj: *MethodID00003, BeginDateTime:  NULL, BeginDateTimeUTCOffset:  NULL, EndDateTime:  ", EndDateTimeUTCOffset:  ", ActionDescription:  "Action generated by Excel Template for Specimen v.0.1.0-alpha", ActionFileLink:  "}</t>
  </si>
  <si>
    <t xml:space="preserve">  - &amp;ActionID01250 {ActionTypeCV:  "Specimen analysis", MethodObj: *MethodID00003, BeginDateTime:  NULL, BeginDateTimeUTCOffset:  NULL, EndDateTime:  ", EndDateTimeUTCOffset:  ", ActionDescription:  "Action generated by Excel Template for Specimen v.0.1.0-alpha", ActionFileLink:  "}</t>
  </si>
  <si>
    <t xml:space="preserve">  - &amp;ActionID01251 {ActionTypeCV:  "Specimen analysis", MethodObj: *MethodID00003, BeginDateTime:  NULL, BeginDateTimeUTCOffset:  NULL, EndDateTime:  ", EndDateTimeUTCOffset:  ", ActionDescription:  "Action generated by Excel Template for Specimen v.0.1.0-alpha", ActionFileLink:  "}</t>
  </si>
  <si>
    <t xml:space="preserve">  - &amp;ActionID01252 {ActionTypeCV:  "Specimen analysis", MethodObj: *MethodID00003, BeginDateTime:  NULL, BeginDateTimeUTCOffset:  NULL, EndDateTime:  ", EndDateTimeUTCOffset:  ", ActionDescription:  "Action generated by Excel Template for Specimen v.0.1.0-alpha", ActionFileLink:  "}</t>
  </si>
  <si>
    <t xml:space="preserve">  - &amp;ActionID01253 {ActionTypeCV:  "Specimen analysis", MethodObj: *MethodID00003, BeginDateTime:  NULL, BeginDateTimeUTCOffset:  NULL, EndDateTime:  ", EndDateTimeUTCOffset:  ", ActionDescription:  "Action generated by Excel Template for Specimen v.0.1.0-alpha", ActionFileLink:  "}</t>
  </si>
  <si>
    <t xml:space="preserve">  - &amp;ActionID01254 {ActionTypeCV:  "Specimen analysis", MethodObj: *MethodID00003, BeginDateTime:  NULL, BeginDateTimeUTCOffset:  NULL, EndDateTime:  ", EndDateTimeUTCOffset:  ", ActionDescription:  "Action generated by Excel Template for Specimen v.0.1.0-alpha", ActionFileLink:  "}</t>
  </si>
  <si>
    <t xml:space="preserve">  - &amp;ActionID01255 {ActionTypeCV:  "Specimen analysis", MethodObj: *MethodID00003, BeginDateTime:  NULL, BeginDateTimeUTCOffset:  NULL, EndDateTime:  ", EndDateTimeUTCOffset:  ", ActionDescription:  "Action generated by Excel Template for Specimen v.0.1.0-alpha", ActionFileLink:  "}</t>
  </si>
  <si>
    <t xml:space="preserve">  - &amp;ActionID01256 {ActionTypeCV:  "Specimen analysis", MethodObj: *MethodID00003, BeginDateTime:  NULL, BeginDateTimeUTCOffset:  NULL, EndDateTime:  ", EndDateTimeUTCOffset:  ", ActionDescription:  "Action generated by Excel Template for Specimen v.0.1.0-alpha", ActionFileLink:  "}</t>
  </si>
  <si>
    <t xml:space="preserve">  - &amp;ActionID01257 {ActionTypeCV:  "Specimen analysis", MethodObj: *MethodID00003, BeginDateTime:  NULL, BeginDateTimeUTCOffset:  NULL, EndDateTime:  ", EndDateTimeUTCOffset:  ", ActionDescription:  "Action generated by Excel Template for Specimen v.0.1.0-alpha", ActionFileLink:  "}</t>
  </si>
  <si>
    <t xml:space="preserve">  - &amp;ActionID01258 {ActionTypeCV:  "Specimen analysis", MethodObj: *MethodID00003, BeginDateTime:  NULL, BeginDateTimeUTCOffset:  NULL, EndDateTime:  ", EndDateTimeUTCOffset:  ", ActionDescription:  "Action generated by Excel Template for Specimen v.0.1.0-alpha", ActionFileLink:  "}</t>
  </si>
  <si>
    <t xml:space="preserve">  - &amp;ActionID01260 {ActionTypeCV:  "Specimen analysis", MethodObj: *MethodID00003, BeginDateTime:  NULL, BeginDateTimeUTCOffset:  NULL, EndDateTime:  ", EndDateTimeUTCOffset:  ", ActionDescription:  "Action generated by Excel Template for Specimen v.0.1.0-alpha", ActionFileLink:  "}</t>
  </si>
  <si>
    <t xml:space="preserve">  - &amp;ActionID01261 {ActionTypeCV:  "Specimen analysis", MethodObj: *MethodID00003, BeginDateTime:  NULL, BeginDateTimeUTCOffset:  NULL, EndDateTime:  ", EndDateTimeUTCOffset:  ", ActionDescription:  "Action generated by Excel Template for Specimen v.0.1.0-alpha", ActionFileLink:  "}</t>
  </si>
  <si>
    <t xml:space="preserve">  - &amp;ActionID01262 {ActionTypeCV:  "Specimen analysis", MethodObj: *MethodID00003, BeginDateTime:  NULL, BeginDateTimeUTCOffset:  NULL, EndDateTime:  ", EndDateTimeUTCOffset:  ", ActionDescription:  "Action generated by Excel Template for Specimen v.0.1.0-alpha", ActionFileLink:  "}</t>
  </si>
  <si>
    <t xml:space="preserve">  - &amp;ActionID01264 {ActionTypeCV:  "Specimen analysis", MethodObj: *MethodID00003, BeginDateTime:  NULL, BeginDateTimeUTCOffset:  NULL, EndDateTime:  ", EndDateTimeUTCOffset:  ", ActionDescription:  "Action generated by Excel Template for Specimen v.0.1.0-alpha", ActionFileLink:  "}</t>
  </si>
  <si>
    <t xml:space="preserve">  - &amp;ActionID01265 {ActionTypeCV:  "Specimen analysis", MethodObj: *MethodID00003, BeginDateTime:  NULL, BeginDateTimeUTCOffset:  NULL, EndDateTime:  ", EndDateTimeUTCOffset:  ", ActionDescription:  "Action generated by Excel Template for Specimen v.0.1.0-alpha", ActionFileLink:  "}</t>
  </si>
  <si>
    <t xml:space="preserve">  - &amp;ActionID01266 {ActionTypeCV:  "Specimen analysis", MethodObj: *MethodID00003, BeginDateTime:  NULL, BeginDateTimeUTCOffset:  NULL, EndDateTime:  ", EndDateTimeUTCOffset:  ", ActionDescription:  "Action generated by Excel Template for Specimen v.0.1.0-alpha", ActionFileLink:  "}</t>
  </si>
  <si>
    <t xml:space="preserve">  - &amp;ActionID01268 {ActionTypeCV:  "Specimen analysis", MethodObj: *MethodID00003, BeginDateTime:  NULL, BeginDateTimeUTCOffset:  NULL, EndDateTime:  ", EndDateTimeUTCOffset:  ", ActionDescription:  "Action generated by Excel Template for Specimen v.0.1.0-alpha", ActionFileLink:  "}</t>
  </si>
  <si>
    <t xml:space="preserve">  - &amp;ActionID01269 {ActionTypeCV:  "Specimen analysis", MethodObj: *MethodID00003, BeginDateTime:  NULL, BeginDateTimeUTCOffset:  NULL, EndDateTime:  ", EndDateTimeUTCOffset:  ", ActionDescription:  "Action generated by Excel Template for Specimen v.0.1.0-alpha", ActionFileLink:  "}</t>
  </si>
  <si>
    <t xml:space="preserve">  - &amp;ActionID01270 {ActionTypeCV:  "Specimen analysis", MethodObj: *MethodID00003, BeginDateTime:  NULL, BeginDateTimeUTCOffset:  NULL, EndDateTime:  ", EndDateTimeUTCOffset:  ", ActionDescription:  "Action generated by Excel Template for Specimen v.0.1.0-alpha", ActionFileLink:  "}</t>
  </si>
  <si>
    <t xml:space="preserve">  - &amp;ActionID01273 {ActionTypeCV:  "Specimen analysis", MethodObj: *MethodID00003, BeginDateTime:  NULL, BeginDateTimeUTCOffset:  NULL, EndDateTime:  ", EndDateTimeUTCOffset:  ", ActionDescription:  "Action generated by Excel Template for Specimen v.0.1.0-alpha", ActionFileLink:  "}</t>
  </si>
  <si>
    <t xml:space="preserve">  - &amp;ActionID01274 {ActionTypeCV:  "Specimen analysis", MethodObj: *MethodID00003, BeginDateTime:  NULL, BeginDateTimeUTCOffset:  NULL, EndDateTime:  ", EndDateTimeUTCOffset:  ", ActionDescription:  "Action generated by Excel Template for Specimen v.0.1.0-alpha", ActionFileLink:  "}</t>
  </si>
  <si>
    <t xml:space="preserve">  - &amp;ActionID01275 {ActionTypeCV:  "Specimen analysis", MethodObj: *MethodID00003, BeginDateTime:  NULL, BeginDateTimeUTCOffset:  NULL, EndDateTime:  ", EndDateTimeUTCOffset:  ", ActionDescription:  "Action generated by Excel Template for Specimen v.0.1.0-alpha", ActionFileLink:  "}</t>
  </si>
  <si>
    <t xml:space="preserve">  - &amp;ActionID01276 {ActionTypeCV:  "Specimen analysis", MethodObj: *MethodID00003, BeginDateTime:  NULL, BeginDateTimeUTCOffset:  NULL, EndDateTime:  ", EndDateTimeUTCOffset:  ", ActionDescription:  "Action generated by Excel Template for Specimen v.0.1.0-alpha", ActionFileLink:  "}</t>
  </si>
  <si>
    <t xml:space="preserve">  - &amp;ActionID01277 {ActionTypeCV:  "Specimen analysis", MethodObj: *MethodID00003, BeginDateTime:  NULL, BeginDateTimeUTCOffset:  NULL, EndDateTime:  ", EndDateTimeUTCOffset:  ", ActionDescription:  "Action generated by Excel Template for Specimen v.0.1.0-alpha", ActionFileLink:  "}</t>
  </si>
  <si>
    <t xml:space="preserve">  - &amp;ActionID01278 {ActionTypeCV:  "Specimen analysis", MethodObj: *MethodID00003, BeginDateTime:  NULL, BeginDateTimeUTCOffset:  NULL, EndDateTime:  ", EndDateTimeUTCOffset:  ", ActionDescription:  "Action generated by Excel Template for Specimen v.0.1.0-alpha", ActionFileLink:  "}</t>
  </si>
  <si>
    <t xml:space="preserve">  - &amp;ActionID01279 {ActionTypeCV:  "Specimen analysis", MethodObj: *MethodID00003, BeginDateTime:  NULL, BeginDateTimeUTCOffset:  NULL, EndDateTime:  ", EndDateTimeUTCOffset:  ", ActionDescription:  "Action generated by Excel Template for Specimen v.0.1.0-alpha", ActionFileLink:  "}</t>
  </si>
  <si>
    <t xml:space="preserve">  - &amp;ActionID01280 {ActionTypeCV:  "Specimen analysis", MethodObj: *MethodID00003, BeginDateTime:  NULL, BeginDateTimeUTCOffset:  NULL, EndDateTime:  ", EndDateTimeUTCOffset:  ", ActionDescription:  "Action generated by Excel Template for Specimen v.0.1.0-alpha", ActionFileLink:  "}</t>
  </si>
  <si>
    <t xml:space="preserve">  - &amp;ActionID01281 {ActionTypeCV:  "Specimen analysis", MethodObj: *MethodID00003, BeginDateTime:  NULL, BeginDateTimeUTCOffset:  NULL, EndDateTime:  ", EndDateTimeUTCOffset:  ", ActionDescription:  "Action generated by Excel Template for Specimen v.0.1.0-alpha", ActionFileLink:  "}</t>
  </si>
  <si>
    <t xml:space="preserve">  - &amp;ActionID01282 {ActionTypeCV:  "Specimen analysis", MethodObj: *MethodID00003, BeginDateTime:  NULL, BeginDateTimeUTCOffset:  NULL, EndDateTime:  ", EndDateTimeUTCOffset:  ", ActionDescription:  "Action generated by Excel Template for Specimen v.0.1.0-alpha", ActionFileLink:  "}</t>
  </si>
  <si>
    <t xml:space="preserve">  - &amp;ActionID01283 {ActionTypeCV:  "Specimen analysis", MethodObj: *MethodID00003, BeginDateTime:  NULL, BeginDateTimeUTCOffset:  NULL, EndDateTime:  ", EndDateTimeUTCOffset:  ", ActionDescription:  "Action generated by Excel Template for Specimen v.0.1.0-alpha", ActionFileLink:  "}</t>
  </si>
  <si>
    <t xml:space="preserve">  - &amp;ActionID01284 {ActionTypeCV:  "Specimen analysis", MethodObj: *MethodID00003, BeginDateTime:  NULL, BeginDateTimeUTCOffset:  NULL, EndDateTime:  ", EndDateTimeUTCOffset:  ", ActionDescription:  "Action generated by Excel Template for Specimen v.0.1.0-alpha", ActionFileLink:  "}</t>
  </si>
  <si>
    <t xml:space="preserve">  - &amp;ActionID01285 {ActionTypeCV:  "Specimen analysis", MethodObj: *MethodID00003, BeginDateTime:  NULL, BeginDateTimeUTCOffset:  NULL, EndDateTime:  ", EndDateTimeUTCOffset:  ", ActionDescription:  "Action generated by Excel Template for Specimen v.0.1.0-alpha", ActionFileLink:  "}</t>
  </si>
  <si>
    <t xml:space="preserve">  - &amp;ActionID01287 {ActionTypeCV:  "Specimen analysis", MethodObj: *MethodID00003, BeginDateTime:  NULL, BeginDateTimeUTCOffset:  NULL, EndDateTime:  ", EndDateTimeUTCOffset:  ", ActionDescription:  "Action generated by Excel Template for Specimen v.0.1.0-alpha", ActionFileLink:  "}</t>
  </si>
  <si>
    <t xml:space="preserve">  - &amp;ActionID01288 {ActionTypeCV:  "Specimen analysis", MethodObj: *MethodID00003, BeginDateTime:  NULL, BeginDateTimeUTCOffset:  NULL, EndDateTime:  ", EndDateTimeUTCOffset:  ", ActionDescription:  "Action generated by Excel Template for Specimen v.0.1.0-alpha", ActionFileLink:  "}</t>
  </si>
  <si>
    <t xml:space="preserve">  - &amp;ActionID01289 {ActionTypeCV:  "Specimen analysis", MethodObj: *MethodID00003, BeginDateTime:  NULL, BeginDateTimeUTCOffset:  NULL, EndDateTime:  ", EndDateTimeUTCOffset:  ", ActionDescription:  "Action generated by Excel Template for Specimen v.0.1.0-alpha", ActionFileLink:  "}</t>
  </si>
  <si>
    <t xml:space="preserve">  - &amp;ActionID01292 {ActionTypeCV:  "Specimen analysis", MethodObj: *MethodID00003, BeginDateTime:  NULL, BeginDateTimeUTCOffset:  NULL, EndDateTime:  ", EndDateTimeUTCOffset:  ", ActionDescription:  "Action generated by Excel Template for Specimen v.0.1.0-alpha", ActionFileLink:  "}</t>
  </si>
  <si>
    <t xml:space="preserve">  - &amp;ActionID01293 {ActionTypeCV:  "Specimen analysis", MethodObj: *MethodID00003, BeginDateTime:  NULL, BeginDateTimeUTCOffset:  NULL, EndDateTime:  ", EndDateTimeUTCOffset:  ", ActionDescription:  "Action generated by Excel Template for Specimen v.0.1.0-alpha", ActionFileLink:  "}</t>
  </si>
  <si>
    <t xml:space="preserve">  - &amp;ActionID01294 {ActionTypeCV:  "Specimen analysis", MethodObj: *MethodID00003, BeginDateTime:  NULL, BeginDateTimeUTCOffset:  NULL, EndDateTime:  ", EndDateTimeUTCOffset:  ", ActionDescription:  "Action generated by Excel Template for Specimen v.0.1.0-alpha", ActionFileLink:  "}</t>
  </si>
  <si>
    <t xml:space="preserve">  - &amp;ActionID01297 {ActionTypeCV:  "Specimen analysis", MethodObj: *MethodID00003, BeginDateTime:  NULL, BeginDateTimeUTCOffset:  NULL, EndDateTime:  ", EndDateTimeUTCOffset:  ", ActionDescription:  "Action generated by Excel Template for Specimen v.0.1.0-alpha", ActionFileLink:  "}</t>
  </si>
  <si>
    <t xml:space="preserve">  - &amp;ActionID01298 {ActionTypeCV:  "Specimen analysis", MethodObj: *MethodID00003, BeginDateTime:  NULL, BeginDateTimeUTCOffset:  NULL, EndDateTime:  ", EndDateTimeUTCOffset:  ", ActionDescription:  "Action generated by Excel Template for Specimen v.0.1.0-alpha", ActionFileLink:  "}</t>
  </si>
  <si>
    <t xml:space="preserve">  - &amp;ActionID01299 {ActionTypeCV:  "Specimen analysis", MethodObj: *MethodID00003, BeginDateTime:  NULL, BeginDateTimeUTCOffset:  NULL, EndDateTime:  ", EndDateTimeUTCOffset:  ", ActionDescription:  "Action generated by Excel Template for Specimen v.0.1.0-alpha", ActionFileLink:  "}</t>
  </si>
  <si>
    <t xml:space="preserve">  - &amp;ActionID01303 {ActionTypeCV:  "Specimen analysis", MethodObj: *MethodID00003, BeginDateTime:  NULL, BeginDateTimeUTCOffset:  NULL, EndDateTime:  ", EndDateTimeUTCOffset:  ", ActionDescription:  "Action generated by Excel Template for Specimen v.0.1.0-alpha", ActionFileLink:  "}</t>
  </si>
  <si>
    <t xml:space="preserve">  - &amp;ActionID01304 {ActionTypeCV:  "Specimen analysis", MethodObj: *MethodID00003, BeginDateTime:  NULL, BeginDateTimeUTCOffset:  NULL, EndDateTime:  ", EndDateTimeUTCOffset:  ", ActionDescription:  "Action generated by Excel Template for Specimen v.0.1.0-alpha", ActionFileLink:  "}</t>
  </si>
  <si>
    <t xml:space="preserve">  - &amp;ActionID01305 {ActionTypeCV:  "Specimen analysis", MethodObj: *MethodID00003, BeginDateTime:  NULL, BeginDateTimeUTCOffset:  NULL, EndDateTime:  ", EndDateTimeUTCOffset:  ", ActionDescription:  "Action generated by Excel Template for Specimen v.0.1.0-alpha", ActionFileLink:  "}</t>
  </si>
  <si>
    <t xml:space="preserve">  - &amp;ActionID01306 {ActionTypeCV:  "Specimen analysis", MethodObj: *MethodID00003, BeginDateTime:  NULL, BeginDateTimeUTCOffset:  NULL, EndDateTime:  ", EndDateTimeUTCOffset:  ", ActionDescription:  "Action generated by Excel Template for Specimen v.0.1.0-alpha", ActionFileLink:  "}</t>
  </si>
  <si>
    <t xml:space="preserve">  - &amp;ActionID01307 {ActionTypeCV:  "Specimen analysis", MethodObj: *MethodID00003, BeginDateTime:  NULL, BeginDateTimeUTCOffset:  NULL, EndDateTime:  ", EndDateTimeUTCOffset:  ", ActionDescription:  "Action generated by Excel Template for Specimen v.0.1.0-alpha", ActionFileLink:  "}</t>
  </si>
  <si>
    <t xml:space="preserve">  - &amp;ActionID01315 {ActionTypeCV:  "Specimen analysis", MethodObj: *MethodID00003, BeginDateTime:  NULL, BeginDateTimeUTCOffset:  NULL, EndDateTime:  ", EndDateTimeUTCOffset:  ", ActionDescription:  "Action generated by Excel Template for Specimen v.0.1.0-alpha", ActionFileLink:  "}</t>
  </si>
  <si>
    <t xml:space="preserve">  - &amp;ActionID01321 {ActionTypeCV:  "Specimen analysis", MethodObj: *MethodID00003, BeginDateTime:  NULL, BeginDateTimeUTCOffset:  NULL, EndDateTime:  ", EndDateTimeUTCOffset:  ", ActionDescription:  "Action generated by Excel Template for Specimen v.0.1.0-alpha", ActionFileLink:  "}</t>
  </si>
  <si>
    <t xml:space="preserve">  - &amp;ActionID01326 {ActionTypeCV:  "Specimen analysis", MethodObj: *MethodID00003, BeginDateTime:  NULL, BeginDateTimeUTCOffset:  NULL, EndDateTime:  ", EndDateTimeUTCOffset:  ", ActionDescription:  "Action generated by Excel Template for Specimen v.0.1.0-alpha", ActionFileLink:  "}</t>
  </si>
  <si>
    <t xml:space="preserve">  - &amp;ActionID01327 {ActionTypeCV:  "Specimen analysis", MethodObj: *MethodID00003, BeginDateTime:  NULL, BeginDateTimeUTCOffset:  NULL, EndDateTime:  ", EndDateTimeUTCOffset:  ", ActionDescription:  "Action generated by Excel Template for Specimen v.0.1.0-alpha", ActionFileLink:  "}</t>
  </si>
  <si>
    <t xml:space="preserve">  - &amp;ActionID01328 {ActionTypeCV:  "Specimen analysis", MethodObj: *MethodID00003, BeginDateTime:  NULL, BeginDateTimeUTCOffset:  NULL, EndDateTime:  ", EndDateTimeUTCOffset:  ", ActionDescription:  "Action generated by Excel Template for Specimen v.0.1.0-alpha", ActionFileLink:  "}</t>
  </si>
  <si>
    <t xml:space="preserve">  - &amp;ActionID01329 {ActionTypeCV:  "Specimen analysis", MethodObj: *MethodID00003, BeginDateTime:  NULL, BeginDateTimeUTCOffset:  NULL, EndDateTime:  ", EndDateTimeUTCOffset:  ", ActionDescription:  "Action generated by Excel Template for Specimen v.0.1.0-alpha", ActionFileLink:  "}</t>
  </si>
  <si>
    <t xml:space="preserve">  - &amp;ActionID01330 {ActionTypeCV:  "Specimen analysis", MethodObj: *MethodID00003, BeginDateTime:  NULL, BeginDateTimeUTCOffset:  NULL, EndDateTime:  ", EndDateTimeUTCOffset:  ", ActionDescription:  "Action generated by Excel Template for Specimen v.0.1.0-alpha", ActionFileLink:  "}</t>
  </si>
  <si>
    <t xml:space="preserve">  - &amp;ActionID01331 {ActionTypeCV:  "Specimen analysis", MethodObj: *MethodID00003, BeginDateTime:  NULL, BeginDateTimeUTCOffset:  NULL, EndDateTime:  ", EndDateTimeUTCOffset:  ", ActionDescription:  "Action generated by Excel Template for Specimen v.0.1.0-alpha", ActionFileLink:  "}</t>
  </si>
  <si>
    <t xml:space="preserve">  - &amp;ActionID01332 {ActionTypeCV:  "Specimen analysis", MethodObj: *MethodID00003, BeginDateTime:  NULL, BeginDateTimeUTCOffset:  NULL, EndDateTime:  ", EndDateTimeUTCOffset:  ", ActionDescription:  "Action generated by Excel Template for Specimen v.0.1.0-alpha", ActionFileLink:  "}</t>
  </si>
  <si>
    <t xml:space="preserve">  - &amp;ActionID01333 {ActionTypeCV:  "Specimen analysis", MethodObj: *MethodID00003, BeginDateTime:  NULL, BeginDateTimeUTCOffset:  NULL, EndDateTime:  ", EndDateTimeUTCOffset:  ", ActionDescription:  "Action generated by Excel Template for Specimen v.0.1.0-alpha", ActionFileLink:  "}</t>
  </si>
  <si>
    <t xml:space="preserve">  - &amp;ActionID01334 {ActionTypeCV:  "Specimen analysis", MethodObj: *MethodID00003, BeginDateTime:  NULL, BeginDateTimeUTCOffset:  NULL, EndDateTime:  ", EndDateTimeUTCOffset:  ", ActionDescription:  "Action generated by Excel Template for Specimen v.0.1.0-alpha", ActionFileLink:  "}</t>
  </si>
  <si>
    <t xml:space="preserve">  - &amp;ActionID01335 {ActionTypeCV:  "Specimen analysis", MethodObj: *MethodID00003, BeginDateTime:  NULL, BeginDateTimeUTCOffset:  NULL, EndDateTime:  ", EndDateTimeUTCOffset:  ", ActionDescription:  "Action generated by Excel Template for Specimen v.0.1.0-alpha", ActionFileLink:  "}</t>
  </si>
  <si>
    <t xml:space="preserve">  - &amp;ActionID01336 {ActionTypeCV:  "Specimen analysis", MethodObj: *MethodID00003, BeginDateTime:  NULL, BeginDateTimeUTCOffset:  NULL, EndDateTime:  ", EndDateTimeUTCOffset:  ", ActionDescription:  "Action generated by Excel Template for Specimen v.0.1.0-alpha", ActionFileLink:  "}</t>
  </si>
  <si>
    <t xml:space="preserve">  - &amp;ActionID01337 {ActionTypeCV:  "Specimen analysis", MethodObj: *MethodID00003, BeginDateTime:  NULL, BeginDateTimeUTCOffset:  NULL, EndDateTime:  ", EndDateTimeUTCOffset:  ", ActionDescription:  "Action generated by Excel Template for Specimen v.0.1.0-alpha", ActionFileLink:  "}</t>
  </si>
  <si>
    <t xml:space="preserve">  - &amp;ActionID01338 {ActionTypeCV:  "Specimen analysis", MethodObj: *MethodID00003, BeginDateTime:  NULL, BeginDateTimeUTCOffset:  NULL, EndDateTime:  ", EndDateTimeUTCOffset:  ", ActionDescription:  "Action generated by Excel Template for Specimen v.0.1.0-alpha", ActionFileLink:  "}</t>
  </si>
  <si>
    <t xml:space="preserve">  - &amp;ActionID01339 {ActionTypeCV:  "Specimen analysis", MethodObj: *MethodID00003, BeginDateTime:  NULL, BeginDateTimeUTCOffset:  NULL, EndDateTime:  ", EndDateTimeUTCOffset:  ", ActionDescription:  "Action generated by Excel Template for Specimen v.0.1.0-alpha", ActionFileLink:  "}</t>
  </si>
  <si>
    <t xml:space="preserve">  - &amp;ActionID01386 {ActionTypeCV:  "Specimen analysis", MethodObj: *MethodID00004, BeginDateTime:  NULL, BeginDateTimeUTCOffset:  NULL, EndDateTime:  ", EndDateTimeUTCOffset:  ", ActionDescription:  "Action generated by Excel Template for Specimen v.0.1.0-alpha", ActionFileLink:  "}</t>
  </si>
  <si>
    <t xml:space="preserve">  - &amp;ActionID01387 {ActionTypeCV:  "Specimen analysis", MethodObj: *MethodID00004, BeginDateTime:  NULL, BeginDateTimeUTCOffset:  NULL, EndDateTime:  ", EndDateTimeUTCOffset:  ", ActionDescription:  "Action generated by Excel Template for Specimen v.0.1.0-alpha", ActionFileLink:  "}</t>
  </si>
  <si>
    <t xml:space="preserve">  - &amp;ActionID01388 {ActionTypeCV:  "Specimen analysis", MethodObj: *MethodID00004, BeginDateTime:  NULL, BeginDateTimeUTCOffset:  NULL, EndDateTime:  ", EndDateTimeUTCOffset:  ", ActionDescription:  "Action generated by Excel Template for Specimen v.0.1.0-alpha", ActionFileLink:  "}</t>
  </si>
  <si>
    <t xml:space="preserve">  - &amp;ActionID01389 {ActionTypeCV:  "Specimen analysis", MethodObj: *MethodID00004, BeginDateTime:  NULL, BeginDateTimeUTCOffset:  NULL, EndDateTime:  ", EndDateTimeUTCOffset:  ", ActionDescription:  "Action generated by Excel Template for Specimen v.0.1.0-alpha", ActionFileLink:  "}</t>
  </si>
  <si>
    <t xml:space="preserve">  - &amp;ActionID01390 {ActionTypeCV:  "Specimen analysis", MethodObj: *MethodID00004, BeginDateTime:  NULL, BeginDateTimeUTCOffset:  NULL, EndDateTime:  ", EndDateTimeUTCOffset:  ", ActionDescription:  "Action generated by Excel Template for Specimen v.0.1.0-alpha", ActionFileLink:  "}</t>
  </si>
  <si>
    <t xml:space="preserve">  - &amp;ActionID01391 {ActionTypeCV:  "Specimen analysis", MethodObj: *MethodID00004, BeginDateTime:  NULL, BeginDateTimeUTCOffset:  NULL, EndDateTime:  ", EndDateTimeUTCOffset:  ", ActionDescription:  "Action generated by Excel Template for Specimen v.0.1.0-alpha", ActionFileLink:  "}</t>
  </si>
  <si>
    <t xml:space="preserve">  - &amp;ActionID01392 {ActionTypeCV:  "Specimen analysis", MethodObj: *MethodID00004, BeginDateTime:  NULL, BeginDateTimeUTCOffset:  NULL, EndDateTime:  ", EndDateTimeUTCOffset:  ", ActionDescription:  "Action generated by Excel Template for Specimen v.0.1.0-alpha", ActionFileLink:  "}</t>
  </si>
  <si>
    <t xml:space="preserve">  - &amp;ActionID01393 {ActionTypeCV:  "Specimen analysis", MethodObj: *MethodID00004, BeginDateTime:  NULL, BeginDateTimeUTCOffset:  NULL, EndDateTime:  ", EndDateTimeUTCOffset:  ", ActionDescription:  "Action generated by Excel Template for Specimen v.0.1.0-alpha", ActionFileLink:  "}</t>
  </si>
  <si>
    <t xml:space="preserve">  - &amp;ActionID01394 {ActionTypeCV:  "Specimen analysis", MethodObj: *MethodID00004, BeginDateTime:  NULL, BeginDateTimeUTCOffset:  NULL, EndDateTime:  ", EndDateTimeUTCOffset:  ", ActionDescription:  "Action generated by Excel Template for Specimen v.0.1.0-alpha", ActionFileLink:  "}</t>
  </si>
  <si>
    <t xml:space="preserve">  - &amp;ActionID01395 {ActionTypeCV:  "Specimen analysis", MethodObj: *MethodID00004, BeginDateTime:  NULL, BeginDateTimeUTCOffset:  NULL, EndDateTime:  ", EndDateTimeUTCOffset:  ", ActionDescription:  "Action generated by Excel Template for Specimen v.0.1.0-alpha", ActionFileLink:  "}</t>
  </si>
  <si>
    <t xml:space="preserve">  - &amp;ActionID01396 {ActionTypeCV:  "Specimen analysis", MethodObj: *MethodID00004, BeginDateTime:  NULL, BeginDateTimeUTCOffset:  NULL, EndDateTime:  ", EndDateTimeUTCOffset:  ", ActionDescription:  "Action generated by Excel Template for Specimen v.0.1.0-alpha", ActionFileLink:  "}</t>
  </si>
  <si>
    <t xml:space="preserve">  - &amp;ActionID01397 {ActionTypeCV:  "Specimen analysis", MethodObj: *MethodID00004, BeginDateTime:  NULL, BeginDateTimeUTCOffset:  NULL, EndDateTime:  ", EndDateTimeUTCOffset:  ", ActionDescription:  "Action generated by Excel Template for Specimen v.0.1.0-alpha", ActionFileLink:  "}</t>
  </si>
  <si>
    <t xml:space="preserve">  - &amp;ActionID01398 {ActionTypeCV:  "Specimen analysis", MethodObj: *MethodID00004, BeginDateTime:  NULL, BeginDateTimeUTCOffset:  NULL, EndDateTime:  ", EndDateTimeUTCOffset:  ", ActionDescription:  "Action generated by Excel Template for Specimen v.0.1.0-alpha", ActionFileLink:  "}</t>
  </si>
  <si>
    <t xml:space="preserve">  - &amp;ActionID01399 {ActionTypeCV:  "Specimen analysis", MethodObj: *MethodID00004, BeginDateTime:  NULL, BeginDateTimeUTCOffset:  NULL, EndDateTime:  ", EndDateTimeUTCOffset:  ", ActionDescription:  "Action generated by Excel Template for Specimen v.0.1.0-alpha", ActionFileLink:  "}</t>
  </si>
  <si>
    <t xml:space="preserve">  - &amp;ActionID01400 {ActionTypeCV:  "Specimen analysis", MethodObj: *MethodID00004, BeginDateTime:  NULL, BeginDateTimeUTCOffset:  NULL, EndDateTime:  ", EndDateTimeUTCOffset:  ", ActionDescription:  "Action generated by Excel Template for Specimen v.0.1.0-alpha", ActionFileLink:  "}</t>
  </si>
  <si>
    <t xml:space="preserve">  - &amp;ActionID01401 {ActionTypeCV:  "Specimen analysis", MethodObj: *MethodID00004, BeginDateTime:  NULL, BeginDateTimeUTCOffset:  NULL, EndDateTime:  ", EndDateTimeUTCOffset:  ", ActionDescription:  "Action generated by Excel Template for Specimen v.0.1.0-alpha", ActionFileLink:  "}</t>
  </si>
  <si>
    <t xml:space="preserve">  - &amp;ActionID01402 {ActionTypeCV:  "Specimen analysis", MethodObj: *MethodID00004, BeginDateTime:  NULL, BeginDateTimeUTCOffset:  NULL, EndDateTime:  ", EndDateTimeUTCOffset:  ", ActionDescription:  "Action generated by Excel Template for Specimen v.0.1.0-alpha", ActionFileLink:  "}</t>
  </si>
  <si>
    <t xml:space="preserve">  - &amp;ActionID01403 {ActionTypeCV:  "Specimen analysis", MethodObj: *MethodID00004, BeginDateTime:  NULL, BeginDateTimeUTCOffset:  NULL, EndDateTime:  ", EndDateTimeUTCOffset:  ", ActionDescription:  "Action generated by Excel Template for Specimen v.0.1.0-alpha", ActionFileLink:  "}</t>
  </si>
  <si>
    <t xml:space="preserve">  - &amp;ActionID01404 {ActionTypeCV:  "Specimen analysis", MethodObj: *MethodID00004, BeginDateTime:  NULL, BeginDateTimeUTCOffset:  NULL, EndDateTime:  ", EndDateTimeUTCOffset:  ", ActionDescription:  "Action generated by Excel Template for Specimen v.0.1.0-alpha", ActionFileLink:  "}</t>
  </si>
  <si>
    <t xml:space="preserve">  - &amp;ActionID01405 {ActionTypeCV:  "Specimen analysis", MethodObj: *MethodID00004, BeginDateTime:  NULL, BeginDateTimeUTCOffset:  NULL, EndDateTime:  ", EndDateTimeUTCOffset:  ", ActionDescription:  "Action generated by Excel Template for Specimen v.0.1.0-alpha", ActionFileLink:  "}</t>
  </si>
  <si>
    <t xml:space="preserve">  - &amp;ActionID01406 {ActionTypeCV:  "Specimen analysis", MethodObj: *MethodID00004, BeginDateTime:  NULL, BeginDateTimeUTCOffset:  NULL, EndDateTime:  ", EndDateTimeUTCOffset:  ", ActionDescription:  "Action generated by Excel Template for Specimen v.0.1.0-alpha", ActionFileLink:  "}</t>
  </si>
  <si>
    <t xml:space="preserve">  - &amp;ActionID01407 {ActionTypeCV:  "Specimen analysis", MethodObj: *MethodID00004, BeginDateTime:  NULL, BeginDateTimeUTCOffset:  NULL, EndDateTime:  ", EndDateTimeUTCOffset:  ", ActionDescription:  "Action generated by Excel Template for Specimen v.0.1.0-alpha", ActionFileLink:  "}</t>
  </si>
  <si>
    <t xml:space="preserve">  - &amp;ActionID01408 {ActionTypeCV:  "Specimen analysis", MethodObj: *MethodID00004, BeginDateTime:  NULL, BeginDateTimeUTCOffset:  NULL, EndDateTime:  ", EndDateTimeUTCOffset:  ", ActionDescription:  "Action generated by Excel Template for Specimen v.0.1.0-alpha", ActionFileLink:  "}</t>
  </si>
  <si>
    <t xml:space="preserve">  - &amp;ActionID01409 {ActionTypeCV:  "Specimen analysis", MethodObj: *MethodID00004, BeginDateTime:  NULL, BeginDateTimeUTCOffset:  NULL, EndDateTime:  ", EndDateTimeUTCOffset:  ", ActionDescription:  "Action generated by Excel Template for Specimen v.0.1.0-alpha", ActionFileLink:  "}</t>
  </si>
  <si>
    <t xml:space="preserve">  - &amp;ActionID01410 {ActionTypeCV:  "Specimen analysis", MethodObj: *MethodID00004, BeginDateTime:  NULL, BeginDateTimeUTCOffset:  NULL, EndDateTime:  ", EndDateTimeUTCOffset:  ", ActionDescription:  "Action generated by Excel Template for Specimen v.0.1.0-alpha", ActionFileLink:  "}</t>
  </si>
  <si>
    <t xml:space="preserve">  - &amp;ActionID01411 {ActionTypeCV:  "Specimen analysis", MethodObj: *MethodID00004, BeginDateTime:  NULL, BeginDateTimeUTCOffset:  NULL, EndDateTime:  ", EndDateTimeUTCOffset:  ", ActionDescription:  "Action generated by Excel Template for Specimen v.0.1.0-alpha", ActionFileLink:  "}</t>
  </si>
  <si>
    <t xml:space="preserve">  - &amp;ActionID01412 {ActionTypeCV:  "Specimen analysis", MethodObj: *MethodID00004, BeginDateTime:  NULL, BeginDateTimeUTCOffset:  NULL, EndDateTime:  ", EndDateTimeUTCOffset:  ", ActionDescription:  "Action generated by Excel Template for Specimen v.0.1.0-alpha", ActionFileLink:  "}</t>
  </si>
  <si>
    <t xml:space="preserve">  - &amp;ActionID01413 {ActionTypeCV:  "Specimen analysis", MethodObj: *MethodID00004, BeginDateTime:  NULL, BeginDateTimeUTCOffset:  NULL, EndDateTime:  ", EndDateTimeUTCOffset:  ", ActionDescription:  "Action generated by Excel Template for Specimen v.0.1.0-alpha", ActionFileLink:  "}</t>
  </si>
  <si>
    <t xml:space="preserve">  - &amp;ActionID01414 {ActionTypeCV:  "Specimen analysis", MethodObj: *MethodID00004, BeginDateTime:  NULL, BeginDateTimeUTCOffset:  NULL, EndDateTime:  ", EndDateTimeUTCOffset:  ", ActionDescription:  "Action generated by Excel Template for Specimen v.0.1.0-alpha", ActionFileLink:  "}</t>
  </si>
  <si>
    <t xml:space="preserve">  - &amp;ActionID01415 {ActionTypeCV:  "Specimen analysis", MethodObj: *MethodID00004, BeginDateTime:  NULL, BeginDateTimeUTCOffset:  NULL, EndDateTime:  ", EndDateTimeUTCOffset:  ", ActionDescription:  "Action generated by Excel Template for Specimen v.0.1.0-alpha", ActionFileLink:  "}</t>
  </si>
  <si>
    <t xml:space="preserve">  - &amp;ActionID01416 {ActionTypeCV:  "Specimen analysis", MethodObj: *MethodID00004, BeginDateTime:  NULL, BeginDateTimeUTCOffset:  NULL, EndDateTime:  ", EndDateTimeUTCOffset:  ", ActionDescription:  "Action generated by Excel Template for Specimen v.0.1.0-alpha", ActionFileLink:  "}</t>
  </si>
  <si>
    <t xml:space="preserve">  - &amp;ActionID01417 {ActionTypeCV:  "Specimen analysis", MethodObj: *MethodID00004, BeginDateTime:  NULL, BeginDateTimeUTCOffset:  NULL, EndDateTime:  ", EndDateTimeUTCOffset:  ", ActionDescription:  "Action generated by Excel Template for Specimen v.0.1.0-alpha", ActionFileLink:  "}</t>
  </si>
  <si>
    <t xml:space="preserve">  - &amp;ActionID01418 {ActionTypeCV:  "Specimen analysis", MethodObj: *MethodID00004, BeginDateTime:  NULL, BeginDateTimeUTCOffset:  NULL, EndDateTime:  ", EndDateTimeUTCOffset:  ", ActionDescription:  "Action generated by Excel Template for Specimen v.0.1.0-alpha", ActionFileLink:  "}</t>
  </si>
  <si>
    <t xml:space="preserve">  - &amp;ActionID01419 {ActionTypeCV:  "Specimen analysis", MethodObj: *MethodID00004, BeginDateTime:  NULL, BeginDateTimeUTCOffset:  NULL, EndDateTime:  ", EndDateTimeUTCOffset:  ", ActionDescription:  "Action generated by Excel Template for Specimen v.0.1.0-alpha", ActionFileLink:  "}</t>
  </si>
  <si>
    <t xml:space="preserve">  - &amp;ActionID01420 {ActionTypeCV:  "Specimen analysis", MethodObj: *MethodID00004, BeginDateTime:  NULL, BeginDateTimeUTCOffset:  NULL, EndDateTime:  ", EndDateTimeUTCOffset:  ", ActionDescription:  "Action generated by Excel Template for Specimen v.0.1.0-alpha", ActionFileLink:  "}</t>
  </si>
  <si>
    <t xml:space="preserve">  - &amp;ActionID01421 {ActionTypeCV:  "Specimen analysis", MethodObj: *MethodID00004, BeginDateTime:  NULL, BeginDateTimeUTCOffset:  NULL, EndDateTime:  ", EndDateTimeUTCOffset:  ", ActionDescription:  "Action generated by Excel Template for Specimen v.0.1.0-alpha", ActionFileLink:  "}</t>
  </si>
  <si>
    <t xml:space="preserve">  - &amp;ActionID01422 {ActionTypeCV:  "Specimen analysis", MethodObj: *MethodID00004, BeginDateTime:  NULL, BeginDateTimeUTCOffset:  NULL, EndDateTime:  ", EndDateTimeUTCOffset:  ", ActionDescription:  "Action generated by Excel Template for Specimen v.0.1.0-alpha", ActionFileLink:  "}</t>
  </si>
  <si>
    <t xml:space="preserve">  - &amp;ActionID01423 {ActionTypeCV:  "Specimen analysis", MethodObj: *MethodID00004, BeginDateTime:  NULL, BeginDateTimeUTCOffset:  NULL, EndDateTime:  ", EndDateTimeUTCOffset:  ", ActionDescription:  "Action generated by Excel Template for Specimen v.0.1.0-alpha", ActionFileLink:  "}</t>
  </si>
  <si>
    <t xml:space="preserve">  - &amp;ActionID01424 {ActionTypeCV:  "Specimen analysis", MethodObj: *MethodID00004, BeginDateTime:  NULL, BeginDateTimeUTCOffset:  NULL, EndDateTime:  ", EndDateTimeUTCOffset:  ", ActionDescription:  "Action generated by Excel Template for Specimen v.0.1.0-alpha", ActionFileLink:  "}</t>
  </si>
  <si>
    <t xml:space="preserve">  - &amp;ActionID01425 {ActionTypeCV:  "Specimen analysis", MethodObj: *MethodID00004, BeginDateTime:  NULL, BeginDateTimeUTCOffset:  NULL, EndDateTime:  ", EndDateTimeUTCOffset:  ", ActionDescription:  "Action generated by Excel Template for Specimen v.0.1.0-alpha", ActionFileLink:  "}</t>
  </si>
  <si>
    <t xml:space="preserve">  - &amp;ActionID01426 {ActionTypeCV:  "Specimen analysis", MethodObj: *MethodID00004, BeginDateTime:  NULL, BeginDateTimeUTCOffset:  NULL, EndDateTime:  ", EndDateTimeUTCOffset:  ", ActionDescription:  "Action generated by Excel Template for Specimen v.0.1.0-alpha", ActionFileLink:  "}</t>
  </si>
  <si>
    <t xml:space="preserve">  - &amp;ActionID01427 {ActionTypeCV:  "Specimen analysis", MethodObj: *MethodID00004, BeginDateTime:  NULL, BeginDateTimeUTCOffset:  NULL, EndDateTime:  ", EndDateTimeUTCOffset:  ", ActionDescription:  "Action generated by Excel Template for Specimen v.0.1.0-alpha", ActionFileLink:  "}</t>
  </si>
  <si>
    <t xml:space="preserve">  - &amp;ActionID01428 {ActionTypeCV:  "Specimen analysis", MethodObj: *MethodID00004, BeginDateTime:  NULL, BeginDateTimeUTCOffset:  NULL, EndDateTime:  ", EndDateTimeUTCOffset:  ", ActionDescription:  "Action generated by Excel Template for Specimen v.0.1.0-alpha", ActionFileLink:  "}</t>
  </si>
  <si>
    <t xml:space="preserve">  - &amp;ActionID01429 {ActionTypeCV:  "Specimen analysis", MethodObj: *MethodID00004, BeginDateTime:  NULL, BeginDateTimeUTCOffset:  NULL, EndDateTime:  ", EndDateTimeUTCOffset:  ", ActionDescription:  "Action generated by Excel Template for Specimen v.0.1.0-alpha", ActionFileLink:  "}</t>
  </si>
  <si>
    <t xml:space="preserve">  - &amp;ActionID01430 {ActionTypeCV:  "Specimen analysis", MethodObj: *MethodID00004, BeginDateTime:  NULL, BeginDateTimeUTCOffset:  NULL, EndDateTime:  ", EndDateTimeUTCOffset:  ", ActionDescription:  "Action generated by Excel Template for Specimen v.0.1.0-alpha", ActionFileLink:  "}</t>
  </si>
  <si>
    <t xml:space="preserve">  - &amp;ActionID01431 {ActionTypeCV:  "Specimen analysis", MethodObj: *MethodID00004, BeginDateTime:  NULL, BeginDateTimeUTCOffset:  NULL, EndDateTime:  ", EndDateTimeUTCOffset:  ", ActionDescription:  "Action generated by Excel Template for Specimen v.0.1.0-alpha", ActionFileLink:  "}</t>
  </si>
  <si>
    <t xml:space="preserve">  - &amp;ActionID01432 {ActionTypeCV:  "Specimen analysis", MethodObj: *MethodID00004, BeginDateTime:  NULL, BeginDateTimeUTCOffset:  NULL, EndDateTime:  ", EndDateTimeUTCOffset:  ", ActionDescription:  "Action generated by Excel Template for Specimen v.0.1.0-alpha", ActionFileLink:  "}</t>
  </si>
  <si>
    <t xml:space="preserve">  - &amp;ActionID01433 {ActionTypeCV:  "Specimen analysis", MethodObj: *MethodID00004, BeginDateTime:  NULL, BeginDateTimeUTCOffset:  NULL, EndDateTime:  ", EndDateTimeUTCOffset:  ", ActionDescription:  "Action generated by Excel Template for Specimen v.0.1.0-alpha", ActionFileLink:  "}</t>
  </si>
  <si>
    <t xml:space="preserve">  - &amp;ActionID01434 {ActionTypeCV:  "Specimen analysis", MethodObj: *MethodID00004, BeginDateTime:  NULL, BeginDateTimeUTCOffset:  NULL, EndDateTime:  ", EndDateTimeUTCOffset:  ", ActionDescription:  "Action generated by Excel Template for Specimen v.0.1.0-alpha", ActionFileLink:  "}</t>
  </si>
  <si>
    <t xml:space="preserve">  - &amp;ActionID01435 {ActionTypeCV:  "Specimen analysis", MethodObj: *MethodID00004, BeginDateTime:  NULL, BeginDateTimeUTCOffset:  NULL, EndDateTime:  ", EndDateTimeUTCOffset:  ", ActionDescription:  "Action generated by Excel Template for Specimen v.0.1.0-alpha", ActionFileLink:  "}</t>
  </si>
  <si>
    <t xml:space="preserve">  - &amp;ActionID01436 {ActionTypeCV:  "Specimen analysis", MethodObj: *MethodID00004, BeginDateTime:  NULL, BeginDateTimeUTCOffset:  NULL, EndDateTime:  ", EndDateTimeUTCOffset:  ", ActionDescription:  "Action generated by Excel Template for Specimen v.0.1.0-alpha", ActionFileLink:  "}</t>
  </si>
  <si>
    <t xml:space="preserve">  - &amp;ActionID01437 {ActionTypeCV:  "Specimen analysis", MethodObj: *MethodID00004, BeginDateTime:  NULL, BeginDateTimeUTCOffset:  NULL, EndDateTime:  ", EndDateTimeUTCOffset:  ", ActionDescription:  "Action generated by Excel Template for Specimen v.0.1.0-alpha", ActionFileLink:  "}</t>
  </si>
  <si>
    <t xml:space="preserve">  - &amp;ActionID01441 {ActionTypeCV:  "Specimen analysis", MethodObj: *MethodID00004, BeginDateTime:  NULL, BeginDateTimeUTCOffset:  NULL, EndDateTime:  ", EndDateTimeUTCOffset:  ", ActionDescription:  "Action generated by Excel Template for Specimen v.0.1.0-alpha", ActionFileLink:  "}</t>
  </si>
  <si>
    <t xml:space="preserve">  - &amp;ActionID01448 {ActionTypeCV:  "Specimen analysis", MethodObj: *MethodID00004, BeginDateTime:  NULL, BeginDateTimeUTCOffset:  NULL, EndDateTime:  ", EndDateTimeUTCOffset:  ", ActionDescription:  "Action generated by Excel Template for Specimen v.0.1.0-alpha", ActionFileLink:  "}</t>
  </si>
  <si>
    <t xml:space="preserve">  - &amp;ActionID01457 {ActionTypeCV:  "Specimen analysis", MethodObj: *MethodID00004, BeginDateTime:  NULL, BeginDateTimeUTCOffset:  NULL, EndDateTime:  ", EndDateTimeUTCOffset:  ", ActionDescription:  "Action generated by Excel Template for Specimen v.0.1.0-alpha", ActionFileLink:  "}</t>
  </si>
  <si>
    <t xml:space="preserve">  - &amp;ActionID01458 {ActionTypeCV:  "Specimen analysis", MethodObj: *MethodID00004, BeginDateTime:  NULL, BeginDateTimeUTCOffset:  NULL, EndDateTime:  ", EndDateTimeUTCOffset:  ", ActionDescription:  "Action generated by Excel Template for Specimen v.0.1.0-alpha", ActionFileLink:  "}</t>
  </si>
  <si>
    <t xml:space="preserve">  - &amp;ActionID01459 {ActionTypeCV:  "Specimen analysis", MethodObj: *MethodID00004, BeginDateTime:  NULL, BeginDateTimeUTCOffset:  NULL, EndDateTime:  ", EndDateTimeUTCOffset:  ", ActionDescription:  "Action generated by Excel Template for Specimen v.0.1.0-alpha", ActionFileLink:  "}</t>
  </si>
  <si>
    <t xml:space="preserve">  - &amp;ActionID01460 {ActionTypeCV:  "Specimen analysis", MethodObj: *MethodID00004, BeginDateTime:  NULL, BeginDateTimeUTCOffset:  NULL, EndDateTime:  ", EndDateTimeUTCOffset:  ", ActionDescription:  "Action generated by Excel Template for Specimen v.0.1.0-alpha", ActionFileLink:  "}</t>
  </si>
  <si>
    <t xml:space="preserve">  - &amp;ActionID01461 {ActionTypeCV:  "Specimen analysis", MethodObj: *MethodID00004, BeginDateTime:  NULL, BeginDateTimeUTCOffset:  NULL, EndDateTime:  ", EndDateTimeUTCOffset:  ", ActionDescription:  "Action generated by Excel Template for Specimen v.0.1.0-alpha", ActionFileLink:  "}</t>
  </si>
  <si>
    <t xml:space="preserve">  - &amp;ActionID01462 {ActionTypeCV:  "Specimen analysis", MethodObj: *MethodID00004, BeginDateTime:  NULL, BeginDateTimeUTCOffset:  NULL, EndDateTime:  ", EndDateTimeUTCOffset:  ", ActionDescription:  "Action generated by Excel Template for Specimen v.0.1.0-alpha", ActionFileLink:  "}</t>
  </si>
  <si>
    <t xml:space="preserve">  - &amp;ActionID01463 {ActionTypeCV:  "Specimen analysis", MethodObj: *MethodID00004, BeginDateTime:  NULL, BeginDateTimeUTCOffset:  NULL, EndDateTime:  ", EndDateTimeUTCOffset:  ", ActionDescription:  "Action generated by Excel Template for Specimen v.0.1.0-alpha", ActionFileLink:  "}</t>
  </si>
  <si>
    <t xml:space="preserve">  - &amp;ActionID01464 {ActionTypeCV:  "Specimen analysis", MethodObj: *MethodID00004, BeginDateTime:  NULL, BeginDateTimeUTCOffset:  NULL, EndDateTime:  ", EndDateTimeUTCOffset:  ", ActionDescription:  "Action generated by Excel Template for Specimen v.0.1.0-alpha", ActionFileLink:  "}</t>
  </si>
  <si>
    <t xml:space="preserve">  - &amp;ActionID01465 {ActionTypeCV:  "Specimen analysis", MethodObj: *MethodID00004, BeginDateTime:  NULL, BeginDateTimeUTCOffset:  NULL, EndDateTime:  ", EndDateTimeUTCOffset:  ", ActionDescription:  "Action generated by Excel Template for Specimen v.0.1.0-alpha", ActionFileLink:  "}</t>
  </si>
  <si>
    <t xml:space="preserve">  - &amp;ActionID01466 {ActionTypeCV:  "Specimen analysis", MethodObj: *MethodID00004, BeginDateTime:  NULL, BeginDateTimeUTCOffset:  NULL, EndDateTime:  ", EndDateTimeUTCOffset:  ", ActionDescription:  "Action generated by Excel Template for Specimen v.0.1.0-alpha", ActionFileLink:  "}</t>
  </si>
  <si>
    <t xml:space="preserve">  - &amp;ActionID01467 {ActionTypeCV:  "Specimen analysis", MethodObj: *MethodID00004, BeginDateTime:  NULL, BeginDateTimeUTCOffset:  NULL, EndDateTime:  ", EndDateTimeUTCOffset:  ", ActionDescription:  "Action generated by Excel Template for Specimen v.0.1.0-alpha", ActionFileLink:  "}</t>
  </si>
  <si>
    <t xml:space="preserve">  - &amp;ActionID01468 {ActionTypeCV:  "Specimen analysis", MethodObj: *MethodID00004, BeginDateTime:  NULL, BeginDateTimeUTCOffset:  NULL, EndDateTime:  ", EndDateTimeUTCOffset:  ", ActionDescription:  "Action generated by Excel Template for Specimen v.0.1.0-alpha", ActionFileLink:  "}</t>
  </si>
  <si>
    <t xml:space="preserve">  - &amp;ActionID01469 {ActionTypeCV:  "Specimen analysis", MethodObj: *MethodID00004, BeginDateTime:  NULL, BeginDateTimeUTCOffset:  NULL, EndDateTime:  ", EndDateTimeUTCOffset:  ", ActionDescription:  "Action generated by Excel Template for Specimen v.0.1.0-alpha", ActionFileLink:  "}</t>
  </si>
  <si>
    <t xml:space="preserve">  - &amp;ActionID01470 {ActionTypeCV:  "Specimen analysis", MethodObj: *MethodID00004, BeginDateTime:  NULL, BeginDateTimeUTCOffset:  NULL, EndDateTime:  ", EndDateTimeUTCOffset:  ", ActionDescription:  "Action generated by Excel Template for Specimen v.0.1.0-alpha", ActionFileLink:  "}</t>
  </si>
  <si>
    <t xml:space="preserve">  - &amp;ActionID01471 {ActionTypeCV:  "Specimen analysis", MethodObj: *MethodID00004, BeginDateTime:  NULL, BeginDateTimeUTCOffset:  NULL, EndDateTime:  ", EndDateTimeUTCOffset:  ", ActionDescription:  "Action generated by Excel Template for Specimen v.0.1.0-alpha", ActionFileLink:  "}</t>
  </si>
  <si>
    <t xml:space="preserve">  - &amp;ActionID01472 {ActionTypeCV:  "Specimen analysis", MethodObj: *MethodID00004, BeginDateTime:  NULL, BeginDateTimeUTCOffset:  NULL, EndDateTime:  ", EndDateTimeUTCOffset:  ", ActionDescription:  "Action generated by Excel Template for Specimen v.0.1.0-alpha", ActionFileLink:  "}</t>
  </si>
  <si>
    <t xml:space="preserve">  - &amp;ActionID01473 {ActionTypeCV:  "Specimen analysis", MethodObj: *MethodID00004, BeginDateTime:  NULL, BeginDateTimeUTCOffset:  NULL, EndDateTime:  ", EndDateTimeUTCOffset:  ", ActionDescription:  "Action generated by Excel Template for Specimen v.0.1.0-alpha", ActionFileLink:  "}</t>
  </si>
  <si>
    <t xml:space="preserve">  - &amp;ActionID01474 {ActionTypeCV:  "Specimen analysis", MethodObj: *MethodID00004, BeginDateTime:  NULL, BeginDateTimeUTCOffset:  NULL, EndDateTime:  ", EndDateTimeUTCOffset:  ", ActionDescription:  "Action generated by Excel Template for Specimen v.0.1.0-alpha", ActionFileLink:  "}</t>
  </si>
  <si>
    <t xml:space="preserve">  - &amp;ActionID01475 {ActionTypeCV:  "Specimen analysis", MethodObj: *MethodID00004, BeginDateTime:  NULL, BeginDateTimeUTCOffset:  NULL, EndDateTime:  ", EndDateTimeUTCOffset:  ", ActionDescription:  "Action generated by Excel Template for Specimen v.0.1.0-alpha", ActionFileLink:  "}</t>
  </si>
  <si>
    <t xml:space="preserve">  - &amp;ActionID01476 {ActionTypeCV:  "Specimen analysis", MethodObj: *MethodID00004, BeginDateTime:  NULL, BeginDateTimeUTCOffset:  NULL, EndDateTime:  ", EndDateTimeUTCOffset:  ", ActionDescription:  "Action generated by Excel Template for Specimen v.0.1.0-alpha", ActionFileLink:  "}</t>
  </si>
  <si>
    <t xml:space="preserve">  - &amp;ActionID01477 {ActionTypeCV:  "Specimen analysis", MethodObj: *MethodID00004, BeginDateTime:  NULL, BeginDateTimeUTCOffset:  NULL, EndDateTime:  ", EndDateTimeUTCOffset:  ", ActionDescription:  "Action generated by Excel Template for Specimen v.0.1.0-alpha", ActionFileLink:  "}</t>
  </si>
  <si>
    <t xml:space="preserve">  - &amp;ActionID01478 {ActionTypeCV:  "Specimen analysis", MethodObj: *MethodID00004, BeginDateTime:  NULL, BeginDateTimeUTCOffset:  NULL, EndDateTime:  ", EndDateTimeUTCOffset:  ", ActionDescription:  "Action generated by Excel Template for Specimen v.0.1.0-alpha", ActionFileLink:  "}</t>
  </si>
  <si>
    <t xml:space="preserve">  - &amp;ActionID01479 {ActionTypeCV:  "Specimen analysis", MethodObj: *MethodID00004, BeginDateTime:  NULL, BeginDateTimeUTCOffset:  NULL, EndDateTime:  ", EndDateTimeUTCOffset:  ", ActionDescription:  "Action generated by Excel Template for Specimen v.0.1.0-alpha", ActionFileLink:  "}</t>
  </si>
  <si>
    <t xml:space="preserve">  - &amp;ActionID01480 {ActionTypeCV:  "Specimen analysis", MethodObj: *MethodID00004, BeginDateTime:  NULL, BeginDateTimeUTCOffset:  NULL, EndDateTime:  ", EndDateTimeUTCOffset:  ", ActionDescription:  "Action generated by Excel Template for Specimen v.0.1.0-alpha", ActionFileLink:  "}</t>
  </si>
  <si>
    <t xml:space="preserve">  - &amp;ActionID01481 {ActionTypeCV:  "Specimen analysis", MethodObj: *MethodID00004, BeginDateTime:  NULL, BeginDateTimeUTCOffset:  NULL, EndDateTime:  ", EndDateTimeUTCOffset:  ", ActionDescription:  "Action generated by Excel Template for Specimen v.0.1.0-alpha", ActionFileLink:  "}</t>
  </si>
  <si>
    <t xml:space="preserve">  - &amp;ActionID01482 {ActionTypeCV:  "Specimen analysis", MethodObj: *MethodID00004, BeginDateTime:  NULL, BeginDateTimeUTCOffset:  NULL, EndDateTime:  ", EndDateTimeUTCOffset:  ", ActionDescription:  "Action generated by Excel Template for Specimen v.0.1.0-alpha", ActionFileLink:  "}</t>
  </si>
  <si>
    <t xml:space="preserve">  - &amp;ActionID01483 {ActionTypeCV:  "Specimen analysis", MethodObj: *MethodID00004, BeginDateTime:  NULL, BeginDateTimeUTCOffset:  NULL, EndDateTime:  ", EndDateTimeUTCOffset:  ", ActionDescription:  "Action generated by Excel Template for Specimen v.0.1.0-alpha", ActionFileLink:  "}</t>
  </si>
  <si>
    <t xml:space="preserve">  - &amp;ActionID01484 {ActionTypeCV:  "Specimen analysis", MethodObj: *MethodID00004, BeginDateTime:  NULL, BeginDateTimeUTCOffset:  NULL, EndDateTime:  ", EndDateTimeUTCOffset:  ", ActionDescription:  "Action generated by Excel Template for Specimen v.0.1.0-alpha", ActionFileLink:  "}</t>
  </si>
  <si>
    <t xml:space="preserve">  - &amp;ActionID01485 {ActionTypeCV:  "Specimen analysis", MethodObj: *MethodID00004, BeginDateTime:  NULL, BeginDateTimeUTCOffset:  NULL, EndDateTime:  ", EndDateTimeUTCOffset:  ", ActionDescription:  "Action generated by Excel Template for Specimen v.0.1.0-alpha", ActionFileLink:  "}</t>
  </si>
  <si>
    <t xml:space="preserve">  - &amp;ActionID01486 {ActionTypeCV:  "Specimen analysis", MethodObj: *MethodID00004, BeginDateTime:  NULL, BeginDateTimeUTCOffset:  NULL, EndDateTime:  ", EndDateTimeUTCOffset:  ", ActionDescription:  "Action generated by Excel Template for Specimen v.0.1.0-alpha", ActionFileLink:  "}</t>
  </si>
  <si>
    <t xml:space="preserve">  - &amp;ActionID01487 {ActionTypeCV:  "Specimen analysis", MethodObj: *MethodID00004, BeginDateTime:  NULL, BeginDateTimeUTCOffset:  NULL, EndDateTime:  ", EndDateTimeUTCOffset:  ", ActionDescription:  "Action generated by Excel Template for Specimen v.0.1.0-alpha", ActionFileLink:  "}</t>
  </si>
  <si>
    <t xml:space="preserve">  - &amp;ActionID01488 {ActionTypeCV:  "Specimen analysis", MethodObj: *MethodID00004, BeginDateTime:  NULL, BeginDateTimeUTCOffset:  NULL, EndDateTime:  ", EndDateTimeUTCOffset:  ", ActionDescription:  "Action generated by Excel Template for Specimen v.0.1.0-alpha", ActionFileLink:  "}</t>
  </si>
  <si>
    <t xml:space="preserve">  - &amp;ActionID01489 {ActionTypeCV:  "Specimen analysis", MethodObj: *MethodID00004, BeginDateTime:  NULL, BeginDateTimeUTCOffset:  NULL, EndDateTime:  ", EndDateTimeUTCOffset:  ", ActionDescription:  "Action generated by Excel Template for Specimen v.0.1.0-alpha", ActionFileLink:  "}</t>
  </si>
  <si>
    <t xml:space="preserve">  - &amp;ActionID01490 {ActionTypeCV:  "Specimen analysis", MethodObj: *MethodID00004, BeginDateTime:  NULL, BeginDateTimeUTCOffset:  NULL, EndDateTime:  ", EndDateTimeUTCOffset:  ", ActionDescription:  "Action generated by Excel Template for Specimen v.0.1.0-alpha", ActionFileLink:  "}</t>
  </si>
  <si>
    <t xml:space="preserve">  - &amp;ActionID01491 {ActionTypeCV:  "Specimen analysis", MethodObj: *MethodID00004, BeginDateTime:  NULL, BeginDateTimeUTCOffset:  NULL, EndDateTime:  ", EndDateTimeUTCOffset:  ", ActionDescription:  "Action generated by Excel Template for Specimen v.0.1.0-alpha", ActionFileLink:  "}</t>
  </si>
  <si>
    <t xml:space="preserve">  - &amp;ActionID01492 {ActionTypeCV:  "Specimen analysis", MethodObj: *MethodID00004, BeginDateTime:  NULL, BeginDateTimeUTCOffset:  NULL, EndDateTime:  ", EndDateTimeUTCOffset:  ", ActionDescription:  "Action generated by Excel Template for Specimen v.0.1.0-alpha", ActionFileLink:  "}</t>
  </si>
  <si>
    <t xml:space="preserve">  - &amp;ActionID01493 {ActionTypeCV:  "Specimen analysis", MethodObj: *MethodID00004, BeginDateTime:  NULL, BeginDateTimeUTCOffset:  NULL, EndDateTime:  ", EndDateTimeUTCOffset:  ", ActionDescription:  "Action generated by Excel Template for Specimen v.0.1.0-alpha", ActionFileLink:  "}</t>
  </si>
  <si>
    <t xml:space="preserve">  - &amp;ActionID01494 {ActionTypeCV:  "Specimen analysis", MethodObj: *MethodID00004, BeginDateTime:  NULL, BeginDateTimeUTCOffset:  NULL, EndDateTime:  ", EndDateTimeUTCOffset:  ", ActionDescription:  "Action generated by Excel Template for Specimen v.0.1.0-alpha", ActionFileLink:  "}</t>
  </si>
  <si>
    <t xml:space="preserve">  - &amp;ActionID01495 {ActionTypeCV:  "Specimen analysis", MethodObj: *MethodID00004, BeginDateTime:  NULL, BeginDateTimeUTCOffset:  NULL, EndDateTime:  ", EndDateTimeUTCOffset:  ", ActionDescription:  "Action generated by Excel Template for Specimen v.0.1.0-alpha", ActionFileLink:  "}</t>
  </si>
  <si>
    <t xml:space="preserve">  - &amp;ActionID01496 {ActionTypeCV:  "Specimen analysis", MethodObj: *MethodID00004, BeginDateTime:  NULL, BeginDateTimeUTCOffset:  NULL, EndDateTime:  ", EndDateTimeUTCOffset:  ", ActionDescription:  "Action generated by Excel Template for Specimen v.0.1.0-alpha", ActionFileLink:  "}</t>
  </si>
  <si>
    <t xml:space="preserve">  - &amp;ActionID01497 {ActionTypeCV:  "Specimen analysis", MethodObj: *MethodID00004, BeginDateTime:  NULL, BeginDateTimeUTCOffset:  NULL, EndDateTime:  ", EndDateTimeUTCOffset:  ", ActionDescription:  "Action generated by Excel Template for Specimen v.0.1.0-alpha", ActionFileLink:  "}</t>
  </si>
  <si>
    <t xml:space="preserve">  - &amp;ActionID01498 {ActionTypeCV:  "Specimen analysis", MethodObj: *MethodID00004, BeginDateTime:  NULL, BeginDateTimeUTCOffset:  NULL, EndDateTime:  ", EndDateTimeUTCOffset:  ", ActionDescription:  "Action generated by Excel Template for Specimen v.0.1.0-alpha", ActionFileLink:  "}</t>
  </si>
  <si>
    <t xml:space="preserve">  - &amp;ActionID01499 {ActionTypeCV:  "Specimen analysis", MethodObj: *MethodID00004, BeginDateTime:  NULL, BeginDateTimeUTCOffset:  NULL, EndDateTime:  ", EndDateTimeUTCOffset:  ", ActionDescription:  "Action generated by Excel Template for Specimen v.0.1.0-alpha", ActionFileLink:  "}</t>
  </si>
  <si>
    <t xml:space="preserve">  - &amp;ActionID01500 {ActionTypeCV:  "Specimen analysis", MethodObj: *MethodID00004, BeginDateTime:  NULL, BeginDateTimeUTCOffset:  NULL, EndDateTime:  ", EndDateTimeUTCOffset:  ", ActionDescription:  "Action generated by Excel Template for Specimen v.0.1.0-alpha", ActionFileLink:  "}</t>
  </si>
  <si>
    <t xml:space="preserve">  - &amp;ActionID01501 {ActionTypeCV:  "Specimen analysis", MethodObj: *MethodID00004, BeginDateTime:  NULL, BeginDateTimeUTCOffset:  NULL, EndDateTime:  ", EndDateTimeUTCOffset:  ", ActionDescription:  "Action generated by Excel Template for Specimen v.0.1.0-alpha", ActionFileLink:  "}</t>
  </si>
  <si>
    <t xml:space="preserve">  - &amp;ActionID01502 {ActionTypeCV:  "Specimen analysis", MethodObj: *MethodID00004, BeginDateTime:  NULL, BeginDateTimeUTCOffset:  NULL, EndDateTime:  ", EndDateTimeUTCOffset:  ", ActionDescription:  "Action generated by Excel Template for Specimen v.0.1.0-alpha", ActionFileLink:  "}</t>
  </si>
  <si>
    <t xml:space="preserve">  - &amp;ActionID01503 {ActionTypeCV:  "Specimen analysis", MethodObj: *MethodID00004, BeginDateTime:  NULL, BeginDateTimeUTCOffset:  NULL, EndDateTime:  ", EndDateTimeUTCOffset:  ", ActionDescription:  "Action generated by Excel Template for Specimen v.0.1.0-alpha", ActionFileLink:  "}</t>
  </si>
  <si>
    <t xml:space="preserve">  - &amp;ActionID01504 {ActionTypeCV:  "Specimen analysis", MethodObj: *MethodID00004, BeginDateTime:  NULL, BeginDateTimeUTCOffset:  NULL, EndDateTime:  ", EndDateTimeUTCOffset:  ", ActionDescription:  "Action generated by Excel Template for Specimen v.0.1.0-alpha", ActionFileLink:  "}</t>
  </si>
  <si>
    <t xml:space="preserve">  - &amp;ActionID01505 {ActionTypeCV:  "Specimen analysis", MethodObj: *MethodID00004, BeginDateTime:  NULL, BeginDateTimeUTCOffset:  NULL, EndDateTime:  ", EndDateTimeUTCOffset:  ", ActionDescription:  "Action generated by Excel Template for Specimen v.0.1.0-alpha", ActionFileLink:  "}</t>
  </si>
  <si>
    <t xml:space="preserve">  - &amp;ActionID01506 {ActionTypeCV:  "Specimen analysis", MethodObj: *MethodID00004, BeginDateTime:  NULL, BeginDateTimeUTCOffset:  NULL, EndDateTime:  ", EndDateTimeUTCOffset:  ", ActionDescription:  "Action generated by Excel Template for Specimen v.0.1.0-alpha", ActionFileLink:  "}</t>
  </si>
  <si>
    <t xml:space="preserve">  - &amp;ActionID01507 {ActionTypeCV:  "Specimen analysis", MethodObj: *MethodID00004, BeginDateTime:  NULL, BeginDateTimeUTCOffset:  NULL, EndDateTime:  ", EndDateTimeUTCOffset:  ", ActionDescription:  "Action generated by Excel Template for Specimen v.0.1.0-alpha", ActionFileLink:  "}</t>
  </si>
  <si>
    <t xml:space="preserve">  - &amp;ActionID01508 {ActionTypeCV:  "Specimen analysis", MethodObj: *MethodID00004, BeginDateTime:  NULL, BeginDateTimeUTCOffset:  NULL, EndDateTime:  ", EndDateTimeUTCOffset:  ", ActionDescription:  "Action generated by Excel Template for Specimen v.0.1.0-alpha", ActionFileLink:  "}</t>
  </si>
  <si>
    <t xml:space="preserve">  - &amp;ActionID01512 {ActionTypeCV:  "Specimen analysis", MethodObj: *MethodID00004, BeginDateTime:  NULL, BeginDateTimeUTCOffset:  NULL, EndDateTime:  ", EndDateTimeUTCOffset:  ", ActionDescription:  "Action generated by Excel Template for Specimen v.0.1.0-alpha", ActionFileLink:  "}</t>
  </si>
  <si>
    <t xml:space="preserve">  - &amp;ActionID01513 {ActionTypeCV:  "Specimen analysis", MethodObj: *MethodID00004, BeginDateTime:  NULL, BeginDateTimeUTCOffset:  NULL, EndDateTime:  ", EndDateTimeUTCOffset:  ", ActionDescription:  "Action generated by Excel Template for Specimen v.0.1.0-alpha", ActionFileLink:  "}</t>
  </si>
  <si>
    <t xml:space="preserve">  - &amp;ActionID01514 {ActionTypeCV:  "Specimen analysis", MethodObj: *MethodID00004, BeginDateTime:  NULL, BeginDateTimeUTCOffset:  NULL, EndDateTime:  ", EndDateTimeUTCOffset:  ", ActionDescription:  "Action generated by Excel Template for Specimen v.0.1.0-alpha", ActionFileLink:  "}</t>
  </si>
  <si>
    <t xml:space="preserve">  - &amp;ActionID01515 {ActionTypeCV:  "Specimen analysis", MethodObj: *MethodID00004, BeginDateTime:  NULL, BeginDateTimeUTCOffset:  NULL, EndDateTime:  ", EndDateTimeUTCOffset:  ", ActionDescription:  "Action generated by Excel Template for Specimen v.0.1.0-alpha", ActionFileLink:  "}</t>
  </si>
  <si>
    <t xml:space="preserve">  - &amp;ActionID01516 {ActionTypeCV:  "Specimen analysis", MethodObj: *MethodID00004, BeginDateTime:  NULL, BeginDateTimeUTCOffset:  NULL, EndDateTime:  ", EndDateTimeUTCOffset:  ", ActionDescription:  "Action generated by Excel Template for Specimen v.0.1.0-alpha", ActionFileLink:  "}</t>
  </si>
  <si>
    <t xml:space="preserve">  - &amp;ActionID01517 {ActionTypeCV:  "Specimen analysis", MethodObj: *MethodID00004, BeginDateTime:  NULL, BeginDateTimeUTCOffset:  NULL, EndDateTime:  ", EndDateTimeUTCOffset:  ", ActionDescription:  "Action generated by Excel Template for Specimen v.0.1.0-alpha", ActionFileLink:  "}</t>
  </si>
  <si>
    <t xml:space="preserve">  - &amp;ActionID01518 {ActionTypeCV:  "Specimen analysis", MethodObj: *MethodID00004, BeginDateTime:  NULL, BeginDateTimeUTCOffset:  NULL, EndDateTime:  ", EndDateTimeUTCOffset:  ", ActionDescription:  "Action generated by Excel Template for Specimen v.0.1.0-alpha", ActionFileLink:  "}</t>
  </si>
  <si>
    <t xml:space="preserve">  - &amp;ActionID01519 {ActionTypeCV:  "Specimen analysis", MethodObj: *MethodID00004, BeginDateTime:  NULL, BeginDateTimeUTCOffset:  NULL, EndDateTime:  ", EndDateTimeUTCOffset:  ", ActionDescription:  "Action generated by Excel Template for Specimen v.0.1.0-alpha", ActionFileLink:  "}</t>
  </si>
  <si>
    <t xml:space="preserve">  - &amp;ActionID01520 {ActionTypeCV:  "Specimen analysis", MethodObj: *MethodID00004, BeginDateTime:  NULL, BeginDateTimeUTCOffset:  NULL, EndDateTime:  ", EndDateTimeUTCOffset:  ", ActionDescription:  "Action generated by Excel Template for Specimen v.0.1.0-alpha", ActionFileLink:  "}</t>
  </si>
  <si>
    <t xml:space="preserve">  - &amp;ActionID01521 {ActionTypeCV:  "Specimen analysis", MethodObj: *MethodID00004, BeginDateTime:  NULL, BeginDateTimeUTCOffset:  NULL, EndDateTime:  ", EndDateTimeUTCOffset:  ", ActionDescription:  "Action generated by Excel Template for Specimen v.0.1.0-alpha", ActionFileLink:  "}</t>
  </si>
  <si>
    <t xml:space="preserve">  - &amp;ActionID01522 {ActionTypeCV:  "Specimen analysis", MethodObj: *MethodID00004, BeginDateTime:  NULL, BeginDateTimeUTCOffset:  NULL, EndDateTime:  ", EndDateTimeUTCOffset:  ", ActionDescription:  "Action generated by Excel Template for Specimen v.0.1.0-alpha", ActionFileLink:  "}</t>
  </si>
  <si>
    <t xml:space="preserve">  - &amp;ActionID01523 {ActionTypeCV:  "Specimen analysis", MethodObj: *MethodID00004, BeginDateTime:  NULL, BeginDateTimeUTCOffset:  NULL, EndDateTime:  ", EndDateTimeUTCOffset:  ", ActionDescription:  "Action generated by Excel Template for Specimen v.0.1.0-alpha", ActionFileLink:  "}</t>
  </si>
  <si>
    <t xml:space="preserve">  - &amp;ActionID01524 {ActionTypeCV:  "Specimen analysis", MethodObj: *MethodID00004, BeginDateTime:  NULL, BeginDateTimeUTCOffset:  NULL, EndDateTime:  ", EndDateTimeUTCOffset:  ", ActionDescription:  "Action generated by Excel Template for Specimen v.0.1.0-alpha", ActionFileLink:  "}</t>
  </si>
  <si>
    <t xml:space="preserve">  - &amp;ActionID01525 {ActionTypeCV:  "Specimen analysis", MethodObj: *MethodID00004, BeginDateTime:  NULL, BeginDateTimeUTCOffset:  NULL, EndDateTime:  ", EndDateTimeUTCOffset:  ", ActionDescription:  "Action generated by Excel Template for Specimen v.0.1.0-alpha", ActionFileLink:  "}</t>
  </si>
  <si>
    <t xml:space="preserve">  - &amp;ActionID01526 {ActionTypeCV:  "Specimen analysis", MethodObj: *MethodID00004, BeginDateTime:  NULL, BeginDateTimeUTCOffset:  NULL, EndDateTime:  ", EndDateTimeUTCOffset:  ", ActionDescription:  "Action generated by Excel Template for Specimen v.0.1.0-alpha", ActionFileLink:  "}</t>
  </si>
  <si>
    <t xml:space="preserve">  - &amp;ActionID01527 {ActionTypeCV:  "Specimen analysis", MethodObj: *MethodID00004, BeginDateTime:  NULL, BeginDateTimeUTCOffset:  NULL, EndDateTime:  ", EndDateTimeUTCOffset:  ", ActionDescription:  "Action generated by Excel Template for Specimen v.0.1.0-alpha", ActionFileLink:  "}</t>
  </si>
  <si>
    <t xml:space="preserve">  - &amp;ActionID01528 {ActionTypeCV:  "Specimen analysis", MethodObj: *MethodID00004, BeginDateTime:  NULL, BeginDateTimeUTCOffset:  NULL, EndDateTime:  ", EndDateTimeUTCOffset:  ", ActionDescription:  "Action generated by Excel Template for Specimen v.0.1.0-alpha", ActionFileLink:  "}</t>
  </si>
  <si>
    <t xml:space="preserve">  - &amp;ActionID01529 {ActionTypeCV:  "Specimen analysis", MethodObj: *MethodID00004, BeginDateTime:  NULL, BeginDateTimeUTCOffset:  NULL, EndDateTime:  ", EndDateTimeUTCOffset:  ", ActionDescription:  "Action generated by Excel Template for Specimen v.0.1.0-alpha", ActionFileLink:  "}</t>
  </si>
  <si>
    <t xml:space="preserve">  - &amp;ActionID01530 {ActionTypeCV:  "Specimen analysis", MethodObj: *MethodID00004, BeginDateTime:  NULL, BeginDateTimeUTCOffset:  NULL, EndDateTime:  ", EndDateTimeUTCOffset:  ", ActionDescription:  "Action generated by Excel Template for Specimen v.0.1.0-alpha", ActionFileLink:  "}</t>
  </si>
  <si>
    <t xml:space="preserve">  - &amp;ActionID01531 {ActionTypeCV:  "Specimen analysis", MethodObj: *MethodID00004, BeginDateTime:  NULL, BeginDateTimeUTCOffset:  NULL, EndDateTime:  ", EndDateTimeUTCOffset:  ", ActionDescription:  "Action generated by Excel Template for Specimen v.0.1.0-alpha", ActionFileLink:  "}</t>
  </si>
  <si>
    <t xml:space="preserve">  - &amp;ActionID01532 {ActionTypeCV:  "Specimen analysis", MethodObj: *MethodID00004, BeginDateTime:  NULL, BeginDateTimeUTCOffset:  NULL, EndDateTime:  ", EndDateTimeUTCOffset:  ", ActionDescription:  "Action generated by Excel Template for Specimen v.0.1.0-alpha", ActionFileLink:  "}</t>
  </si>
  <si>
    <t xml:space="preserve">  - &amp;ActionID01533 {ActionTypeCV:  "Specimen analysis", MethodObj: *MethodID00004, BeginDateTime:  NULL, BeginDateTimeUTCOffset:  NULL, EndDateTime:  ", EndDateTimeUTCOffset:  ", ActionDescription:  "Action generated by Excel Template for Specimen v.0.1.0-alpha", ActionFileLink:  "}</t>
  </si>
  <si>
    <t xml:space="preserve">  - &amp;ActionID01534 {ActionTypeCV:  "Specimen analysis", MethodObj: *MethodID00004, BeginDateTime:  NULL, BeginDateTimeUTCOffset:  NULL, EndDateTime:  ", EndDateTimeUTCOffset:  ", ActionDescription:  "Action generated by Excel Template for Specimen v.0.1.0-alpha", ActionFileLink:  "}</t>
  </si>
  <si>
    <t xml:space="preserve">  - &amp;ActionID01535 {ActionTypeCV:  "Specimen analysis", MethodObj: *MethodID00004, BeginDateTime:  NULL, BeginDateTimeUTCOffset:  NULL, EndDateTime:  ", EndDateTimeUTCOffset:  ", ActionDescription:  "Action generated by Excel Template for Specimen v.0.1.0-alpha", ActionFileLink:  "}</t>
  </si>
  <si>
    <t xml:space="preserve">  - &amp;ActionID01536 {ActionTypeCV:  "Specimen analysis", MethodObj: *MethodID00004, BeginDateTime:  NULL, BeginDateTimeUTCOffset:  NULL, EndDateTime:  ", EndDateTimeUTCOffset:  ", ActionDescription:  "Action generated by Excel Template for Specimen v.0.1.0-alpha", ActionFileLink:  "}</t>
  </si>
  <si>
    <t xml:space="preserve">  - &amp;ActionID01537 {ActionTypeCV:  "Specimen analysis", MethodObj: *MethodID00004, BeginDateTime:  NULL, BeginDateTimeUTCOffset:  NULL, EndDateTime:  ", EndDateTimeUTCOffset:  ", ActionDescription:  "Action generated by Excel Template for Specimen v.0.1.0-alpha", ActionFileLink:  "}</t>
  </si>
  <si>
    <t xml:space="preserve">  - &amp;ActionID01538 {ActionTypeCV:  "Specimen analysis", MethodObj: *MethodID00004, BeginDateTime:  NULL, BeginDateTimeUTCOffset:  NULL, EndDateTime:  ", EndDateTimeUTCOffset:  ", ActionDescription:  "Action generated by Excel Template for Specimen v.0.1.0-alpha", ActionFileLink:  "}</t>
  </si>
  <si>
    <t xml:space="preserve">  - &amp;ActionID01539 {ActionTypeCV:  "Specimen analysis", MethodObj: *MethodID00004, BeginDateTime:  NULL, BeginDateTimeUTCOffset:  NULL, EndDateTime:  ", EndDateTimeUTCOffset:  ", ActionDescription:  "Action generated by Excel Template for Specimen v.0.1.0-alpha", ActionFileLink:  "}</t>
  </si>
  <si>
    <t xml:space="preserve">  - &amp;ActionID01540 {ActionTypeCV:  "Specimen analysis", MethodObj: *MethodID00004, BeginDateTime:  NULL, BeginDateTimeUTCOffset:  NULL, EndDateTime:  ", EndDateTimeUTCOffset:  ", ActionDescription:  "Action generated by Excel Template for Specimen v.0.1.0-alpha", ActionFileLink:  "}</t>
  </si>
  <si>
    <t xml:space="preserve">  - &amp;ActionID01541 {ActionTypeCV:  "Specimen analysis", MethodObj: *MethodID00004, BeginDateTime:  NULL, BeginDateTimeUTCOffset:  NULL, EndDateTime:  ", EndDateTimeUTCOffset:  ", ActionDescription:  "Action generated by Excel Template for Specimen v.0.1.0-alpha", ActionFileLink:  "}</t>
  </si>
  <si>
    <t xml:space="preserve">  - &amp;ActionID01542 {ActionTypeCV:  "Specimen analysis", MethodObj: *MethodID00004, BeginDateTime:  NULL, BeginDateTimeUTCOffset:  NULL, EndDateTime:  ", EndDateTimeUTCOffset:  ", ActionDescription:  "Action generated by Excel Template for Specimen v.0.1.0-alpha", ActionFileLink:  "}</t>
  </si>
  <si>
    <t xml:space="preserve">  - &amp;ActionID01543 {ActionTypeCV:  "Specimen analysis", MethodObj: *MethodID00004, BeginDateTime:  NULL, BeginDateTimeUTCOffset:  NULL, EndDateTime:  ", EndDateTimeUTCOffset:  ", ActionDescription:  "Action generated by Excel Template for Specimen v.0.1.0-alpha", ActionFileLink:  "}</t>
  </si>
  <si>
    <t xml:space="preserve">  - &amp;ActionID01544 {ActionTypeCV:  "Specimen analysis", MethodObj: *MethodID00004, BeginDateTime:  NULL, BeginDateTimeUTCOffset:  NULL, EndDateTime:  ", EndDateTimeUTCOffset:  ", ActionDescription:  "Action generated by Excel Template for Specimen v.0.1.0-alpha", ActionFileLink:  "}</t>
  </si>
  <si>
    <t xml:space="preserve">  - &amp;ActionID01545 {ActionTypeCV:  "Specimen analysis", MethodObj: *MethodID00004, BeginDateTime:  NULL, BeginDateTimeUTCOffset:  NULL, EndDateTime:  ", EndDateTimeUTCOffset:  ", ActionDescription:  "Action generated by Excel Template for Specimen v.0.1.0-alpha", ActionFileLink:  "}</t>
  </si>
  <si>
    <t xml:space="preserve">  - &amp;ActionID01546 {ActionTypeCV:  "Specimen analysis", MethodObj: *MethodID00004, BeginDateTime:  NULL, BeginDateTimeUTCOffset:  NULL, EndDateTime:  ", EndDateTimeUTCOffset:  ", ActionDescription:  "Action generated by Excel Template for Specimen v.0.1.0-alpha", ActionFileLink:  "}</t>
  </si>
  <si>
    <t xml:space="preserve">  - &amp;ActionID01547 {ActionTypeCV:  "Specimen analysis", MethodObj: *MethodID00004, BeginDateTime:  NULL, BeginDateTimeUTCOffset:  NULL, EndDateTime:  ", EndDateTimeUTCOffset:  ", ActionDescription:  "Action generated by Excel Template for Specimen v.0.1.0-alpha", ActionFileLink:  "}</t>
  </si>
  <si>
    <t xml:space="preserve">  - &amp;ActionID01550 {ActionTypeCV:  "Specimen analysis", MethodObj: *MethodID00004, BeginDateTime:  NULL, BeginDateTimeUTCOffset:  NULL, EndDateTime:  ", EndDateTimeUTCOffset:  ", ActionDescription:  "Action generated by Excel Template for Specimen v.0.1.0-alpha", ActionFileLink:  "}</t>
  </si>
  <si>
    <t xml:space="preserve">  - &amp;ActionID01551 {ActionTypeCV:  "Specimen analysis", MethodObj: *MethodID00004, BeginDateTime:  NULL, BeginDateTimeUTCOffset:  NULL, EndDateTime:  ", EndDateTimeUTCOffset:  ", ActionDescription:  "Action generated by Excel Template for Specimen v.0.1.0-alpha", ActionFileLink:  "}</t>
  </si>
  <si>
    <t xml:space="preserve">  - &amp;ActionID01552 {ActionTypeCV:  "Specimen analysis", MethodObj: *MethodID00004, BeginDateTime:  NULL, BeginDateTimeUTCOffset:  NULL, EndDateTime:  ", EndDateTimeUTCOffset:  ", ActionDescription:  "Action generated by Excel Template for Specimen v.0.1.0-alpha", ActionFileLink:  "}</t>
  </si>
  <si>
    <t xml:space="preserve">  - &amp;ActionID01553 {ActionTypeCV:  "Specimen analysis", MethodObj: *MethodID00004, BeginDateTime:  NULL, BeginDateTimeUTCOffset:  NULL, EndDateTime:  ", EndDateTimeUTCOffset:  ", ActionDescription:  "Action generated by Excel Template for Specimen v.0.1.0-alpha", ActionFileLink:  "}</t>
  </si>
  <si>
    <t xml:space="preserve">  - &amp;ActionID01554 {ActionTypeCV:  "Specimen analysis", MethodObj: *MethodID00004, BeginDateTime:  NULL, BeginDateTimeUTCOffset:  NULL, EndDateTime:  ", EndDateTimeUTCOffset:  ", ActionDescription:  "Action generated by Excel Template for Specimen v.0.1.0-alpha", ActionFileLink:  "}</t>
  </si>
  <si>
    <t xml:space="preserve">  - &amp;ActionID01555 {ActionTypeCV:  "Specimen analysis", MethodObj: *MethodID00004, BeginDateTime:  NULL, BeginDateTimeUTCOffset:  NULL, EndDateTime:  ", EndDateTimeUTCOffset:  ", ActionDescription:  "Action generated by Excel Template for Specimen v.0.1.0-alpha", ActionFileLink:  "}</t>
  </si>
  <si>
    <t xml:space="preserve">  - &amp;ActionID01556 {ActionTypeCV:  "Specimen analysis", MethodObj: *MethodID00004, BeginDateTime:  NULL, BeginDateTimeUTCOffset:  NULL, EndDateTime:  ", EndDateTimeUTCOffset:  ", ActionDescription:  "Action generated by Excel Template for Specimen v.0.1.0-alpha", ActionFileLink:  "}</t>
  </si>
  <si>
    <t xml:space="preserve">  - &amp;ActionID01557 {ActionTypeCV:  "Specimen analysis", MethodObj: *MethodID00004, BeginDateTime:  NULL, BeginDateTimeUTCOffset:  NULL, EndDateTime:  ", EndDateTimeUTCOffset:  ", ActionDescription:  "Action generated by Excel Template for Specimen v.0.1.0-alpha", ActionFileLink:  "}</t>
  </si>
  <si>
    <t xml:space="preserve">  - &amp;ActionID01558 {ActionTypeCV:  "Specimen analysis", MethodObj: *MethodID00004, BeginDateTime:  NULL, BeginDateTimeUTCOffset:  NULL, EndDateTime:  ", EndDateTimeUTCOffset:  ", ActionDescription:  "Action generated by Excel Template for Specimen v.0.1.0-alpha", ActionFileLink:  "}</t>
  </si>
  <si>
    <t xml:space="preserve">  - &amp;ActionID01559 {ActionTypeCV:  "Specimen analysis", MethodObj: *MethodID00004, BeginDateTime:  NULL, BeginDateTimeUTCOffset:  NULL, EndDateTime:  ", EndDateTimeUTCOffset:  ", ActionDescription:  "Action generated by Excel Template for Specimen v.0.1.0-alpha", ActionFileLink:  "}</t>
  </si>
  <si>
    <t xml:space="preserve">  - &amp;ActionID01560 {ActionTypeCV:  "Specimen analysis", MethodObj: *MethodID00004, BeginDateTime:  NULL, BeginDateTimeUTCOffset:  NULL, EndDateTime:  ", EndDateTimeUTCOffset:  ", ActionDescription:  "Action generated by Excel Template for Specimen v.0.1.0-alpha", ActionFileLink:  "}</t>
  </si>
  <si>
    <t xml:space="preserve">  - &amp;ActionID01561 {ActionTypeCV:  "Specimen analysis", MethodObj: *MethodID00004, BeginDateTime:  NULL, BeginDateTimeUTCOffset:  NULL, EndDateTime:  ", EndDateTimeUTCOffset:  ", ActionDescription:  "Action generated by Excel Template for Specimen v.0.1.0-alpha", ActionFileLink:  "}</t>
  </si>
  <si>
    <t xml:space="preserve">  - &amp;ActionID01562 {ActionTypeCV:  "Specimen analysis", MethodObj: *MethodID00004, BeginDateTime:  NULL, BeginDateTimeUTCOffset:  NULL, EndDateTime:  ", EndDateTimeUTCOffset:  ", ActionDescription:  "Action generated by Excel Template for Specimen v.0.1.0-alpha", ActionFileLink:  "}</t>
  </si>
  <si>
    <t xml:space="preserve">  - &amp;ActionID01563 {ActionTypeCV:  "Specimen analysis", MethodObj: *MethodID00004, BeginDateTime:  NULL, BeginDateTimeUTCOffset:  NULL, EndDateTime:  ", EndDateTimeUTCOffset:  ", ActionDescription:  "Action generated by Excel Template for Specimen v.0.1.0-alpha", ActionFileLink:  "}</t>
  </si>
  <si>
    <t xml:space="preserve">  - &amp;ActionID01564 {ActionTypeCV:  "Specimen analysis", MethodObj: *MethodID00004, BeginDateTime:  NULL, BeginDateTimeUTCOffset:  NULL, EndDateTime:  ", EndDateTimeUTCOffset:  ", ActionDescription:  "Action generated by Excel Template for Specimen v.0.1.0-alpha", ActionFileLink:  "}</t>
  </si>
  <si>
    <t xml:space="preserve">  - &amp;ActionID01565 {ActionTypeCV:  "Specimen analysis", MethodObj: *MethodID00004, BeginDateTime:  NULL, BeginDateTimeUTCOffset:  NULL, EndDateTime:  ", EndDateTimeUTCOffset:  ", ActionDescription:  "Action generated by Excel Template for Specimen v.0.1.0-alpha", ActionFileLink:  "}</t>
  </si>
  <si>
    <t xml:space="preserve">  - &amp;ActionID01566 {ActionTypeCV:  "Specimen analysis", MethodObj: *MethodID00004, BeginDateTime:  NULL, BeginDateTimeUTCOffset:  NULL, EndDateTime:  ", EndDateTimeUTCOffset:  ", ActionDescription:  "Action generated by Excel Template for Specimen v.0.1.0-alpha", ActionFileLink:  "}</t>
  </si>
  <si>
    <t xml:space="preserve">  - &amp;ActionID01567 {ActionTypeCV:  "Specimen analysis", MethodObj: *MethodID00004, BeginDateTime:  NULL, BeginDateTimeUTCOffset:  NULL, EndDateTime:  ", EndDateTimeUTCOffset:  ", ActionDescription:  "Action generated by Excel Template for Specimen v.0.1.0-alpha", ActionFileLink:  "}</t>
  </si>
  <si>
    <t xml:space="preserve">  - &amp;ActionID01568 {ActionTypeCV:  "Specimen analysis", MethodObj: *MethodID00004, BeginDateTime:  NULL, BeginDateTimeUTCOffset:  NULL, EndDateTime:  ", EndDateTimeUTCOffset:  ", ActionDescription:  "Action generated by Excel Template for Specimen v.0.1.0-alpha", ActionFileLink:  "}</t>
  </si>
  <si>
    <t xml:space="preserve">  - &amp;ActionID01569 {ActionTypeCV:  "Specimen analysis", MethodObj: *MethodID00004, BeginDateTime:  NULL, BeginDateTimeUTCOffset:  NULL, EndDateTime:  ", EndDateTimeUTCOffset:  ", ActionDescription:  "Action generated by Excel Template for Specimen v.0.1.0-alpha", ActionFileLink:  "}</t>
  </si>
  <si>
    <t xml:space="preserve">  - &amp;ActionID01570 {ActionTypeCV:  "Specimen analysis", MethodObj: *MethodID00004, BeginDateTime:  NULL, BeginDateTimeUTCOffset:  NULL, EndDateTime:  ", EndDateTimeUTCOffset:  ", ActionDescription:  "Action generated by Excel Template for Specimen v.0.1.0-alpha", ActionFileLink:  "}</t>
  </si>
  <si>
    <t xml:space="preserve">  - &amp;ActionID01571 {ActionTypeCV:  "Specimen analysis", MethodObj: *MethodID00004, BeginDateTime:  NULL, BeginDateTimeUTCOffset:  NULL, EndDateTime:  ", EndDateTimeUTCOffset:  ", ActionDescription:  "Action generated by Excel Template for Specimen v.0.1.0-alpha", ActionFileLink:  "}</t>
  </si>
  <si>
    <t xml:space="preserve">  - &amp;ActionID01572 {ActionTypeCV:  "Specimen analysis", MethodObj: *MethodID00004, BeginDateTime:  NULL, BeginDateTimeUTCOffset:  NULL, EndDateTime:  ", EndDateTimeUTCOffset:  ", ActionDescription:  "Action generated by Excel Template for Specimen v.0.1.0-alpha", ActionFileLink:  "}</t>
  </si>
  <si>
    <t xml:space="preserve">  - &amp;ActionID01573 {ActionTypeCV:  "Specimen analysis", MethodObj: *MethodID00004, BeginDateTime:  NULL, BeginDateTimeUTCOffset:  NULL, EndDateTime:  ", EndDateTimeUTCOffset:  ", ActionDescription:  "Action generated by Excel Template for Specimen v.0.1.0-alpha", ActionFileLink:  "}</t>
  </si>
  <si>
    <t xml:space="preserve">  - &amp;ActionID01574 {ActionTypeCV:  "Specimen analysis", MethodObj: *MethodID00004, BeginDateTime:  NULL, BeginDateTimeUTCOffset:  NULL, EndDateTime:  ", EndDateTimeUTCOffset:  ", ActionDescription:  "Action generated by Excel Template for Specimen v.0.1.0-alpha", ActionFileLink:  "}</t>
  </si>
  <si>
    <t xml:space="preserve">  - &amp;ActionID01575 {ActionTypeCV:  "Specimen analysis", MethodObj: *MethodID00004, BeginDateTime:  NULL, BeginDateTimeUTCOffset:  NULL, EndDateTime:  ", EndDateTimeUTCOffset:  ", ActionDescription:  "Action generated by Excel Template for Specimen v.0.1.0-alpha", ActionFileLink:  "}</t>
  </si>
  <si>
    <t xml:space="preserve">  - &amp;ActionID01576 {ActionTypeCV:  "Specimen analysis", MethodObj: *MethodID00004, BeginDateTime:  NULL, BeginDateTimeUTCOffset:  NULL, EndDateTime:  ", EndDateTimeUTCOffset:  ", ActionDescription:  "Action generated by Excel Template for Specimen v.0.1.0-alpha", ActionFileLink:  "}</t>
  </si>
  <si>
    <t xml:space="preserve">  - &amp;ActionID01577 {ActionTypeCV:  "Specimen analysis", MethodObj: *MethodID00004, BeginDateTime:  NULL, BeginDateTimeUTCOffset:  NULL, EndDateTime:  ", EndDateTimeUTCOffset:  ", ActionDescription:  "Action generated by Excel Template for Specimen v.0.1.0-alpha", ActionFileLink:  "}</t>
  </si>
  <si>
    <t xml:space="preserve">  - &amp;ActionID01578 {ActionTypeCV:  "Specimen analysis", MethodObj: *MethodID00004, BeginDateTime:  NULL, BeginDateTimeUTCOffset:  NULL, EndDateTime:  ", EndDateTimeUTCOffset:  ", ActionDescription:  "Action generated by Excel Template for Specimen v.0.1.0-alpha", ActionFileLink:  "}</t>
  </si>
  <si>
    <t xml:space="preserve">  - &amp;ActionID01579 {ActionTypeCV:  "Specimen analysis", MethodObj: *MethodID00004, BeginDateTime:  NULL, BeginDateTimeUTCOffset:  NULL, EndDateTime:  ", EndDateTimeUTCOffset:  ", ActionDescription:  "Action generated by Excel Template for Specimen v.0.1.0-alpha", ActionFileLink:  "}</t>
  </si>
  <si>
    <t xml:space="preserve">  - &amp;ActionID01580 {ActionTypeCV:  "Specimen analysis", MethodObj: *MethodID00004, BeginDateTime:  NULL, BeginDateTimeUTCOffset:  NULL, EndDateTime:  ", EndDateTimeUTCOffset:  ", ActionDescription:  "Action generated by Excel Template for Specimen v.0.1.0-alpha", ActionFileLink:  "}</t>
  </si>
  <si>
    <t xml:space="preserve">  - &amp;ActionID01581 {ActionTypeCV:  "Specimen analysis", MethodObj: *MethodID00004, BeginDateTime:  NULL, BeginDateTimeUTCOffset:  NULL, EndDateTime:  ", EndDateTimeUTCOffset:  ", ActionDescription:  "Action generated by Excel Template for Specimen v.0.1.0-alpha", ActionFileLink:  "}</t>
  </si>
  <si>
    <t xml:space="preserve">  - &amp;ActionID01582 {ActionTypeCV:  "Specimen analysis", MethodObj: *MethodID00004, BeginDateTime:  NULL, BeginDateTimeUTCOffset:  NULL, EndDateTime:  ", EndDateTimeUTCOffset:  ", ActionDescription:  "Action generated by Excel Template for Specimen v.0.1.0-alpha", ActionFileLink:  "}</t>
  </si>
  <si>
    <t xml:space="preserve">  - &amp;ActionID01583 {ActionTypeCV:  "Specimen analysis", MethodObj: *MethodID00004, BeginDateTime:  NULL, BeginDateTimeUTCOffset:  NULL, EndDateTime:  ", EndDateTimeUTCOffset:  ", ActionDescription:  "Action generated by Excel Template for Specimen v.0.1.0-alpha", ActionFileLink:  "}</t>
  </si>
  <si>
    <t xml:space="preserve">  - &amp;ActionID01584 {ActionTypeCV:  "Specimen analysis", MethodObj: *MethodID00004, BeginDateTime:  NULL, BeginDateTimeUTCOffset:  NULL, EndDateTime:  ", EndDateTimeUTCOffset:  ", ActionDescription:  "Action generated by Excel Template for Specimen v.0.1.0-alpha", ActionFileLink:  "}</t>
  </si>
  <si>
    <t xml:space="preserve">  - &amp;ActionID01585 {ActionTypeCV:  "Specimen analysis", MethodObj: *MethodID00004, BeginDateTime:  NULL, BeginDateTimeUTCOffset:  NULL, EndDateTime:  ", EndDateTimeUTCOffset:  ", ActionDescription:  "Action generated by Excel Template for Specimen v.0.1.0-alpha", ActionFileLink:  "}</t>
  </si>
  <si>
    <t xml:space="preserve">  - &amp;ActionID01586 {ActionTypeCV:  "Specimen analysis", MethodObj: *MethodID00004, BeginDateTime:  NULL, BeginDateTimeUTCOffset:  NULL, EndDateTime:  ", EndDateTimeUTCOffset:  ", ActionDescription:  "Action generated by Excel Template for Specimen v.0.1.0-alpha", ActionFileLink:  "}</t>
  </si>
  <si>
    <t xml:space="preserve">  - &amp;ActionID01587 {ActionTypeCV:  "Specimen analysis", MethodObj: *MethodID00004, BeginDateTime:  NULL, BeginDateTimeUTCOffset:  NULL, EndDateTime:  ", EndDateTimeUTCOffset:  ", ActionDescription:  "Action generated by Excel Template for Specimen v.0.1.0-alpha", ActionFileLink:  "}</t>
  </si>
  <si>
    <t xml:space="preserve">  - &amp;ActionID01588 {ActionTypeCV:  "Specimen analysis", MethodObj: *MethodID00004, BeginDateTime:  NULL, BeginDateTimeUTCOffset:  NULL, EndDateTime:  ", EndDateTimeUTCOffset:  ", ActionDescription:  "Action generated by Excel Template for Specimen v.0.1.0-alpha", ActionFileLink:  "}</t>
  </si>
  <si>
    <t xml:space="preserve">  - &amp;ActionID01589 {ActionTypeCV:  "Specimen analysis", MethodObj: *MethodID00004, BeginDateTime:  NULL, BeginDateTimeUTCOffset:  NULL, EndDateTime:  ", EndDateTimeUTCOffset:  ", ActionDescription:  "Action generated by Excel Template for Specimen v.0.1.0-alpha", ActionFileLink:  "}</t>
  </si>
  <si>
    <t xml:space="preserve">  - &amp;ActionID01590 {ActionTypeCV:  "Specimen analysis", MethodObj: *MethodID00004, BeginDateTime:  NULL, BeginDateTimeUTCOffset:  NULL, EndDateTime:  ", EndDateTimeUTCOffset:  ", ActionDescription:  "Action generated by Excel Template for Specimen v.0.1.0-alpha", ActionFileLink:  "}</t>
  </si>
  <si>
    <t xml:space="preserve">  - &amp;ActionID01591 {ActionTypeCV:  "Specimen analysis", MethodObj: *MethodID00004, BeginDateTime:  NULL, BeginDateTimeUTCOffset:  NULL, EndDateTime:  ", EndDateTimeUTCOffset:  ", ActionDescription:  "Action generated by Excel Template for Specimen v.0.1.0-alpha", ActionFileLink:  "}</t>
  </si>
  <si>
    <t xml:space="preserve">  - &amp;ActionID01592 {ActionTypeCV:  "Specimen analysis", MethodObj: *MethodID00004, BeginDateTime:  NULL, BeginDateTimeUTCOffset:  NULL, EndDateTime:  ", EndDateTimeUTCOffset:  ", ActionDescription:  "Action generated by Excel Template for Specimen v.0.1.0-alpha", ActionFileLink:  "}</t>
  </si>
  <si>
    <t xml:space="preserve">  - &amp;ActionID01593 {ActionTypeCV:  "Specimen analysis", MethodObj: *MethodID00004, BeginDateTime:  NULL, BeginDateTimeUTCOffset:  NULL, EndDateTime:  ", EndDateTimeUTCOffset:  ", ActionDescription:  "Action generated by Excel Template for Specimen v.0.1.0-alpha", ActionFileLink:  "}</t>
  </si>
  <si>
    <t xml:space="preserve">  - &amp;ActionID01594 {ActionTypeCV:  "Specimen analysis", MethodObj: *MethodID00004, BeginDateTime:  NULL, BeginDateTimeUTCOffset:  NULL, EndDateTime:  ", EndDateTimeUTCOffset:  ", ActionDescription:  "Action generated by Excel Template for Specimen v.0.1.0-alpha", ActionFileLink:  "}</t>
  </si>
  <si>
    <t xml:space="preserve">  - &amp;ActionID01595 {ActionTypeCV:  "Specimen analysis", MethodObj: *MethodID00004, BeginDateTime:  NULL, BeginDateTimeUTCOffset:  NULL, EndDateTime:  ", EndDateTimeUTCOffset:  ", ActionDescription:  "Action generated by Excel Template for Specimen v.0.1.0-alpha", ActionFileLink:  "}</t>
  </si>
  <si>
    <t xml:space="preserve">  - &amp;ActionID01596 {ActionTypeCV:  "Specimen analysis", MethodObj: *MethodID00004, BeginDateTime:  NULL, BeginDateTimeUTCOffset:  NULL, EndDateTime:  ", EndDateTimeUTCOffset:  ", ActionDescription:  "Action generated by Excel Template for Specimen v.0.1.0-alpha", ActionFileLink:  "}</t>
  </si>
  <si>
    <t xml:space="preserve">  - &amp;ActionID01597 {ActionTypeCV:  "Specimen analysis", MethodObj: *MethodID00004, BeginDateTime:  NULL, BeginDateTimeUTCOffset:  NULL, EndDateTime:  ", EndDateTimeUTCOffset:  ", ActionDescription:  "Action generated by Excel Template for Specimen v.0.1.0-alpha", ActionFileLink:  "}</t>
  </si>
  <si>
    <t xml:space="preserve">  - &amp;ActionID01598 {ActionTypeCV:  "Specimen analysis", MethodObj: *MethodID00004, BeginDateTime:  NULL, BeginDateTimeUTCOffset:  NULL, EndDateTime:  ", EndDateTimeUTCOffset:  ", ActionDescription:  "Action generated by Excel Template for Specimen v.0.1.0-alpha", ActionFileLink:  "}</t>
  </si>
  <si>
    <t xml:space="preserve">  - &amp;ActionID01599 {ActionTypeCV:  "Specimen analysis", MethodObj: *MethodID00004, BeginDateTime:  NULL, BeginDateTimeUTCOffset:  NULL, EndDateTime:  ", EndDateTimeUTCOffset:  ", ActionDescription:  "Action generated by Excel Template for Specimen v.0.1.0-alpha", ActionFileLink:  "}</t>
  </si>
  <si>
    <t xml:space="preserve">  - &amp;ActionID01600 {ActionTypeCV:  "Specimen analysis", MethodObj: *MethodID00004, BeginDateTime:  NULL, BeginDateTimeUTCOffset:  NULL, EndDateTime:  ", EndDateTimeUTCOffset:  ", ActionDescription:  "Action generated by Excel Template for Specimen v.0.1.0-alpha", ActionFileLink:  "}</t>
  </si>
  <si>
    <t xml:space="preserve">  - &amp;ActionID01601 {ActionTypeCV:  "Specimen analysis", MethodObj: *MethodID00004, BeginDateTime:  NULL, BeginDateTimeUTCOffset:  NULL, EndDateTime:  ", EndDateTimeUTCOffset:  ", ActionDescription:  "Action generated by Excel Template for Specimen v.0.1.0-alpha", ActionFileLink:  "}</t>
  </si>
  <si>
    <t xml:space="preserve">  - &amp;ActionID01602 {ActionTypeCV:  "Specimen analysis", MethodObj: *MethodID00004, BeginDateTime:  NULL, BeginDateTimeUTCOffset:  NULL, EndDateTime:  ", EndDateTimeUTCOffset:  ", ActionDescription:  "Action generated by Excel Template for Specimen v.0.1.0-alpha", ActionFileLink:  "}</t>
  </si>
  <si>
    <t xml:space="preserve">  - &amp;ActionID01603 {ActionTypeCV:  "Specimen analysis", MethodObj: *MethodID00004, BeginDateTime:  NULL, BeginDateTimeUTCOffset:  NULL, EndDateTime:  ", EndDateTimeUTCOffset:  ", ActionDescription:  "Action generated by Excel Template for Specimen v.0.1.0-alpha", ActionFileLink:  "}</t>
  </si>
  <si>
    <t xml:space="preserve">  - &amp;ActionID01604 {ActionTypeCV:  "Specimen analysis", MethodObj: *MethodID00004, BeginDateTime:  NULL, BeginDateTimeUTCOffset:  NULL, EndDateTime:  ", EndDateTimeUTCOffset:  ", ActionDescription:  "Action generated by Excel Template for Specimen v.0.1.0-alpha", ActionFileLink:  "}</t>
  </si>
  <si>
    <t xml:space="preserve">  - &amp;ActionID01605 {ActionTypeCV:  "Specimen analysis", MethodObj: *MethodID00004, BeginDateTime:  NULL, BeginDateTimeUTCOffset:  NULL, EndDateTime:  ", EndDateTimeUTCOffset:  ", ActionDescription:  "Action generated by Excel Template for Specimen v.0.1.0-alpha", ActionFileLink:  "}</t>
  </si>
  <si>
    <t xml:space="preserve">  - &amp;ActionID01606 {ActionTypeCV:  "Specimen analysis", MethodObj: *MethodID00004, BeginDateTime:  NULL, BeginDateTimeUTCOffset:  NULL, EndDateTime:  ", EndDateTimeUTCOffset:  ", ActionDescription:  "Action generated by Excel Template for Specimen v.0.1.0-alpha", ActionFileLink:  "}</t>
  </si>
  <si>
    <t xml:space="preserve">  - &amp;ActionID01607 {ActionTypeCV:  "Specimen analysis", MethodObj: *MethodID00004, BeginDateTime:  NULL, BeginDateTimeUTCOffset:  NULL, EndDateTime:  ", EndDateTimeUTCOffset:  ", ActionDescription:  "Action generated by Excel Template for Specimen v.0.1.0-alpha", ActionFileLink:  "}</t>
  </si>
  <si>
    <t xml:space="preserve">  - &amp;ActionID01608 {ActionTypeCV:  "Specimen analysis", MethodObj: *MethodID00004, BeginDateTime:  NULL, BeginDateTimeUTCOffset:  NULL, EndDateTime:  ", EndDateTimeUTCOffset:  ", ActionDescription:  "Action generated by Excel Template for Specimen v.0.1.0-alpha", ActionFileLink:  "}</t>
  </si>
  <si>
    <t xml:space="preserve">  - &amp;ActionID01609 {ActionTypeCV:  "Specimen analysis", MethodObj: *MethodID00004, BeginDateTime:  NULL, BeginDateTimeUTCOffset:  NULL, EndDateTime:  ", EndDateTimeUTCOffset:  ", ActionDescription:  "Action generated by Excel Template for Specimen v.0.1.0-alpha", ActionFileLink:  "}</t>
  </si>
  <si>
    <t xml:space="preserve">  - &amp;ActionID01610 {ActionTypeCV:  "Specimen analysis", MethodObj: *MethodID00004, BeginDateTime:  NULL, BeginDateTimeUTCOffset:  NULL, EndDateTime:  ", EndDateTimeUTCOffset:  ", ActionDescription:  "Action generated by Excel Template for Specimen v.0.1.0-alpha", ActionFileLink:  "}</t>
  </si>
  <si>
    <t xml:space="preserve">  - &amp;ActionID01611 {ActionTypeCV:  "Specimen analysis", MethodObj: *MethodID00004, BeginDateTime:  NULL, BeginDateTimeUTCOffset:  NULL, EndDateTime:  ", EndDateTimeUTCOffset:  ", ActionDescription:  "Action generated by Excel Template for Specimen v.0.1.0-alpha", ActionFileLink:  "}</t>
  </si>
  <si>
    <t xml:space="preserve">  - &amp;ActionID01612 {ActionTypeCV:  "Specimen analysis", MethodObj: *MethodID00004, BeginDateTime:  NULL, BeginDateTimeUTCOffset:  NULL, EndDateTime:  ", EndDateTimeUTCOffset:  ", ActionDescription:  "Action generated by Excel Template for Specimen v.0.1.0-alpha", ActionFileLink:  "}</t>
  </si>
  <si>
    <t xml:space="preserve">  - &amp;ActionID01613 {ActionTypeCV:  "Specimen analysis", MethodObj: *MethodID00004, BeginDateTime:  NULL, BeginDateTimeUTCOffset:  NULL, EndDateTime:  ", EndDateTimeUTCOffset:  ", ActionDescription:  "Action generated by Excel Template for Specimen v.0.1.0-alpha", ActionFileLink:  "}</t>
  </si>
  <si>
    <t xml:space="preserve">  - &amp;ActionID01614 {ActionTypeCV:  "Specimen analysis", MethodObj: *MethodID00004, BeginDateTime:  NULL, BeginDateTimeUTCOffset:  NULL, EndDateTime:  ", EndDateTimeUTCOffset:  ", ActionDescription:  "Action generated by Excel Template for Specimen v.0.1.0-alpha", ActionFileLink:  "}</t>
  </si>
  <si>
    <t xml:space="preserve">  - &amp;ActionID01615 {ActionTypeCV:  "Specimen analysis", MethodObj: *MethodID00004, BeginDateTime:  NULL, BeginDateTimeUTCOffset:  NULL, EndDateTime:  ", EndDateTimeUTCOffset:  ", ActionDescription:  "Action generated by Excel Template for Specimen v.0.1.0-alpha", ActionFileLink:  "}</t>
  </si>
  <si>
    <t xml:space="preserve">  - &amp;ActionID01616 {ActionTypeCV:  "Specimen analysis", MethodObj: *MethodID00004, BeginDateTime:  NULL, BeginDateTimeUTCOffset:  NULL, EndDateTime:  ", EndDateTimeUTCOffset:  ", ActionDescription:  "Action generated by Excel Template for Specimen v.0.1.0-alpha", ActionFileLink:  "}</t>
  </si>
  <si>
    <t xml:space="preserve">  - &amp;ActionID01617 {ActionTypeCV:  "Specimen analysis", MethodObj: *MethodID00004, BeginDateTime:  NULL, BeginDateTimeUTCOffset:  NULL, EndDateTime:  ", EndDateTimeUTCOffset:  ", ActionDescription:  "Action generated by Excel Template for Specimen v.0.1.0-alpha", ActionFileLink:  "}</t>
  </si>
  <si>
    <t xml:space="preserve">  - &amp;ActionID01618 {ActionTypeCV:  "Specimen analysis", MethodObj: *MethodID00004, BeginDateTime:  NULL, BeginDateTimeUTCOffset:  NULL, EndDateTime:  ", EndDateTimeUTCOffset:  ", ActionDescription:  "Action generated by Excel Template for Specimen v.0.1.0-alpha", ActionFileLink:  "}</t>
  </si>
  <si>
    <t xml:space="preserve">  - &amp;ActionID01619 {ActionTypeCV:  "Specimen analysis", MethodObj: *MethodID00004, BeginDateTime:  NULL, BeginDateTimeUTCOffset:  NULL, EndDateTime:  ", EndDateTimeUTCOffset:  ", ActionDescription:  "Action generated by Excel Template for Specimen v.0.1.0-alpha", ActionFileLink:  "}</t>
  </si>
  <si>
    <t xml:space="preserve">  - &amp;ActionID01620 {ActionTypeCV:  "Specimen analysis", MethodObj: *MethodID00004, BeginDateTime:  NULL, BeginDateTimeUTCOffset:  NULL, EndDateTime:  ", EndDateTimeUTCOffset:  ", ActionDescription:  "Action generated by Excel Template for Specimen v.0.1.0-alpha", ActionFileLink:  "}</t>
  </si>
  <si>
    <t xml:space="preserve">  - &amp;ActionID01621 {ActionTypeCV:  "Specimen analysis", MethodObj: *MethodID00004, BeginDateTime:  NULL, BeginDateTimeUTCOffset:  NULL, EndDateTime:  ", EndDateTimeUTCOffset:  ", ActionDescription:  "Action generated by Excel Template for Specimen v.0.1.0-alpha", ActionFileLink:  "}</t>
  </si>
  <si>
    <t xml:space="preserve">  - &amp;ActionID01622 {ActionTypeCV:  "Specimen analysis", MethodObj: *MethodID00004, BeginDateTime:  NULL, BeginDateTimeUTCOffset:  NULL, EndDateTime:  ", EndDateTimeUTCOffset:  ", ActionDescription:  "Action generated by Excel Template for Specimen v.0.1.0-alpha", ActionFileLink:  "}</t>
  </si>
  <si>
    <t xml:space="preserve">  - &amp;ActionID01623 {ActionTypeCV:  "Specimen analysis", MethodObj: *MethodID00004, BeginDateTime:  NULL, BeginDateTimeUTCOffset:  NULL, EndDateTime:  ", EndDateTimeUTCOffset:  ", ActionDescription:  "Action generated by Excel Template for Specimen v.0.1.0-alpha", ActionFileLink:  "}</t>
  </si>
  <si>
    <t xml:space="preserve">  - &amp;ActionID01624 {ActionTypeCV:  "Specimen analysis", MethodObj: *MethodID00004, BeginDateTime:  NULL, BeginDateTimeUTCOffset:  NULL, EndDateTime:  ", EndDateTimeUTCOffset:  ", ActionDescription:  "Action generated by Excel Template for Specimen v.0.1.0-alpha", ActionFileLink:  "}</t>
  </si>
  <si>
    <t xml:space="preserve">  - &amp;ActionID01625 {ActionTypeCV:  "Specimen analysis", MethodObj: *MethodID00004, BeginDateTime:  NULL, BeginDateTimeUTCOffset:  NULL, EndDateTime:  ", EndDateTimeUTCOffset:  ", ActionDescription:  "Action generated by Excel Template for Specimen v.0.1.0-alpha", ActionFileLink:  "}</t>
  </si>
  <si>
    <t xml:space="preserve">  - &amp;ActionID01626 {ActionTypeCV:  "Specimen analysis", MethodObj: *MethodID00004, BeginDateTime:  NULL, BeginDateTimeUTCOffset:  NULL, EndDateTime:  ", EndDateTimeUTCOffset:  ", ActionDescription:  "Action generated by Excel Template for Specimen v.0.1.0-alpha", ActionFileLink:  "}</t>
  </si>
  <si>
    <t xml:space="preserve">  - &amp;ActionID01627 {ActionTypeCV:  "Specimen analysis", MethodObj: *MethodID00004, BeginDateTime:  NULL, BeginDateTimeUTCOffset:  NULL, EndDateTime:  ", EndDateTimeUTCOffset:  ", ActionDescription:  "Action generated by Excel Template for Specimen v.0.1.0-alpha", ActionFileLink:  "}</t>
  </si>
  <si>
    <t xml:space="preserve">  - &amp;ActionID01628 {ActionTypeCV:  "Specimen analysis", MethodObj: *MethodID00004, BeginDateTime:  NULL, BeginDateTimeUTCOffset:  NULL, EndDateTime:  ", EndDateTimeUTCOffset:  ", ActionDescription:  "Action generated by Excel Template for Specimen v.0.1.0-alpha", ActionFileLink:  "}</t>
  </si>
  <si>
    <t xml:space="preserve">  - &amp;ActionID01629 {ActionTypeCV:  "Specimen analysis", MethodObj: *MethodID00004, BeginDateTime:  NULL, BeginDateTimeUTCOffset:  NULL, EndDateTime:  ", EndDateTimeUTCOffset:  ", ActionDescription:  "Action generated by Excel Template for Specimen v.0.1.0-alpha", ActionFileLink:  "}</t>
  </si>
  <si>
    <t xml:space="preserve">  - &amp;ActionID01630 {ActionTypeCV:  "Specimen analysis", MethodObj: *MethodID00004, BeginDateTime:  NULL, BeginDateTimeUTCOffset:  NULL, EndDateTime:  ", EndDateTimeUTCOffset:  ", ActionDescription:  "Action generated by Excel Template for Specimen v.0.1.0-alpha", ActionFileLink:  "}</t>
  </si>
  <si>
    <t xml:space="preserve">  - &amp;ActionID01631 {ActionTypeCV:  "Specimen analysis", MethodObj: *MethodID00004, BeginDateTime:  NULL, BeginDateTimeUTCOffset:  NULL, EndDateTime:  ", EndDateTimeUTCOffset:  ", ActionDescription:  "Action generated by Excel Template for Specimen v.0.1.0-alpha", ActionFileLink:  "}</t>
  </si>
  <si>
    <t xml:space="preserve">  - &amp;ActionID01632 {ActionTypeCV:  "Specimen analysis", MethodObj: *MethodID00004, BeginDateTime:  NULL, BeginDateTimeUTCOffset:  NULL, EndDateTime:  ", EndDateTimeUTCOffset:  ", ActionDescription:  "Action generated by Excel Template for Specimen v.0.1.0-alpha", ActionFileLink:  "}</t>
  </si>
  <si>
    <t xml:space="preserve">  - &amp;ActionID01633 {ActionTypeCV:  "Specimen analysis", MethodObj: *MethodID00004, BeginDateTime:  NULL, BeginDateTimeUTCOffset:  NULL, EndDateTime:  ", EndDateTimeUTCOffset:  ", ActionDescription:  "Action generated by Excel Template for Specimen v.0.1.0-alpha", ActionFileLink:  "}</t>
  </si>
  <si>
    <t xml:space="preserve">  - &amp;ActionID01655 {ActionTypeCV:  "Specimen analysis", MethodObj: *MethodID00004, BeginDateTime:  NULL, BeginDateTimeUTCOffset:  NULL, EndDateTime:  ", EndDateTimeUTCOffset:  ", ActionDescription:  "Action generated by Excel Template for Specimen v.0.1.0-alpha", ActionFileLink:  "}</t>
  </si>
  <si>
    <t xml:space="preserve">  - &amp;ActionID01656 {ActionTypeCV:  "Specimen analysis", MethodObj: *MethodID00004, BeginDateTime:  NULL, BeginDateTimeUTCOffset:  NULL, EndDateTime:  ", EndDateTimeUTCOffset:  ", ActionDescription:  "Action generated by Excel Template for Specimen v.0.1.0-alpha", ActionFileLink:  "}</t>
  </si>
  <si>
    <t xml:space="preserve">  - &amp;ActionID01657 {ActionTypeCV:  "Specimen analysis", MethodObj: *MethodID00004, BeginDateTime:  NULL, BeginDateTimeUTCOffset:  NULL, EndDateTime:  ", EndDateTimeUTCOffset:  ", ActionDescription:  "Action generated by Excel Template for Specimen v.0.1.0-alpha", ActionFileLink:  "}</t>
  </si>
  <si>
    <t xml:space="preserve">  - &amp;ActionID01658 {ActionTypeCV:  "Specimen analysis", MethodObj: *MethodID00004, BeginDateTime:  NULL, BeginDateTimeUTCOffset:  NULL, EndDateTime:  ", EndDateTimeUTCOffset:  ", ActionDescription:  "Action generated by Excel Template for Specimen v.0.1.0-alpha", ActionFileLink:  "}</t>
  </si>
  <si>
    <t xml:space="preserve">  - &amp;ActionID01659 {ActionTypeCV:  "Specimen analysis", MethodObj: *MethodID00004, BeginDateTime:  NULL, BeginDateTimeUTCOffset:  NULL, EndDateTime:  ", EndDateTimeUTCOffset:  ", ActionDescription:  "Action generated by Excel Template for Specimen v.0.1.0-alpha", ActionFileLink:  "}</t>
  </si>
  <si>
    <t xml:space="preserve">  - &amp;ActionID01660 {ActionTypeCV:  "Specimen analysis", MethodObj: *MethodID00004, BeginDateTime:  NULL, BeginDateTimeUTCOffset:  NULL, EndDateTime:  ", EndDateTimeUTCOffset:  ", ActionDescription:  "Action generated by Excel Template for Specimen v.0.1.0-alpha", ActionFileLink:  "}</t>
  </si>
  <si>
    <t xml:space="preserve">  - &amp;ActionID01661 {ActionTypeCV:  "Specimen analysis", MethodObj: *MethodID00004, BeginDateTime:  NULL, BeginDateTimeUTCOffset:  NULL, EndDateTime:  ", EndDateTimeUTCOffset:  ", ActionDescription:  "Action generated by Excel Template for Specimen v.0.1.0-alpha", ActionFileLink:  "}</t>
  </si>
  <si>
    <t xml:space="preserve">  - &amp;ActionID01662 {ActionTypeCV:  "Specimen analysis", MethodObj: *MethodID00004, BeginDateTime:  NULL, BeginDateTimeUTCOffset:  NULL, EndDateTime:  ", EndDateTimeUTCOffset:  ", ActionDescription:  "Action generated by Excel Template for Specimen v.0.1.0-alpha", ActionFileLink:  "}</t>
  </si>
  <si>
    <t xml:space="preserve">  - &amp;ActionID01856 {ActionTypeCV:  "Specimen analysis", MethodObj: *MethodID00005, BeginDateTime:  NULL, BeginDateTimeUTCOffset:  NULL, EndDateTime:  ", EndDateTimeUTCOffset:  ", ActionDescription:  "Action generated by Excel Template for Specimen v.0.1.0-alpha", ActionFileLink:  "}</t>
  </si>
  <si>
    <t xml:space="preserve">  - &amp;ActionID01857 {ActionTypeCV:  "Specimen analysis", MethodObj: *MethodID00005, BeginDateTime:  NULL, BeginDateTimeUTCOffset:  NULL, EndDateTime:  ", EndDateTimeUTCOffset:  ", ActionDescription:  "Action generated by Excel Template for Specimen v.0.1.0-alpha", ActionFileLink:  "}</t>
  </si>
  <si>
    <t xml:space="preserve">  - &amp;ActionID01858 {ActionTypeCV:  "Specimen analysis", MethodObj: *MethodID00005, BeginDateTime:  NULL, BeginDateTimeUTCOffset:  NULL, EndDateTime:  ", EndDateTimeUTCOffset:  ", ActionDescription:  "Action generated by Excel Template for Specimen v.0.1.0-alpha", ActionFileLink:  "}</t>
  </si>
  <si>
    <t xml:space="preserve">  - &amp;ActionID01859 {ActionTypeCV:  "Specimen analysis", MethodObj: *MethodID00005, BeginDateTime:  NULL, BeginDateTimeUTCOffset:  NULL, EndDateTime:  ", EndDateTimeUTCOffset:  ", ActionDescription:  "Action generated by Excel Template for Specimen v.0.1.0-alpha", ActionFileLink:  "}</t>
  </si>
  <si>
    <t xml:space="preserve">  - &amp;ActionID01860 {ActionTypeCV:  "Specimen analysis", MethodObj: *MethodID00005, BeginDateTime:  NULL, BeginDateTimeUTCOffset:  NULL, EndDateTime:  ", EndDateTimeUTCOffset:  ", ActionDescription:  "Action generated by Excel Template for Specimen v.0.1.0-alpha", ActionFileLink:  "}</t>
  </si>
  <si>
    <t xml:space="preserve">  - &amp;ActionID01861 {ActionTypeCV:  "Specimen analysis", MethodObj: *MethodID00005, BeginDateTime:  NULL, BeginDateTimeUTCOffset:  NULL, EndDateTime:  ", EndDateTimeUTCOffset:  ", ActionDescription:  "Action generated by Excel Template for Specimen v.0.1.0-alpha", ActionFileLink:  "}</t>
  </si>
  <si>
    <t xml:space="preserve">  - &amp;ActionID01862 {ActionTypeCV:  "Specimen analysis", MethodObj: *MethodID00005, BeginDateTime:  NULL, BeginDateTimeUTCOffset:  NULL, EndDateTime:  ", EndDateTimeUTCOffset:  ", ActionDescription:  "Action generated by Excel Template for Specimen v.0.1.0-alpha", ActionFileLink:  "}</t>
  </si>
  <si>
    <t xml:space="preserve">  - &amp;ActionID01863 {ActionTypeCV:  "Specimen analysis", MethodObj: *MethodID00005, BeginDateTime:  NULL, BeginDateTimeUTCOffset:  NULL, EndDateTime:  ", EndDateTimeUTCOffset:  ", ActionDescription:  "Action generated by Excel Template for Specimen v.0.1.0-alpha", ActionFileLink:  "}</t>
  </si>
  <si>
    <t xml:space="preserve">  - &amp;ActionID01864 {ActionTypeCV:  "Specimen analysis", MethodObj: *MethodID00005, BeginDateTime:  NULL, BeginDateTimeUTCOffset:  NULL, EndDateTime:  ", EndDateTimeUTCOffset:  ", ActionDescription:  "Action generated by Excel Template for Specimen v.0.1.0-alpha", ActionFileLink:  "}</t>
  </si>
  <si>
    <t xml:space="preserve">  - &amp;ActionID01865 {ActionTypeCV:  "Specimen analysis", MethodObj: *MethodID00005, BeginDateTime:  NULL, BeginDateTimeUTCOffset:  NULL, EndDateTime:  ", EndDateTimeUTCOffset:  ", ActionDescription:  "Action generated by Excel Template for Specimen v.0.1.0-alpha", ActionFileLink:  "}</t>
  </si>
  <si>
    <t xml:space="preserve">  - &amp;ActionID01866 {ActionTypeCV:  "Specimen analysis", MethodObj: *MethodID00005, BeginDateTime:  NULL, BeginDateTimeUTCOffset:  NULL, EndDateTime:  ", EndDateTimeUTCOffset:  ", ActionDescription:  "Action generated by Excel Template for Specimen v.0.1.0-alpha", ActionFileLink:  "}</t>
  </si>
  <si>
    <t xml:space="preserve">  - &amp;ActionID01867 {ActionTypeCV:  "Specimen analysis", MethodObj: *MethodID00005, BeginDateTime:  NULL, BeginDateTimeUTCOffset:  NULL, EndDateTime:  ", EndDateTimeUTCOffset:  ", ActionDescription:  "Action generated by Excel Template for Specimen v.0.1.0-alpha", ActionFileLink:  "}</t>
  </si>
  <si>
    <t xml:space="preserve">  - &amp;ActionID01868 {ActionTypeCV:  "Specimen analysis", MethodObj: *MethodID00005, BeginDateTime:  NULL, BeginDateTimeUTCOffset:  NULL, EndDateTime:  ", EndDateTimeUTCOffset:  ", ActionDescription:  "Action generated by Excel Template for Specimen v.0.1.0-alpha", ActionFileLink:  "}</t>
  </si>
  <si>
    <t xml:space="preserve">  - &amp;ActionID01869 {ActionTypeCV:  "Specimen analysis", MethodObj: *MethodID00005, BeginDateTime:  NULL, BeginDateTimeUTCOffset:  NULL, EndDateTime:  ", EndDateTimeUTCOffset:  ", ActionDescription:  "Action generated by Excel Template for Specimen v.0.1.0-alpha", ActionFileLink:  "}</t>
  </si>
  <si>
    <t xml:space="preserve">  - &amp;ActionID01870 {ActionTypeCV:  "Specimen analysis", MethodObj: *MethodID00005, BeginDateTime:  NULL, BeginDateTimeUTCOffset:  NULL, EndDateTime:  ", EndDateTimeUTCOffset:  ", ActionDescription:  "Action generated by Excel Template for Specimen v.0.1.0-alpha", ActionFileLink:  "}</t>
  </si>
  <si>
    <t xml:space="preserve">  - &amp;ActionID01871 {ActionTypeCV:  "Specimen analysis", MethodObj: *MethodID00005, BeginDateTime:  NULL, BeginDateTimeUTCOffset:  NULL, EndDateTime:  ", EndDateTimeUTCOffset:  ", ActionDescription:  "Action generated by Excel Template for Specimen v.0.1.0-alpha", ActionFileLink:  "}</t>
  </si>
  <si>
    <t xml:space="preserve">  - &amp;ActionID01872 {ActionTypeCV:  "Specimen analysis", MethodObj: *MethodID00005, BeginDateTime:  NULL, BeginDateTimeUTCOffset:  NULL, EndDateTime:  ", EndDateTimeUTCOffset:  ", ActionDescription:  "Action generated by Excel Template for Specimen v.0.1.0-alpha", ActionFileLink:  "}</t>
  </si>
  <si>
    <t xml:space="preserve">  - &amp;ActionID01873 {ActionTypeCV:  "Specimen analysis", MethodObj: *MethodID00005, BeginDateTime:  NULL, BeginDateTimeUTCOffset:  NULL, EndDateTime:  ", EndDateTimeUTCOffset:  ", ActionDescription:  "Action generated by Excel Template for Specimen v.0.1.0-alpha", ActionFileLink:  "}</t>
  </si>
  <si>
    <t xml:space="preserve">  - &amp;ActionID01874 {ActionTypeCV:  "Specimen analysis", MethodObj: *MethodID00005, BeginDateTime:  NULL, BeginDateTimeUTCOffset:  NULL, EndDateTime:  ", EndDateTimeUTCOffset:  ", ActionDescription:  "Action generated by Excel Template for Specimen v.0.1.0-alpha", ActionFileLink:  "}</t>
  </si>
  <si>
    <t xml:space="preserve">  - &amp;ActionID01875 {ActionTypeCV:  "Specimen analysis", MethodObj: *MethodID00005, BeginDateTime:  NULL, BeginDateTimeUTCOffset:  NULL, EndDateTime:  ", EndDateTimeUTCOffset:  ", ActionDescription:  "Action generated by Excel Template for Specimen v.0.1.0-alpha", ActionFileLink:  "}</t>
  </si>
  <si>
    <t xml:space="preserve">  - &amp;ActionID01876 {ActionTypeCV:  "Specimen analysis", MethodObj: *MethodID00005, BeginDateTime:  NULL, BeginDateTimeUTCOffset:  NULL, EndDateTime:  ", EndDateTimeUTCOffset:  ", ActionDescription:  "Action generated by Excel Template for Specimen v.0.1.0-alpha", ActionFileLink:  "}</t>
  </si>
  <si>
    <t xml:space="preserve">  - &amp;ActionID01877 {ActionTypeCV:  "Specimen analysis", MethodObj: *MethodID00005, BeginDateTime:  NULL, BeginDateTimeUTCOffset:  NULL, EndDateTime:  ", EndDateTimeUTCOffset:  ", ActionDescription:  "Action generated by Excel Template for Specimen v.0.1.0-alpha", ActionFileLink:  "}</t>
  </si>
  <si>
    <t xml:space="preserve">  - &amp;ActionID01878 {ActionTypeCV:  "Specimen analysis", MethodObj: *MethodID00005, BeginDateTime:  NULL, BeginDateTimeUTCOffset:  NULL, EndDateTime:  ", EndDateTimeUTCOffset:  ", ActionDescription:  "Action generated by Excel Template for Specimen v.0.1.0-alpha", ActionFileLink:  "}</t>
  </si>
  <si>
    <t xml:space="preserve">  - &amp;ActionID01879 {ActionTypeCV:  "Specimen analysis", MethodObj: *MethodID00005, BeginDateTime:  NULL, BeginDateTimeUTCOffset:  NULL, EndDateTime:  ", EndDateTimeUTCOffset:  ", ActionDescription:  "Action generated by Excel Template for Specimen v.0.1.0-alpha", ActionFileLink:  "}</t>
  </si>
  <si>
    <t xml:space="preserve">  - &amp;ActionID01880 {ActionTypeCV:  "Specimen analysis", MethodObj: *MethodID00005, BeginDateTime:  NULL, BeginDateTimeUTCOffset:  NULL, EndDateTime:  ", EndDateTimeUTCOffset:  ", ActionDescription:  "Action generated by Excel Template for Specimen v.0.1.0-alpha", ActionFileLink:  "}</t>
  </si>
  <si>
    <t xml:space="preserve">  - &amp;ActionID01881 {ActionTypeCV:  "Specimen analysis", MethodObj: *MethodID00005, BeginDateTime:  NULL, BeginDateTimeUTCOffset:  NULL, EndDateTime:  ", EndDateTimeUTCOffset:  ", ActionDescription:  "Action generated by Excel Template for Specimen v.0.1.0-alpha", ActionFileLink:  "}</t>
  </si>
  <si>
    <t xml:space="preserve">  - &amp;ActionID01882 {ActionTypeCV:  "Specimen analysis", MethodObj: *MethodID00005, BeginDateTime:  NULL, BeginDateTimeUTCOffset:  NULL, EndDateTime:  ", EndDateTimeUTCOffset:  ", ActionDescription:  "Action generated by Excel Template for Specimen v.0.1.0-alpha", ActionFileLink:  "}</t>
  </si>
  <si>
    <t xml:space="preserve">  - &amp;ActionID01883 {ActionTypeCV:  "Specimen analysis", MethodObj: *MethodID00005, BeginDateTime:  NULL, BeginDateTimeUTCOffset:  NULL, EndDateTime:  ", EndDateTimeUTCOffset:  ", ActionDescription:  "Action generated by Excel Template for Specimen v.0.1.0-alpha", ActionFileLink:  "}</t>
  </si>
  <si>
    <t xml:space="preserve">  - &amp;ActionID01884 {ActionTypeCV:  "Specimen analysis", MethodObj: *MethodID00005, BeginDateTime:  NULL, BeginDateTimeUTCOffset:  NULL, EndDateTime:  ", EndDateTimeUTCOffset:  ", ActionDescription:  "Action generated by Excel Template for Specimen v.0.1.0-alpha", ActionFileLink:  "}</t>
  </si>
  <si>
    <t xml:space="preserve">  - &amp;ActionID01885 {ActionTypeCV:  "Specimen analysis", MethodObj: *MethodID00005, BeginDateTime:  NULL, BeginDateTimeUTCOffset:  NULL, EndDateTime:  ", EndDateTimeUTCOffset:  ", ActionDescription:  "Action generated by Excel Template for Specimen v.0.1.0-alpha", ActionFileLink:  "}</t>
  </si>
  <si>
    <t xml:space="preserve">  - &amp;ActionID01886 {ActionTypeCV:  "Specimen analysis", MethodObj: *MethodID00005, BeginDateTime:  NULL, BeginDateTimeUTCOffset:  NULL, EndDateTime:  ", EndDateTimeUTCOffset:  ", ActionDescription:  "Action generated by Excel Template for Specimen v.0.1.0-alpha", ActionFileLink:  "}</t>
  </si>
  <si>
    <t xml:space="preserve">  - &amp;ActionID01887 {ActionTypeCV:  "Specimen analysis", MethodObj: *MethodID00005, BeginDateTime:  NULL, BeginDateTimeUTCOffset:  NULL, EndDateTime:  ", EndDateTimeUTCOffset:  ", ActionDescription:  "Action generated by Excel Template for Specimen v.0.1.0-alpha", ActionFileLink:  "}</t>
  </si>
  <si>
    <t xml:space="preserve">  - &amp;ActionID01888 {ActionTypeCV:  "Specimen analysis", MethodObj: *MethodID00005, BeginDateTime:  NULL, BeginDateTimeUTCOffset:  NULL, EndDateTime:  ", EndDateTimeUTCOffset:  ", ActionDescription:  "Action generated by Excel Template for Specimen v.0.1.0-alpha", ActionFileLink:  "}</t>
  </si>
  <si>
    <t xml:space="preserve">  - &amp;ActionID01889 {ActionTypeCV:  "Specimen analysis", MethodObj: *MethodID00005, BeginDateTime:  NULL, BeginDateTimeUTCOffset:  NULL, EndDateTime:  ", EndDateTimeUTCOffset:  ", ActionDescription:  "Action generated by Excel Template for Specimen v.0.1.0-alpha", ActionFileLink:  "}</t>
  </si>
  <si>
    <t xml:space="preserve">  - &amp;ActionID01890 {ActionTypeCV:  "Specimen analysis", MethodObj: *MethodID00005, BeginDateTime:  NULL, BeginDateTimeUTCOffset:  NULL, EndDateTime:  ", EndDateTimeUTCOffset:  ", ActionDescription:  "Action generated by Excel Template for Specimen v.0.1.0-alpha", ActionFileLink:  "}</t>
  </si>
  <si>
    <t xml:space="preserve">  - &amp;ActionID01891 {ActionTypeCV:  "Specimen analysis", MethodObj: *MethodID00005, BeginDateTime:  NULL, BeginDateTimeUTCOffset:  NULL, EndDateTime:  ", EndDateTimeUTCOffset:  ", ActionDescription:  "Action generated by Excel Template for Specimen v.0.1.0-alpha", ActionFileLink:  "}</t>
  </si>
  <si>
    <t xml:space="preserve">  - &amp;ActionID01892 {ActionTypeCV:  "Specimen analysis", MethodObj: *MethodID00005, BeginDateTime:  NULL, BeginDateTimeUTCOffset:  NULL, EndDateTime:  ", EndDateTimeUTCOffset:  ", ActionDescription:  "Action generated by Excel Template for Specimen v.0.1.0-alpha", ActionFileLink:  "}</t>
  </si>
  <si>
    <t xml:space="preserve">  - &amp;ActionID01893 {ActionTypeCV:  "Specimen analysis", MethodObj: *MethodID00005, BeginDateTime:  NULL, BeginDateTimeUTCOffset:  NULL, EndDateTime:  ", EndDateTimeUTCOffset:  ", ActionDescription:  "Action generated by Excel Template for Specimen v.0.1.0-alpha", ActionFileLink:  "}</t>
  </si>
  <si>
    <t xml:space="preserve">  - &amp;ActionID01897 {ActionTypeCV:  "Specimen analysis", MethodObj: *MethodID00005, BeginDateTime:  NULL, BeginDateTimeUTCOffset:  NULL, EndDateTime:  ", EndDateTimeUTCOffset:  ", ActionDescription:  "Action generated by Excel Template for Specimen v.0.1.0-alpha", ActionFileLink:  "}</t>
  </si>
  <si>
    <t xml:space="preserve">  - &amp;ActionID01898 {ActionTypeCV:  "Specimen analysis", MethodObj: *MethodID00005, BeginDateTime:  NULL, BeginDateTimeUTCOffset:  NULL, EndDateTime:  ", EndDateTimeUTCOffset:  ", ActionDescription:  "Action generated by Excel Template for Specimen v.0.1.0-alpha", ActionFileLink:  "}</t>
  </si>
  <si>
    <t xml:space="preserve">  - &amp;ActionID01899 {ActionTypeCV:  "Specimen analysis", MethodObj: *MethodID00005, BeginDateTime:  NULL, BeginDateTimeUTCOffset:  NULL, EndDateTime:  ", EndDateTimeUTCOffset:  ", ActionDescription:  "Action generated by Excel Template for Specimen v.0.1.0-alpha", ActionFileLink:  "}</t>
  </si>
  <si>
    <t xml:space="preserve">  - &amp;ActionID01900 {ActionTypeCV:  "Specimen analysis", MethodObj: *MethodID00005, BeginDateTime:  NULL, BeginDateTimeUTCOffset:  NULL, EndDateTime:  ", EndDateTimeUTCOffset:  ", ActionDescription:  "Action generated by Excel Template for Specimen v.0.1.0-alpha", ActionFileLink:  "}</t>
  </si>
  <si>
    <t xml:space="preserve">  - &amp;ActionID01901 {ActionTypeCV:  "Specimen analysis", MethodObj: *MethodID00005, BeginDateTime:  NULL, BeginDateTimeUTCOffset:  NULL, EndDateTime:  ", EndDateTimeUTCOffset:  ", ActionDescription:  "Action generated by Excel Template for Specimen v.0.1.0-alpha", ActionFileLink:  "}</t>
  </si>
  <si>
    <t xml:space="preserve">  - &amp;ActionID01902 {ActionTypeCV:  "Specimen analysis", MethodObj: *MethodID00005, BeginDateTime:  NULL, BeginDateTimeUTCOffset:  NULL, EndDateTime:  ", EndDateTimeUTCOffset:  ", ActionDescription:  "Action generated by Excel Template for Specimen v.0.1.0-alpha", ActionFileLink:  "}</t>
  </si>
  <si>
    <t xml:space="preserve">  - &amp;ActionID01903 {ActionTypeCV:  "Specimen analysis", MethodObj: *MethodID00005, BeginDateTime:  NULL, BeginDateTimeUTCOffset:  NULL, EndDateTime:  ", EndDateTimeUTCOffset:  ", ActionDescription:  "Action generated by Excel Template for Specimen v.0.1.0-alpha", ActionFileLink:  "}</t>
  </si>
  <si>
    <t xml:space="preserve">  - &amp;ActionID01904 {ActionTypeCV:  "Specimen analysis", MethodObj: *MethodID00005, BeginDateTime:  NULL, BeginDateTimeUTCOffset:  NULL, EndDateTime:  ", EndDateTimeUTCOffset:  ", ActionDescription:  "Action generated by Excel Template for Specimen v.0.1.0-alpha", ActionFileLink:  "}</t>
  </si>
  <si>
    <t xml:space="preserve">  - &amp;ActionID01905 {ActionTypeCV:  "Specimen analysis", MethodObj: *MethodID00005, BeginDateTime:  NULL, BeginDateTimeUTCOffset:  NULL, EndDateTime:  ", EndDateTimeUTCOffset:  ", ActionDescription:  "Action generated by Excel Template for Specimen v.0.1.0-alpha", ActionFileLink:  "}</t>
  </si>
  <si>
    <t xml:space="preserve">  - &amp;ActionID01906 {ActionTypeCV:  "Specimen analysis", MethodObj: *MethodID00005, BeginDateTime:  NULL, BeginDateTimeUTCOffset:  NULL, EndDateTime:  ", EndDateTimeUTCOffset:  ", ActionDescription:  "Action generated by Excel Template for Specimen v.0.1.0-alpha", ActionFileLink:  "}</t>
  </si>
  <si>
    <t xml:space="preserve">  - &amp;ActionID01907 {ActionTypeCV:  "Specimen analysis", MethodObj: *MethodID00005, BeginDateTime:  NULL, BeginDateTimeUTCOffset:  NULL, EndDateTime:  ", EndDateTimeUTCOffset:  ", ActionDescription:  "Action generated by Excel Template for Specimen v.0.1.0-alpha", ActionFileLink:  "}</t>
  </si>
  <si>
    <t xml:space="preserve">  - &amp;ActionID01908 {ActionTypeCV:  "Specimen analysis", MethodObj: *MethodID00005, BeginDateTime:  NULL, BeginDateTimeUTCOffset:  NULL, EndDateTime:  ", EndDateTimeUTCOffset:  ", ActionDescription:  "Action generated by Excel Template for Specimen v.0.1.0-alpha", ActionFileLink:  "}</t>
  </si>
  <si>
    <t xml:space="preserve">  - &amp;ActionID01909 {ActionTypeCV:  "Specimen analysis", MethodObj: *MethodID00005, BeginDateTime:  NULL, BeginDateTimeUTCOffset:  NULL, EndDateTime:  ", EndDateTimeUTCOffset:  ", ActionDescription:  "Action generated by Excel Template for Specimen v.0.1.0-alpha", ActionFileLink:  "}</t>
  </si>
  <si>
    <t xml:space="preserve">  - &amp;ActionID01910 {ActionTypeCV:  "Specimen analysis", MethodObj: *MethodID00005, BeginDateTime:  NULL, BeginDateTimeUTCOffset:  NULL, EndDateTime:  ", EndDateTimeUTCOffset:  ", ActionDescription:  "Action generated by Excel Template for Specimen v.0.1.0-alpha", ActionFileLink:  "}</t>
  </si>
  <si>
    <t xml:space="preserve">  - &amp;ActionID01932 {ActionTypeCV:  "Specimen analysis", MethodObj: *MethodID00005, BeginDateTime:  NULL, BeginDateTimeUTCOffset:  NULL, EndDateTime:  ", EndDateTimeUTCOffset:  ", ActionDescription:  "Action generated by Excel Template for Specimen v.0.1.0-alpha", ActionFileLink:  "}</t>
  </si>
  <si>
    <t xml:space="preserve">  - &amp;ActionID01933 {ActionTypeCV:  "Specimen analysis", MethodObj: *MethodID00005, BeginDateTime:  NULL, BeginDateTimeUTCOffset:  NULL, EndDateTime:  ", EndDateTimeUTCOffset:  ", ActionDescription:  "Action generated by Excel Template for Specimen v.0.1.0-alpha", ActionFileLink:  "}</t>
  </si>
  <si>
    <t xml:space="preserve">  - &amp;ActionID01934 {ActionTypeCV:  "Specimen analysis", MethodObj: *MethodID00005, BeginDateTime:  NULL, BeginDateTimeUTCOffset:  NULL, EndDateTime:  ", EndDateTimeUTCOffset:  ", ActionDescription:  "Action generated by Excel Template for Specimen v.0.1.0-alpha", ActionFileLink:  "}</t>
  </si>
  <si>
    <t xml:space="preserve">  - &amp;ActionID01935 {ActionTypeCV:  "Specimen analysis", MethodObj: *MethodID00005, BeginDateTime:  NULL, BeginDateTimeUTCOffset:  NULL, EndDateTime:  ", EndDateTimeUTCOffset:  ", ActionDescription:  "Action generated by Excel Template for Specimen v.0.1.0-alpha", ActionFileLink:  "}</t>
  </si>
  <si>
    <t xml:space="preserve">  - &amp;ActionID01936 {ActionTypeCV:  "Specimen analysis", MethodObj: *MethodID00005, BeginDateTime:  NULL, BeginDateTimeUTCOffset:  NULL, EndDateTime:  ", EndDateTimeUTCOffset:  ", ActionDescription:  "Action generated by Excel Template for Specimen v.0.1.0-alpha", ActionFileLink:  "}</t>
  </si>
  <si>
    <t xml:space="preserve">  - &amp;ActionID01937 {ActionTypeCV:  "Specimen analysis", MethodObj: *MethodID00005, BeginDateTime:  NULL, BeginDateTimeUTCOffset:  NULL, EndDateTime:  ", EndDateTimeUTCOffset:  ", ActionDescription:  "Action generated by Excel Template for Specimen v.0.1.0-alpha", ActionFileLink:  "}</t>
  </si>
  <si>
    <t xml:space="preserve">  - &amp;ActionID01938 {ActionTypeCV:  "Specimen analysis", MethodObj: *MethodID00005, BeginDateTime:  NULL, BeginDateTimeUTCOffset:  NULL, EndDateTime:  ", EndDateTimeUTCOffset:  ", ActionDescription:  "Action generated by Excel Template for Specimen v.0.1.0-alpha", ActionFileLink:  "}</t>
  </si>
  <si>
    <t xml:space="preserve">  - &amp;ActionID01939 {ActionTypeCV:  "Specimen analysis", MethodObj: *MethodID00005, BeginDateTime:  NULL, BeginDateTimeUTCOffset:  NULL, EndDateTime:  ", EndDateTimeUTCOffset:  ", ActionDescription:  "Action generated by Excel Template for Specimen v.0.1.0-alpha", ActionFileLink:  "}</t>
  </si>
  <si>
    <t xml:space="preserve">  - &amp;ActionID00278 {ActionTypeCV:  "Specimen analysis", MethodObj: *MethodID00001, BeginDateTime:  "2011-01-21 04:58:02", BeginDateTimeUTCOffset:  "-7", EndDateTime:  ", EndDateTimeUTCOffset:  ", ActionDescription:  "Action generated by Excel Template for Specimen v.0.1.0-alpha", ActionFileLink:  "}</t>
  </si>
  <si>
    <t xml:space="preserve">  - &amp;ActionID00279 {ActionTypeCV:  "Specimen analysis", MethodObj: *MethodID00001, BeginDateTime:  "2011-01-21 04:58:02", BeginDateTimeUTCOffset:  "-7", EndDateTime:  ", EndDateTimeUTCOffset:  ", ActionDescription:  "Action generated by Excel Template for Specimen v.0.1.0-alpha", ActionFileLink:  "}</t>
  </si>
  <si>
    <t xml:space="preserve">  - &amp;ActionID00280 {ActionTypeCV:  "Specimen analysis", MethodObj: *MethodID00001, BeginDateTime:  "2011-01-20 22:25:40", BeginDateTimeUTCOffset:  "-7", EndDateTime:  ", EndDateTimeUTCOffset:  ", ActionDescription:  "Action generated by Excel Template for Specimen v.0.1.0-alpha", ActionFileLink:  "}</t>
  </si>
  <si>
    <t xml:space="preserve">  - &amp;ActionID00281 {ActionTypeCV:  "Specimen analysis", MethodObj: *MethodID00001, BeginDateTime:  "2011-01-20 22:25:40", BeginDateTimeUTCOffset:  "-7", EndDateTime:  ", EndDateTimeUTCOffset:  ", ActionDescription:  "Action generated by Excel Template for Specimen v.0.1.0-alpha", ActionFileLink:  "}</t>
  </si>
  <si>
    <t xml:space="preserve">  - &amp;ActionID00282 {ActionTypeCV:  "Specimen analysis", MethodObj: *MethodID00001, BeginDateTime:  "2011-03-05 12:46:27", BeginDateTimeUTCOffset:  "-7", EndDateTime:  ", EndDateTimeUTCOffset:  ", ActionDescription:  "Action generated by Excel Template for Specimen v.0.1.0-alpha", ActionFileLink:  "}</t>
  </si>
  <si>
    <t xml:space="preserve">  - &amp;ActionID00283 {ActionTypeCV:  "Specimen analysis", MethodObj: *MethodID00001, BeginDateTime:  "2011-03-05 12:46:27", BeginDateTimeUTCOffset:  "-7", EndDateTime:  ", EndDateTimeUTCOffset:  ", ActionDescription:  "Action generated by Excel Template for Specimen v.0.1.0-alpha", ActionFileLink:  "}</t>
  </si>
  <si>
    <t xml:space="preserve">  - &amp;ActionID00284 {ActionTypeCV:  "Specimen analysis", MethodObj: *MethodID00001, BeginDateTime:  "2011-03-14 23:20:25", BeginDateTimeUTCOffset:  "-7", EndDateTime:  ", EndDateTimeUTCOffset:  ", ActionDescription:  "Action generated by Excel Template for Specimen v.0.1.0-alpha", ActionFileLink:  "}</t>
  </si>
  <si>
    <t xml:space="preserve">  - &amp;ActionID00285 {ActionTypeCV:  "Specimen analysis", MethodObj: *MethodID00001, BeginDateTime:  "2011-03-05 05:52:56", BeginDateTimeUTCOffset:  "-7", EndDateTime:  ", EndDateTimeUTCOffset:  ", ActionDescription:  "Action generated by Excel Template for Specimen v.0.1.0-alpha", ActionFileLink:  "}</t>
  </si>
  <si>
    <t xml:space="preserve">  - &amp;ActionID00286 {ActionTypeCV:  "Specimen analysis", MethodObj: *MethodID00001, BeginDateTime:  "2011-03-02 07:13:07", BeginDateTimeUTCOffset:  "-7", EndDateTime:  ", EndDateTimeUTCOffset:  ", ActionDescription:  "Action generated by Excel Template for Specimen v.0.1.0-alpha", ActionFileLink:  "}</t>
  </si>
  <si>
    <t xml:space="preserve">  - &amp;ActionID00287 {ActionTypeCV:  "Specimen analysis", MethodObj: *MethodID00001, BeginDateTime:  "2011-03-09 17:32:58", BeginDateTimeUTCOffset:  "-7", EndDateTime:  ", EndDateTimeUTCOffset:  ", ActionDescription:  "Action generated by Excel Template for Specimen v.0.1.0-alpha", ActionFileLink:  "}</t>
  </si>
  <si>
    <t xml:space="preserve">  - &amp;ActionID00288 {ActionTypeCV:  "Specimen analysis", MethodObj: *MethodID00001, BeginDateTime:  "2011-03-10 12:26:13", BeginDateTimeUTCOffset:  "-7", EndDateTime:  ", EndDateTimeUTCOffset:  ", ActionDescription:  "Action generated by Excel Template for Specimen v.0.1.0-alpha", ActionFileLink:  "}</t>
  </si>
  <si>
    <t xml:space="preserve">  - &amp;ActionID00289 {ActionTypeCV:  "Specimen analysis", MethodObj: *MethodID00001, BeginDateTime:  "2011-03-05 04:54:42", BeginDateTimeUTCOffset:  "-7", EndDateTime:  ", EndDateTimeUTCOffset:  ", ActionDescription:  "Action generated by Excel Template for Specimen v.0.1.0-alpha", ActionFileLink:  "}</t>
  </si>
  <si>
    <t xml:space="preserve">  - &amp;ActionID00290 {ActionTypeCV:  "Specimen analysis", MethodObj: *MethodID00001, BeginDateTime:  "2011-03-09 07:15:14", BeginDateTimeUTCOffset:  "-7", EndDateTime:  ", EndDateTimeUTCOffset:  ", ActionDescription:  "Action generated by Excel Template for Specimen v.0.1.0-alpha", ActionFileLink:  "}</t>
  </si>
  <si>
    <t xml:space="preserve">  - &amp;ActionID00291 {ActionTypeCV:  "Specimen analysis", MethodObj: *MethodID00001, BeginDateTime:  "2011-03-12 11:17:57", BeginDateTimeUTCOffset:  "-7", EndDateTime:  ", EndDateTimeUTCOffset:  ", ActionDescription:  "Action generated by Excel Template for Specimen v.0.1.0-alpha", ActionFileLink:  "}</t>
  </si>
  <si>
    <t xml:space="preserve">  - &amp;ActionID00292 {ActionTypeCV:  "Specimen analysis", MethodObj: *MethodID00001, BeginDateTime:  "2011-03-01 01:53:01", BeginDateTimeUTCOffset:  "-7", EndDateTime:  ", EndDateTimeUTCOffset:  ", ActionDescription:  "Action generated by Excel Template for Specimen v.0.1.0-alpha", ActionFileLink:  "}</t>
  </si>
  <si>
    <t xml:space="preserve">  - &amp;ActionID00293 {ActionTypeCV:  "Specimen analysis", MethodObj: *MethodID00001, BeginDateTime:  "2011-03-16 09:37:30", BeginDateTimeUTCOffset:  "-7", EndDateTime:  ", EndDateTimeUTCOffset:  ", ActionDescription:  "Action generated by Excel Template for Specimen v.0.1.0-alpha", ActionFileLink:  "}</t>
  </si>
  <si>
    <t xml:space="preserve">  - &amp;ActionID00294 {ActionTypeCV:  "Specimen analysis", MethodObj: *MethodID00001, BeginDateTime:  "2011-03-12 01:06:01", BeginDateTimeUTCOffset:  "-7", EndDateTime:  ", EndDateTimeUTCOffset:  ", ActionDescription:  "Action generated by Excel Template for Specimen v.0.1.0-alpha", ActionFileLink:  "}</t>
  </si>
  <si>
    <t xml:space="preserve">  - &amp;ActionID00295 {ActionTypeCV:  "Specimen analysis", MethodObj: *MethodID00001, BeginDateTime:  "2011-03-22 09:15:34", BeginDateTimeUTCOffset:  "-7", EndDateTime:  ", EndDateTimeUTCOffset:  ", ActionDescription:  "Action generated by Excel Template for Specimen v.0.1.0-alpha", ActionFileLink:  "}</t>
  </si>
  <si>
    <t xml:space="preserve">  - &amp;ActionID00296 {ActionTypeCV:  "Specimen analysis", MethodObj: *MethodID00001, BeginDateTime:  "2011-03-24 00:28:43", BeginDateTimeUTCOffset:  "-7", EndDateTime:  ", EndDateTimeUTCOffset:  ", ActionDescription:  "Action generated by Excel Template for Specimen v.0.1.0-alpha", ActionFileLink:  "}</t>
  </si>
  <si>
    <t xml:space="preserve">  - &amp;ActionID00297 {ActionTypeCV:  "Specimen analysis", MethodObj: *MethodID00001, BeginDateTime:  "2011-03-21 23:49:50", BeginDateTimeUTCOffset:  "-7", EndDateTime:  ", EndDateTimeUTCOffset:  ", ActionDescription:  "Action generated by Excel Template for Specimen v.0.1.0-alpha", ActionFileLink:  "}</t>
  </si>
  <si>
    <t xml:space="preserve">  - &amp;ActionID00298 {ActionTypeCV:  "Specimen analysis", MethodObj: *MethodID00001, BeginDateTime:  "2011-03-13 21:12:42", BeginDateTimeUTCOffset:  "-7", EndDateTime:  ", EndDateTimeUTCOffset:  ", ActionDescription:  "Action generated by Excel Template for Specimen v.0.1.0-alpha", ActionFileLink:  "}</t>
  </si>
  <si>
    <t xml:space="preserve">  - &amp;ActionID00299 {ActionTypeCV:  "Specimen analysis", MethodObj: *MethodID00001, BeginDateTime:  "2011-03-21 10:48:52", BeginDateTimeUTCOffset:  "-7", EndDateTime:  ", EndDateTimeUTCOffset:  ", ActionDescription:  "Action generated by Excel Template for Specimen v.0.1.0-alpha", ActionFileLink:  "}</t>
  </si>
  <si>
    <t xml:space="preserve">  - &amp;ActionID00300 {ActionTypeCV:  "Specimen analysis", MethodObj: *MethodID00001, BeginDateTime:  "2011-03-24 22:48:37", BeginDateTimeUTCOffset:  "-7", EndDateTime:  ", EndDateTimeUTCOffset:  ", ActionDescription:  "Action generated by Excel Template for Specimen v.0.1.0-alpha", ActionFileLink:  "}</t>
  </si>
  <si>
    <t xml:space="preserve">  - &amp;ActionID00301 {ActionTypeCV:  "Specimen analysis", MethodObj: *MethodID00001, BeginDateTime:  "2011-03-16 16:38:18", BeginDateTimeUTCOffset:  "-7", EndDateTime:  ", EndDateTimeUTCOffset:  ", ActionDescription:  "Action generated by Excel Template for Specimen v.0.1.0-alpha", ActionFileLink:  "}</t>
  </si>
  <si>
    <t xml:space="preserve">  - &amp;ActionID00302 {ActionTypeCV:  "Specimen analysis", MethodObj: *MethodID00001, BeginDateTime:  "2011-03-24 18:49:37", BeginDateTimeUTCOffset:  "-7", EndDateTime:  ", EndDateTimeUTCOffset:  ", ActionDescription:  "Action generated by Excel Template for Specimen v.0.1.0-alpha", ActionFileLink:  "}</t>
  </si>
  <si>
    <t xml:space="preserve">  - &amp;ActionID00303 {ActionTypeCV:  "Specimen analysis", MethodObj: *MethodID00001, BeginDateTime:  "2011-03-20 11:52:55", BeginDateTimeUTCOffset:  "-7", EndDateTime:  ", EndDateTimeUTCOffset:  ", ActionDescription:  "Action generated by Excel Template for Specimen v.0.1.0-alpha", ActionFileLink:  "}</t>
  </si>
  <si>
    <t xml:space="preserve">  - &amp;ActionID00304 {ActionTypeCV:  "Specimen analysis", MethodObj: *MethodID00001, BeginDateTime:  "2011-03-21 10:56:09", BeginDateTimeUTCOffset:  "-7", EndDateTime:  ", EndDateTimeUTCOffset:  ", ActionDescription:  "Action generated by Excel Template for Specimen v.0.1.0-alpha", ActionFileLink:  "}</t>
  </si>
  <si>
    <t xml:space="preserve">  - &amp;ActionID00305 {ActionTypeCV:  "Specimen analysis", MethodObj: *MethodID00001, BeginDateTime:  "2011-03-21 22:34:40", BeginDateTimeUTCOffset:  "-7", EndDateTime:  ", EndDateTimeUTCOffset:  ", ActionDescription:  "Action generated by Excel Template for Specimen v.0.1.0-alpha", ActionFileLink:  "}</t>
  </si>
  <si>
    <t xml:space="preserve">  - &amp;ActionID00306 {ActionTypeCV:  "Specimen analysis", MethodObj: *MethodID00001, BeginDateTime:  "2011-03-07 13:55:27", BeginDateTimeUTCOffset:  "-7", EndDateTime:  ", EndDateTimeUTCOffset:  ", ActionDescription:  "Action generated by Excel Template for Specimen v.0.1.0-alpha", ActionFileLink:  "}</t>
  </si>
  <si>
    <t xml:space="preserve">  - &amp;ActionID00307 {ActionTypeCV:  "Specimen analysis", MethodObj: *MethodID00001, BeginDateTime:  "2011-03-30 01:00:41", BeginDateTimeUTCOffset:  "-7", EndDateTime:  ", EndDateTimeUTCOffset:  ", ActionDescription:  "Action generated by Excel Template for Specimen v.0.1.0-alpha", ActionFileLink:  "}</t>
  </si>
  <si>
    <t xml:space="preserve">  - &amp;ActionID00308 {ActionTypeCV:  "Specimen analysis", MethodObj: *MethodID00001, BeginDateTime:  "2011-03-22 20:09:11", BeginDateTimeUTCOffset:  "-7", EndDateTime:  ", EndDateTimeUTCOffset:  ", ActionDescription:  "Action generated by Excel Template for Specimen v.0.1.0-alpha", ActionFileLink:  "}</t>
  </si>
  <si>
    <t xml:space="preserve">  - &amp;ActionID00309 {ActionTypeCV:  "Specimen analysis", MethodObj: *MethodID00001, BeginDateTime:  "2011-04-16 17:55:59", BeginDateTimeUTCOffset:  "-7", EndDateTime:  ", EndDateTimeUTCOffset:  ", ActionDescription:  "Action generated by Excel Template for Specimen v.0.1.0-alpha", ActionFileLink:  "}</t>
  </si>
  <si>
    <t xml:space="preserve">  - &amp;ActionID00310 {ActionTypeCV:  "Specimen analysis", MethodObj: *MethodID00001, BeginDateTime:  "2011-04-17 17:23:40", BeginDateTimeUTCOffset:  "-7", EndDateTime:  ", EndDateTimeUTCOffset:  ", ActionDescription:  "Action generated by Excel Template for Specimen v.0.1.0-alpha", ActionFileLink:  "}</t>
  </si>
  <si>
    <t xml:space="preserve">  - &amp;ActionID00311 {ActionTypeCV:  "Specimen analysis", MethodObj: *MethodID00001, BeginDateTime:  "2011-04-12 10:21:20", BeginDateTimeUTCOffset:  "-7", EndDateTime:  ", EndDateTimeUTCOffset:  ", ActionDescription:  "Action generated by Excel Template for Specimen v.0.1.0-alpha", ActionFileLink:  "}</t>
  </si>
  <si>
    <t xml:space="preserve">  - &amp;ActionID00312 {ActionTypeCV:  "Specimen analysis", MethodObj: *MethodID00001, BeginDateTime:  "2011-04-28 08:01:00", BeginDateTimeUTCOffset:  "-7", EndDateTime:  ", EndDateTimeUTCOffset:  ", ActionDescription:  "Action generated by Excel Template for Specimen v.0.1.0-alpha", ActionFileLink:  "}</t>
  </si>
  <si>
    <t xml:space="preserve">  - &amp;ActionID00313 {ActionTypeCV:  "Specimen analysis", MethodObj: *MethodID00001, BeginDateTime:  "2011-04-21 18:38:19", BeginDateTimeUTCOffset:  "-7", EndDateTime:  ", EndDateTimeUTCOffset:  ", ActionDescription:  "Action generated by Excel Template for Specimen v.0.1.0-alpha", ActionFileLink:  "}</t>
  </si>
  <si>
    <t xml:space="preserve">  - &amp;ActionID00314 {ActionTypeCV:  "Specimen analysis", MethodObj: *MethodID00001, BeginDateTime:  "2011-04-16 22:54:54", BeginDateTimeUTCOffset:  "-7", EndDateTime:  ", EndDateTimeUTCOffset:  ", ActionDescription:  "Action generated by Excel Template for Specimen v.0.1.0-alpha", ActionFileLink:  "}</t>
  </si>
  <si>
    <t xml:space="preserve">  - &amp;ActionID00315 {ActionTypeCV:  "Specimen analysis", MethodObj: *MethodID00001, BeginDateTime:  "2011-05-06 00:05:37", BeginDateTimeUTCOffset:  "-7", EndDateTime:  ", EndDateTimeUTCOffset:  ", ActionDescription:  "Action generated by Excel Template for Specimen v.0.1.0-alpha", ActionFileLink:  "}</t>
  </si>
  <si>
    <t xml:space="preserve">  - &amp;ActionID00316 {ActionTypeCV:  "Specimen analysis", MethodObj: *MethodID00001, BeginDateTime:  "2011-05-06 14:29:54", BeginDateTimeUTCOffset:  "-7", EndDateTime:  ", EndDateTimeUTCOffset:  ", ActionDescription:  "Action generated by Excel Template for Specimen v.0.1.0-alpha", ActionFileLink:  "}</t>
  </si>
  <si>
    <t xml:space="preserve">  - &amp;ActionID00317 {ActionTypeCV:  "Specimen analysis", MethodObj: *MethodID00001, BeginDateTime:  "2011-04-20 15:25:01", BeginDateTimeUTCOffset:  "-7", EndDateTime:  ", EndDateTimeUTCOffset:  ", ActionDescription:  "Action generated by Excel Template for Specimen v.0.1.0-alpha", ActionFileLink:  "}</t>
  </si>
  <si>
    <t xml:space="preserve">  - &amp;ActionID00318 {ActionTypeCV:  "Specimen analysis", MethodObj: *MethodID00001, BeginDateTime:  "2011-05-02 06:51:28", BeginDateTimeUTCOffset:  "-7", EndDateTime:  ", EndDateTimeUTCOffset:  ", ActionDescription:  "Action generated by Excel Template for Specimen v.0.1.0-alpha", ActionFileLink:  "}</t>
  </si>
  <si>
    <t xml:space="preserve">  - &amp;ActionID00319 {ActionTypeCV:  "Specimen analysis", MethodObj: *MethodID00001, BeginDateTime:  "2011-04-30 05:30:08", BeginDateTimeUTCOffset:  "-7", EndDateTime:  ", EndDateTimeUTCOffset:  ", ActionDescription:  "Action generated by Excel Template for Specimen v.0.1.0-alpha", ActionFileLink:  "}</t>
  </si>
  <si>
    <t xml:space="preserve">  - &amp;ActionID00320 {ActionTypeCV:  "Specimen analysis", MethodObj: *MethodID00001, BeginDateTime:  "2011-04-19 00:34:02", BeginDateTimeUTCOffset:  "-7", EndDateTime:  ", EndDateTimeUTCOffset:  ", ActionDescription:  "Action generated by Excel Template for Specimen v.0.1.0-alpha", ActionFileLink:  "}</t>
  </si>
  <si>
    <t xml:space="preserve">  - &amp;ActionID00321 {ActionTypeCV:  "Specimen analysis", MethodObj: *MethodID00001, BeginDateTime:  "2011-04-21 09:29:52", BeginDateTimeUTCOffset:  "-7", EndDateTime:  ", EndDateTimeUTCOffset:  ", ActionDescription:  "Action generated by Excel Template for Specimen v.0.1.0-alpha", ActionFileLink:  "}</t>
  </si>
  <si>
    <t xml:space="preserve">  - &amp;ActionID00322 {ActionTypeCV:  "Specimen analysis", MethodObj: *MethodID00001, BeginDateTime:  "2011-04-17 07:51:35", BeginDateTimeUTCOffset:  "-7", EndDateTime:  ", EndDateTimeUTCOffset:  ", ActionDescription:  "Action generated by Excel Template for Specimen v.0.1.0-alpha", ActionFileLink:  "}</t>
  </si>
  <si>
    <t xml:space="preserve">  - &amp;ActionID00323 {ActionTypeCV:  "Specimen analysis", MethodObj: *MethodID00001, BeginDateTime:  "2011-04-30 01:34:14", BeginDateTimeUTCOffset:  "-7", EndDateTime:  ", EndDateTimeUTCOffset:  ", ActionDescription:  "Action generated by Excel Template for Specimen v.0.1.0-alpha", ActionFileLink:  "}</t>
  </si>
  <si>
    <t xml:space="preserve">  - &amp;ActionID00324 {ActionTypeCV:  "Specimen analysis", MethodObj: *MethodID00001, BeginDateTime:  "2011-05-03 05:16:57", BeginDateTimeUTCOffset:  "-7", EndDateTime:  ", EndDateTimeUTCOffset:  ", ActionDescription:  "Action generated by Excel Template for Specimen v.0.1.0-alpha", ActionFileLink:  "}</t>
  </si>
  <si>
    <t xml:space="preserve">  - &amp;ActionID00325 {ActionTypeCV:  "Specimen analysis", MethodObj: *MethodID00001, BeginDateTime:  "2011-05-22 15:29:47", BeginDateTimeUTCOffset:  "-7", EndDateTime:  ", EndDateTimeUTCOffset:  ", ActionDescription:  "Action generated by Excel Template for Specimen v.0.1.0-alpha", ActionFileLink:  "}</t>
  </si>
  <si>
    <t xml:space="preserve">  - &amp;ActionID00326 {ActionTypeCV:  "Specimen analysis", MethodObj: *MethodID00001, BeginDateTime:  "2011-06-12 18:42:31", BeginDateTimeUTCOffset:  "-7", EndDateTime:  ", EndDateTimeUTCOffset:  ", ActionDescription:  "Action generated by Excel Template for Specimen v.0.1.0-alpha", ActionFileLink:  "}</t>
  </si>
  <si>
    <t xml:space="preserve">  - &amp;ActionID00327 {ActionTypeCV:  "Specimen analysis", MethodObj: *MethodID00001, BeginDateTime:  "2011-06-30 23:15:54", BeginDateTimeUTCOffset:  "-7", EndDateTime:  ", EndDateTimeUTCOffset:  ", ActionDescription:  "Action generated by Excel Template for Specimen v.0.1.0-alpha", ActionFileLink:  "}</t>
  </si>
  <si>
    <t xml:space="preserve">  - &amp;ActionID00328 {ActionTypeCV:  "Specimen analysis", MethodObj: *MethodID00001, BeginDateTime:  "2011-06-28 08:33:32", BeginDateTimeUTCOffset:  "-7", EndDateTime:  ", EndDateTimeUTCOffset:  ", ActionDescription:  "Action generated by Excel Template for Specimen v.0.1.0-alpha", ActionFileLink:  "}</t>
  </si>
  <si>
    <t xml:space="preserve">  - &amp;ActionID00329 {ActionTypeCV:  "Specimen analysis", MethodObj: *MethodID00001, BeginDateTime:  "2011-07-07 16:18:01", BeginDateTimeUTCOffset:  "-7", EndDateTime:  ", EndDateTimeUTCOffset:  ", ActionDescription:  "Action generated by Excel Template for Specimen v.0.1.0-alpha", ActionFileLink:  "}</t>
  </si>
  <si>
    <t xml:space="preserve">  - &amp;ActionID00330 {ActionTypeCV:  "Specimen analysis", MethodObj: *MethodID00001, BeginDateTime:  "2011-06-25 15:04:13", BeginDateTimeUTCOffset:  "-7", EndDateTime:  ", EndDateTimeUTCOffset:  ", ActionDescription:  "Action generated by Excel Template for Specimen v.0.1.0-alpha", ActionFileLink:  "}</t>
  </si>
  <si>
    <t xml:space="preserve">  - &amp;ActionID00331 {ActionTypeCV:  "Specimen analysis", MethodObj: *MethodID00001, BeginDateTime:  "2011-07-04 13:53:41", BeginDateTimeUTCOffset:  "-7", EndDateTime:  ", EndDateTimeUTCOffset:  ", ActionDescription:  "Action generated by Excel Template for Specimen v.0.1.0-alpha", ActionFileLink:  "}</t>
  </si>
  <si>
    <t xml:space="preserve">  - &amp;ActionID00332 {ActionTypeCV:  "Specimen analysis", MethodObj: *MethodID00001, BeginDateTime:  "2011-06-30 16:08:53", BeginDateTimeUTCOffset:  "-7", EndDateTime:  ", EndDateTimeUTCOffset:  ", ActionDescription:  "Action generated by Excel Template for Specimen v.0.1.0-alpha", ActionFileLink:  "}</t>
  </si>
  <si>
    <t xml:space="preserve">  - &amp;ActionID00333 {ActionTypeCV:  "Specimen analysis", MethodObj: *MethodID00001, BeginDateTime:  "2011-06-25 12:08:50", BeginDateTimeUTCOffset:  "-7", EndDateTime:  ", EndDateTimeUTCOffset:  ", ActionDescription:  "Action generated by Excel Template for Specimen v.0.1.0-alpha", ActionFileLink:  "}</t>
  </si>
  <si>
    <t xml:space="preserve">  - &amp;ActionID00334 {ActionTypeCV:  "Specimen analysis", MethodObj: *MethodID00001, BeginDateTime:  "2011-06-26 02:49:31", BeginDateTimeUTCOffset:  "-7", EndDateTime:  ", EndDateTimeUTCOffset:  ", ActionDescription:  "Action generated by Excel Template for Specimen v.0.1.0-alpha", ActionFileLink:  "}</t>
  </si>
  <si>
    <t xml:space="preserve">  - &amp;ActionID00335 {ActionTypeCV:  "Specimen analysis", MethodObj: *MethodID00001, BeginDateTime:  "2011-07-12 21:41:00", BeginDateTimeUTCOffset:  "-7", EndDateTime:  ", EndDateTimeUTCOffset:  ", ActionDescription:  "Action generated by Excel Template for Specimen v.0.1.0-alpha", ActionFileLink:  "}</t>
  </si>
  <si>
    <t xml:space="preserve">  - &amp;ActionID00336 {ActionTypeCV:  "Specimen analysis", MethodObj: *MethodID00001, BeginDateTime:  "2011-06-26 04:56:28", BeginDateTimeUTCOffset:  "-7", EndDateTime:  ", EndDateTimeUTCOffset:  ", ActionDescription:  "Action generated by Excel Template for Specimen v.0.1.0-alpha", ActionFileLink:  "}</t>
  </si>
  <si>
    <t xml:space="preserve">  - &amp;ActionID00337 {ActionTypeCV:  "Specimen analysis", MethodObj: *MethodID00001, BeginDateTime:  "2011-07-09 07:51:10", BeginDateTimeUTCOffset:  "-7", EndDateTime:  ", EndDateTimeUTCOffset:  ", ActionDescription:  "Action generated by Excel Template for Specimen v.0.1.0-alpha", ActionFileLink:  "}</t>
  </si>
  <si>
    <t xml:space="preserve">  - &amp;ActionID00338 {ActionTypeCV:  "Specimen analysis", MethodObj: *MethodID00001, BeginDateTime:  "2011-07-13 13:25:35", BeginDateTimeUTCOffset:  "-7", EndDateTime:  ", EndDateTimeUTCOffset:  ", ActionDescription:  "Action generated by Excel Template for Specimen v.0.1.0-alpha", ActionFileLink:  "}</t>
  </si>
  <si>
    <t xml:space="preserve">  - &amp;ActionID00339 {ActionTypeCV:  "Specimen analysis", MethodObj: *MethodID00001, BeginDateTime:  "2011-07-03 08:39:15", BeginDateTimeUTCOffset:  "-7", EndDateTime:  ", EndDateTimeUTCOffset:  ", ActionDescription:  "Action generated by Excel Template for Specimen v.0.1.0-alpha", ActionFileLink:  "}</t>
  </si>
  <si>
    <t xml:space="preserve">  - &amp;ActionID00340 {ActionTypeCV:  "Specimen analysis", MethodObj: *MethodID00001, BeginDateTime:  "2011-06-26 10:54:07", BeginDateTimeUTCOffset:  "-7", EndDateTime:  ", EndDateTimeUTCOffset:  ", ActionDescription:  "Action generated by Excel Template for Specimen v.0.1.0-alpha", ActionFileLink:  "}</t>
  </si>
  <si>
    <t xml:space="preserve">  - &amp;ActionID00341 {ActionTypeCV:  "Specimen analysis", MethodObj: *MethodID00001, BeginDateTime:  "2011-07-08 02:39:09", BeginDateTimeUTCOffset:  "-7", EndDateTime:  ", EndDateTimeUTCOffset:  ", ActionDescription:  "Action generated by Excel Template for Specimen v.0.1.0-alpha", ActionFileLink:  "}</t>
  </si>
  <si>
    <t xml:space="preserve">  - &amp;ActionID00342 {ActionTypeCV:  "Specimen analysis", MethodObj: *MethodID00001, BeginDateTime:  "2011-07-07 07:37:49", BeginDateTimeUTCOffset:  "-7", EndDateTime:  ", EndDateTimeUTCOffset:  ", ActionDescription:  "Action generated by Excel Template for Specimen v.0.1.0-alpha", ActionFileLink:  "}</t>
  </si>
  <si>
    <t xml:space="preserve">  - &amp;ActionID00343 {ActionTypeCV:  "Specimen analysis", MethodObj: *MethodID00001, BeginDateTime:  "2011-06-27 20:07:23", BeginDateTimeUTCOffset:  "-7", EndDateTime:  ", EndDateTimeUTCOffset:  ", ActionDescription:  "Action generated by Excel Template for Specimen v.0.1.0-alpha", ActionFileLink:  "}</t>
  </si>
  <si>
    <t xml:space="preserve">  - &amp;ActionID00344 {ActionTypeCV:  "Specimen analysis", MethodObj: *MethodID00001, BeginDateTime:  "2011-06-30 13:15:50", BeginDateTimeUTCOffset:  "-7", EndDateTime:  ", EndDateTimeUTCOffset:  ", ActionDescription:  "Action generated by Excel Template for Specimen v.0.1.0-alpha", ActionFileLink:  "}</t>
  </si>
  <si>
    <t xml:space="preserve">  - &amp;ActionID00345 {ActionTypeCV:  "Specimen analysis", MethodObj: *MethodID00001, BeginDateTime:  "2011-06-28 17:01:25", BeginDateTimeUTCOffset:  "-7", EndDateTime:  ", EndDateTimeUTCOffset:  ", ActionDescription:  "Action generated by Excel Template for Specimen v.0.1.0-alpha", ActionFileLink:  "}</t>
  </si>
  <si>
    <t xml:space="preserve">  - &amp;ActionID00346 {ActionTypeCV:  "Specimen analysis", MethodObj: *MethodID00001, BeginDateTime:  "2011-07-06 02:20:49", BeginDateTimeUTCOffset:  "-7", EndDateTime:  ", EndDateTimeUTCOffset:  ", ActionDescription:  "Action generated by Excel Template for Specimen v.0.1.0-alpha", ActionFileLink:  "}</t>
  </si>
  <si>
    <t xml:space="preserve">  - &amp;ActionID00347 {ActionTypeCV:  "Specimen analysis", MethodObj: *MethodID00001, BeginDateTime:  "2011-07-08 03:22:52", BeginDateTimeUTCOffset:  "-7", EndDateTime:  ", EndDateTimeUTCOffset:  ", ActionDescription:  "Action generated by Excel Template for Specimen v.0.1.0-alpha", ActionFileLink:  "}</t>
  </si>
  <si>
    <t xml:space="preserve">  - &amp;ActionID00348 {ActionTypeCV:  "Specimen analysis", MethodObj: *MethodID00001, BeginDateTime:  "2011-07-06 21:04:18", BeginDateTimeUTCOffset:  "-7", EndDateTime:  ", EndDateTimeUTCOffset:  ", ActionDescription:  "Action generated by Excel Template for Specimen v.0.1.0-alpha", ActionFileLink:  "}</t>
  </si>
  <si>
    <t xml:space="preserve">  - &amp;ActionID00349 {ActionTypeCV:  "Specimen analysis", MethodObj: *MethodID00001, BeginDateTime:  "2011-07-12 05:24:49", BeginDateTimeUTCOffset:  "-7", EndDateTime:  ", EndDateTimeUTCOffset:  ", ActionDescription:  "Action generated by Excel Template for Specimen v.0.1.0-alpha", ActionFileLink:  "}</t>
  </si>
  <si>
    <t xml:space="preserve">  - &amp;ActionID00350 {ActionTypeCV:  "Specimen analysis", MethodObj: *MethodID00001, BeginDateTime:  "2011-08-03 10:37:03", BeginDateTimeUTCOffset:  "-7", EndDateTime:  ", EndDateTimeUTCOffset:  ", ActionDescription:  "Action generated by Excel Template for Specimen v.0.1.0-alpha", ActionFileLink:  "}</t>
  </si>
  <si>
    <t xml:space="preserve">  - &amp;ActionID00351 {ActionTypeCV:  "Specimen analysis", MethodObj: *MethodID00001, BeginDateTime:  "2011-08-11 14:31:02", BeginDateTimeUTCOffset:  "-7", EndDateTime:  ", EndDateTimeUTCOffset:  ", ActionDescription:  "Action generated by Excel Template for Specimen v.0.1.0-alpha", ActionFileLink:  "}</t>
  </si>
  <si>
    <t xml:space="preserve">  - &amp;ActionID00352 {ActionTypeCV:  "Specimen analysis", MethodObj: *MethodID00001, BeginDateTime:  "2011-08-20 19:37:20", BeginDateTimeUTCOffset:  "-7", EndDateTime:  ", EndDateTimeUTCOffset:  ", ActionDescription:  "Action generated by Excel Template for Specimen v.0.1.0-alpha", ActionFileLink:  "}</t>
  </si>
  <si>
    <t xml:space="preserve">  - &amp;ActionID00353 {ActionTypeCV:  "Specimen analysis", MethodObj: *MethodID00001, BeginDateTime:  "2011-09-26 23:25:12", BeginDateTimeUTCOffset:  "-7", EndDateTime:  ", EndDateTimeUTCOffset:  ", ActionDescription:  "Action generated by Excel Template for Specimen v.0.1.0-alpha", ActionFileLink:  "}</t>
  </si>
  <si>
    <t xml:space="preserve">  - &amp;ActionID00354 {ActionTypeCV:  "Specimen analysis", MethodObj: *MethodID00001, BeginDateTime:  "2011-10-01 07:09:37", BeginDateTimeUTCOffset:  "-7", EndDateTime:  ", EndDateTimeUTCOffset:  ", ActionDescription:  "Action generated by Excel Template for Specimen v.0.1.0-alpha", ActionFileLink:  "}</t>
  </si>
  <si>
    <t xml:space="preserve">  - &amp;ActionID00355 {ActionTypeCV:  "Specimen analysis", MethodObj: *MethodID00001, BeginDateTime:  "2011-09-16 01:00:36", BeginDateTimeUTCOffset:  "-7", EndDateTime:  ", EndDateTimeUTCOffset:  ", ActionDescription:  "Action generated by Excel Template for Specimen v.0.1.0-alpha", ActionFileLink:  "}</t>
  </si>
  <si>
    <t xml:space="preserve">  - &amp;ActionID00356 {ActionTypeCV:  "Specimen analysis", MethodObj: *MethodID00001, BeginDateTime:  "2011-10-10 06:06:22", BeginDateTimeUTCOffset:  "-7", EndDateTime:  ", EndDateTimeUTCOffset:  ", ActionDescription:  "Action generated by Excel Template for Specimen v.0.1.0-alpha", ActionFileLink:  "}</t>
  </si>
  <si>
    <t xml:space="preserve">  - &amp;ActionID00357 {ActionTypeCV:  "Specimen analysis", MethodObj: *MethodID00001, BeginDateTime:  "2011-10-24 22:51:17", BeginDateTimeUTCOffset:  "-7", EndDateTime:  ", EndDateTimeUTCOffset:  ", ActionDescription:  "Action generated by Excel Template for Specimen v.0.1.0-alpha", ActionFileLink:  "}</t>
  </si>
  <si>
    <t xml:space="preserve">  - &amp;ActionID00358 {ActionTypeCV:  "Specimen analysis", MethodObj: *MethodID00001, BeginDateTime:  "2011-10-10 17:03:40", BeginDateTimeUTCOffset:  "-7", EndDateTime:  ", EndDateTimeUTCOffset:  ", ActionDescription:  "Action generated by Excel Template for Specimen v.0.1.0-alpha", ActionFileLink:  "}</t>
  </si>
  <si>
    <t xml:space="preserve">  - &amp;ActionID00359 {ActionTypeCV:  "Specimen analysis", MethodObj: *MethodID00001, BeginDateTime:  "2011-10-30 22:15:55", BeginDateTimeUTCOffset:  "-7", EndDateTime:  ", EndDateTimeUTCOffset:  ", ActionDescription:  "Action generated by Excel Template for Specimen v.0.1.0-alpha", ActionFileLink:  "}</t>
  </si>
  <si>
    <t xml:space="preserve">  - &amp;ActionID00360 {ActionTypeCV:  "Specimen analysis", MethodObj: *MethodID00001, BeginDateTime:  "2011-10-28 05:42:32", BeginDateTimeUTCOffset:  "-7", EndDateTime:  ", EndDateTimeUTCOffset:  ", ActionDescription:  "Action generated by Excel Template for Specimen v.0.1.0-alpha", ActionFileLink:  "}</t>
  </si>
  <si>
    <t xml:space="preserve">  - &amp;ActionID00361 {ActionTypeCV:  "Specimen analysis", MethodObj: *MethodID00001, BeginDateTime:  "2011-11-15 00:16:01", BeginDateTimeUTCOffset:  "-7", EndDateTime:  ", EndDateTimeUTCOffset:  ", ActionDescription:  "Action generated by Excel Template for Specimen v.0.1.0-alpha", ActionFileLink:  "}</t>
  </si>
  <si>
    <t xml:space="preserve">  - &amp;ActionID00362 {ActionTypeCV:  "Specimen analysis", MethodObj: *MethodID00001, BeginDateTime:  "2011-11-11 15:54:10", BeginDateTimeUTCOffset:  "-7", EndDateTime:  ", EndDateTimeUTCOffset:  ", ActionDescription:  "Action generated by Excel Template for Specimen v.0.1.0-alpha", ActionFileLink:  "}</t>
  </si>
  <si>
    <t xml:space="preserve">  - &amp;ActionID00363 {ActionTypeCV:  "Specimen analysis", MethodObj: *MethodID00001, BeginDateTime:  "2011-11-17 18:04:56", BeginDateTimeUTCOffset:  "-7", EndDateTime:  ", EndDateTimeUTCOffset:  ", ActionDescription:  "Action generated by Excel Template for Specimen v.0.1.0-alpha", ActionFileLink:  "}</t>
  </si>
  <si>
    <t xml:space="preserve">  - &amp;ActionID00364 {ActionTypeCV:  "Specimen analysis", MethodObj: *MethodID00001, BeginDateTime:  "2011-12-06 03:41:08", BeginDateTimeUTCOffset:  "-7", EndDateTime:  ", EndDateTimeUTCOffset:  ", ActionDescription:  "Action generated by Excel Template for Specimen v.0.1.0-alpha", ActionFileLink:  "}</t>
  </si>
  <si>
    <t xml:space="preserve">  - &amp;ActionID00365 {ActionTypeCV:  "Specimen analysis", MethodObj: *MethodID00001, BeginDateTime:  "2011-12-01 23:46:23", BeginDateTimeUTCOffset:  "-7", EndDateTime:  ", EndDateTimeUTCOffset:  ", ActionDescription:  "Action generated by Excel Template for Specimen v.0.1.0-alpha", ActionFileLink:  "}</t>
  </si>
  <si>
    <t xml:space="preserve">  - &amp;ActionID00366 {ActionTypeCV:  "Specimen analysis", MethodObj: *MethodID00001, BeginDateTime:  "2011-12-10 12:58:20", BeginDateTimeUTCOffset:  "-7", EndDateTime:  ", EndDateTimeUTCOffset:  ", ActionDescription:  "Action generated by Excel Template for Specimen v.0.1.0-alpha", ActionFileLink:  "}</t>
  </si>
  <si>
    <t xml:space="preserve">  - &amp;ActionID00367 {ActionTypeCV:  "Specimen analysis", MethodObj: *MethodID00001, BeginDateTime:  "2011-11-24 00:16:48", BeginDateTimeUTCOffset:  "-7", EndDateTime:  ", EndDateTimeUTCOffset:  ", ActionDescription:  "Action generated by Excel Template for Specimen v.0.1.0-alpha", ActionFileLink:  "}</t>
  </si>
  <si>
    <t xml:space="preserve">  - &amp;ActionID00368 {ActionTypeCV:  "Specimen analysis", MethodObj: *MethodID00001, BeginDateTime:  "2011-11-27 07:57:17", BeginDateTimeUTCOffset:  "-7", EndDateTime:  ", EndDateTimeUTCOffset:  ", ActionDescription:  "Action generated by Excel Template for Specimen v.0.1.0-alpha", ActionFileLink:  "}</t>
  </si>
  <si>
    <t xml:space="preserve">  - &amp;ActionID00369 {ActionTypeCV:  "Specimen analysis", MethodObj: *MethodID00001, BeginDateTime:  "2011-12-10 08:59:05", BeginDateTimeUTCOffset:  "-7", EndDateTime:  ", EndDateTimeUTCOffset:  ", ActionDescription:  "Action generated by Excel Template for Specimen v.0.1.0-alpha", ActionFileLink:  "}</t>
  </si>
  <si>
    <t xml:space="preserve">  - &amp;ActionID00370 {ActionTypeCV:  "Specimen analysis", MethodObj: *MethodID00001, BeginDateTime:  "2011-12-03 01:41:32", BeginDateTimeUTCOffset:  "-7", EndDateTime:  ", EndDateTimeUTCOffset:  ", ActionDescription:  "Action generated by Excel Template for Specimen v.0.1.0-alpha", ActionFileLink:  "}</t>
  </si>
  <si>
    <t xml:space="preserve">  - &amp;ActionID00371 {ActionTypeCV:  "Specimen analysis", MethodObj: *MethodID00001, BeginDateTime:  "2011-12-08 16:10:07", BeginDateTimeUTCOffset:  "-7", EndDateTime:  ", EndDateTimeUTCOffset:  ", ActionDescription:  "Action generated by Excel Template for Specimen v.0.1.0-alpha", ActionFileLink:  "}</t>
  </si>
  <si>
    <t xml:space="preserve">  - &amp;ActionID00372 {ActionTypeCV:  "Specimen analysis", MethodObj: *MethodID00001, BeginDateTime:  "2011-12-07 23:59:15", BeginDateTimeUTCOffset:  "-7", EndDateTime:  ", EndDateTimeUTCOffset:  ", ActionDescription:  "Action generated by Excel Template for Specimen v.0.1.0-alpha", ActionFileLink:  "}</t>
  </si>
  <si>
    <t xml:space="preserve">  - &amp;ActionID00373 {ActionTypeCV:  "Specimen analysis", MethodObj: *MethodID00001, BeginDateTime:  "2011-12-11 11:19:03", BeginDateTimeUTCOffset:  "-7", EndDateTime:  ", EndDateTimeUTCOffset:  ", ActionDescription:  "Action generated by Excel Template for Specimen v.0.1.0-alpha", ActionFileLink:  "}</t>
  </si>
  <si>
    <t xml:space="preserve">  - &amp;ActionID00374 {ActionTypeCV:  "Specimen analysis", MethodObj: *MethodID00001, BeginDateTime:  "2012-01-02 16:45:54", BeginDateTimeUTCOffset:  "-7", EndDateTime:  ", EndDateTimeUTCOffset:  ", ActionDescription:  "Action generated by Excel Template for Specimen v.0.1.0-alpha", ActionFileLink:  "}</t>
  </si>
  <si>
    <t xml:space="preserve">  - &amp;ActionID00375 {ActionTypeCV:  "Specimen analysis", MethodObj: *MethodID00001, BeginDateTime:  "2012-01-02 23:11:26", BeginDateTimeUTCOffset:  "-7", EndDateTime:  ", EndDateTimeUTCOffset:  ", ActionDescription:  "Action generated by Excel Template for Specimen v.0.1.0-alpha", ActionFileLink:  "}</t>
  </si>
  <si>
    <t xml:space="preserve">  - &amp;ActionID00376 {ActionTypeCV:  "Specimen analysis", MethodObj: *MethodID00001, BeginDateTime:  "2011-12-23 12:43:43", BeginDateTimeUTCOffset:  "-7", EndDateTime:  ", EndDateTimeUTCOffset:  ", ActionDescription:  "Action generated by Excel Template for Specimen v.0.1.0-alpha", ActionFileLink:  "}</t>
  </si>
  <si>
    <t xml:space="preserve">  - &amp;ActionID00377 {ActionTypeCV:  "Specimen analysis", MethodObj: *MethodID00001, BeginDateTime:  "2012-01-06 11:23:59", BeginDateTimeUTCOffset:  "-7", EndDateTime:  ", EndDateTimeUTCOffset:  ", ActionDescription:  "Action generated by Excel Template for Specimen v.0.1.0-alpha", ActionFileLink:  "}</t>
  </si>
  <si>
    <t xml:space="preserve">  - &amp;ActionID00378 {ActionTypeCV:  "Specimen analysis", MethodObj: *MethodID00001, BeginDateTime:  "2012-01-09 09:29:41", BeginDateTimeUTCOffset:  "-7", EndDateTime:  ", EndDateTimeUTCOffset:  ", ActionDescription:  "Action generated by Excel Template for Specimen v.0.1.0-alpha", ActionFileLink:  "}</t>
  </si>
  <si>
    <t xml:space="preserve">  - &amp;ActionID00379 {ActionTypeCV:  "Specimen analysis", MethodObj: *MethodID00001, BeginDateTime:  "2012-01-11 23:12:40", BeginDateTimeUTCOffset:  "-7", EndDateTime:  ", EndDateTimeUTCOffset:  ", ActionDescription:  "Action generated by Excel Template for Specimen v.0.1.0-alpha", ActionFileLink:  "}</t>
  </si>
  <si>
    <t xml:space="preserve">  - &amp;ActionID00380 {ActionTypeCV:  "Specimen analysis", MethodObj: *MethodID00001, BeginDateTime:  "2012-01-23 10:59:54", BeginDateTimeUTCOffset:  "-7", EndDateTime:  ", EndDateTimeUTCOffset:  ", ActionDescription:  "Action generated by Excel Template for Specimen v.0.1.0-alpha", ActionFileLink:  "}</t>
  </si>
  <si>
    <t xml:space="preserve">  - &amp;ActionID00381 {ActionTypeCV:  "Specimen analysis", MethodObj: *MethodID00001, BeginDateTime:  "2012-01-28 22:23:36", BeginDateTimeUTCOffset:  "-7", EndDateTime:  ", EndDateTimeUTCOffset:  ", ActionDescription:  "Action generated by Excel Template for Specimen v.0.1.0-alpha", ActionFileLink:  "}</t>
  </si>
  <si>
    <t xml:space="preserve">  - &amp;ActionID00382 {ActionTypeCV:  "Specimen analysis", MethodObj: *MethodID00001, BeginDateTime:  "2012-01-22 02:52:05", BeginDateTimeUTCOffset:  "-7", EndDateTime:  ", EndDateTimeUTCOffset:  ", ActionDescription:  "Action generated by Excel Template for Specimen v.0.1.0-alpha", ActionFileLink:  "}</t>
  </si>
  <si>
    <t xml:space="preserve">  - &amp;ActionID00383 {ActionTypeCV:  "Specimen analysis", MethodObj: *MethodID00001, BeginDateTime:  "2012-01-18 18:50:31", BeginDateTimeUTCOffset:  "-7", EndDateTime:  ", EndDateTimeUTCOffset:  ", ActionDescription:  "Action generated by Excel Template for Specimen v.0.1.0-alpha", ActionFileLink:  "}</t>
  </si>
  <si>
    <t xml:space="preserve">  - &amp;ActionID00384 {ActionTypeCV:  "Specimen analysis", MethodObj: *MethodID00001, BeginDateTime:  "2012-01-24 04:14:34", BeginDateTimeUTCOffset:  "-7", EndDateTime:  ", EndDateTimeUTCOffset:  ", ActionDescription:  "Action generated by Excel Template for Specimen v.0.1.0-alpha", ActionFileLink:  "}</t>
  </si>
  <si>
    <t xml:space="preserve">  - &amp;ActionID00385 {ActionTypeCV:  "Specimen analysis", MethodObj: *MethodID00001, BeginDateTime:  "2012-01-27 07:26:16", BeginDateTimeUTCOffset:  "-7", EndDateTime:  ", EndDateTimeUTCOffset:  ", ActionDescription:  "Action generated by Excel Template for Specimen v.0.1.0-alpha", ActionFileLink:  "}</t>
  </si>
  <si>
    <t xml:space="preserve">  - &amp;ActionID00386 {ActionTypeCV:  "Specimen analysis", MethodObj: *MethodID00001, BeginDateTime:  "2012-01-19 07:25:10", BeginDateTimeUTCOffset:  "-7", EndDateTime:  ", EndDateTimeUTCOffset:  ", ActionDescription:  "Action generated by Excel Template for Specimen v.0.1.0-alpha", ActionFileLink:  "}</t>
  </si>
  <si>
    <t xml:space="preserve">  - &amp;ActionID00387 {ActionTypeCV:  "Specimen analysis", MethodObj: *MethodID00001, BeginDateTime:  "2012-01-12 19:10:35", BeginDateTimeUTCOffset:  "-7", EndDateTime:  ", EndDateTimeUTCOffset:  ", ActionDescription:  "Action generated by Excel Template for Specimen v.0.1.0-alpha", ActionFileLink:  "}</t>
  </si>
  <si>
    <t xml:space="preserve">  - &amp;ActionID00388 {ActionTypeCV:  "Specimen analysis", MethodObj: *MethodID00001, BeginDateTime:  "2012-01-21 05:54:15", BeginDateTimeUTCOffset:  "-7", EndDateTime:  ", EndDateTimeUTCOffset:  ", ActionDescription:  "Action generated by Excel Template for Specimen v.0.1.0-alpha", ActionFileLink:  "}</t>
  </si>
  <si>
    <t xml:space="preserve">  - &amp;ActionID00389 {ActionTypeCV:  "Specimen analysis", MethodObj: *MethodID00001, BeginDateTime:  "2012-01-13 17:06:16", BeginDateTimeUTCOffset:  "-7", EndDateTime:  ", EndDateTimeUTCOffset:  ", ActionDescription:  "Action generated by Excel Template for Specimen v.0.1.0-alpha", ActionFileLink:  "}</t>
  </si>
  <si>
    <t xml:space="preserve">  - &amp;ActionID00390 {ActionTypeCV:  "Specimen analysis", MethodObj: *MethodID00001, BeginDateTime:  "2012-01-22 16:38:27", BeginDateTimeUTCOffset:  "-7", EndDateTime:  ", EndDateTimeUTCOffset:  ", ActionDescription:  "Action generated by Excel Template for Specimen v.0.1.0-alpha", ActionFileLink:  "}</t>
  </si>
  <si>
    <t xml:space="preserve">  - &amp;ActionID00391 {ActionTypeCV:  "Specimen analysis", MethodObj: *MethodID00001, BeginDateTime:  "2012-01-14 12:00:34", BeginDateTimeUTCOffset:  "-7", EndDateTime:  ", EndDateTimeUTCOffset:  ", ActionDescription:  "Action generated by Excel Template for Specimen v.0.1.0-alpha", ActionFileLink:  "}</t>
  </si>
  <si>
    <t xml:space="preserve">  - &amp;ActionID00392 {ActionTypeCV:  "Specimen analysis", MethodObj: *MethodID00001, BeginDateTime:  "2012-01-22 01:35:57", BeginDateTimeUTCOffset:  "-7", EndDateTime:  ", EndDateTimeUTCOffset:  ", ActionDescription:  "Action generated by Excel Template for Specimen v.0.1.0-alpha", ActionFileLink:  "}</t>
  </si>
  <si>
    <t xml:space="preserve">  - &amp;ActionID00393 {ActionTypeCV:  "Specimen analysis", MethodObj: *MethodID00001, BeginDateTime:  "2012-01-19 00:36:06", BeginDateTimeUTCOffset:  "-7", EndDateTime:  ", EndDateTimeUTCOffset:  ", ActionDescription:  "Action generated by Excel Template for Specimen v.0.1.0-alpha", ActionFileLink:  "}</t>
  </si>
  <si>
    <t xml:space="preserve">  - &amp;ActionID00394 {ActionTypeCV:  "Specimen analysis", MethodObj: *MethodID00001, BeginDateTime:  "2012-01-17 06:24:45", BeginDateTimeUTCOffset:  "-7", EndDateTime:  ", EndDateTimeUTCOffset:  ", ActionDescription:  "Action generated by Excel Template for Specimen v.0.1.0-alpha", ActionFileLink:  "}</t>
  </si>
  <si>
    <t xml:space="preserve">  - &amp;ActionID00395 {ActionTypeCV:  "Specimen analysis", MethodObj: *MethodID00001, BeginDateTime:  "2012-01-29 15:49:25", BeginDateTimeUTCOffset:  "-7", EndDateTime:  ", EndDateTimeUTCOffset:  ", ActionDescription:  "Action generated by Excel Template for Specimen v.0.1.0-alpha", ActionFileLink:  "}</t>
  </si>
  <si>
    <t xml:space="preserve">  - &amp;ActionID00396 {ActionTypeCV:  "Specimen analysis", MethodObj: *MethodID00001, BeginDateTime:  "2012-02-02 19:45:46", BeginDateTimeUTCOffset:  "-7", EndDateTime:  ", EndDateTimeUTCOffset:  ", ActionDescription:  "Action generated by Excel Template for Specimen v.0.1.0-alpha", ActionFileLink:  "}</t>
  </si>
  <si>
    <t xml:space="preserve">  - &amp;ActionID00397 {ActionTypeCV:  "Specimen analysis", MethodObj: *MethodID00001, BeginDateTime:  "2012-01-30 03:38:11", BeginDateTimeUTCOffset:  "-7", EndDateTime:  ", EndDateTimeUTCOffset:  ", ActionDescription:  "Action generated by Excel Template for Specimen v.0.1.0-alpha", ActionFileLink:  "}</t>
  </si>
  <si>
    <t xml:space="preserve">  - &amp;ActionID00398 {ActionTypeCV:  "Specimen analysis", MethodObj: *MethodID00001, BeginDateTime:  "2012-02-18 05:54:34", BeginDateTimeUTCOffset:  "-7", EndDateTime:  ", EndDateTimeUTCOffset:  ", ActionDescription:  "Action generated by Excel Template for Specimen v.0.1.0-alpha", ActionFileLink:  "}</t>
  </si>
  <si>
    <t xml:space="preserve">  - &amp;ActionID00399 {ActionTypeCV:  "Specimen analysis", MethodObj: *MethodID00001, BeginDateTime:  "2012-02-03 22:39:22", BeginDateTimeUTCOffset:  "-7", EndDateTime:  ", EndDateTimeUTCOffset:  ", ActionDescription:  "Action generated by Excel Template for Specimen v.0.1.0-alpha", ActionFileLink:  "}</t>
  </si>
  <si>
    <t xml:space="preserve">  - &amp;ActionID00400 {ActionTypeCV:  "Specimen analysis", MethodObj: *MethodID00001, BeginDateTime:  "2012-02-14 23:27:09", BeginDateTimeUTCOffset:  "-7", EndDateTime:  ", EndDateTimeUTCOffset:  ", ActionDescription:  "Action generated by Excel Template for Specimen v.0.1.0-alpha", ActionFileLink:  "}</t>
  </si>
  <si>
    <t xml:space="preserve">  - &amp;ActionID00401 {ActionTypeCV:  "Specimen analysis", MethodObj: *MethodID00001, BeginDateTime:  "2012-03-17 14:52:49", BeginDateTimeUTCOffset:  "-7", EndDateTime:  ", EndDateTimeUTCOffset:  ", ActionDescription:  "Action generated by Excel Template for Specimen v.0.1.0-alpha", ActionFileLink:  "}</t>
  </si>
  <si>
    <t xml:space="preserve">  - &amp;ActionID00402 {ActionTypeCV:  "Specimen analysis", MethodObj: *MethodID00001, BeginDateTime:  "2012-03-05 10:05:06", BeginDateTimeUTCOffset:  "-7", EndDateTime:  ", EndDateTimeUTCOffset:  ", ActionDescription:  "Action generated by Excel Template for Specimen v.0.1.0-alpha", ActionFileLink:  "}</t>
  </si>
  <si>
    <t xml:space="preserve">  - &amp;ActionID00403 {ActionTypeCV:  "Specimen analysis", MethodObj: *MethodID00001, BeginDateTime:  "2012-03-20 16:28:46", BeginDateTimeUTCOffset:  "-7", EndDateTime:  ", EndDateTimeUTCOffset:  ", ActionDescription:  "Action generated by Excel Template for Specimen v.0.1.0-alpha", ActionFileLink:  "}</t>
  </si>
  <si>
    <t xml:space="preserve">  - &amp;ActionID00404 {ActionTypeCV:  "Specimen analysis", MethodObj: *MethodID00001, BeginDateTime:  "2012-03-12 17:36:34", BeginDateTimeUTCOffset:  "-7", EndDateTime:  ", EndDateTimeUTCOffset:  ", ActionDescription:  "Action generated by Excel Template for Specimen v.0.1.0-alpha", ActionFileLink:  "}</t>
  </si>
  <si>
    <t xml:space="preserve">  - &amp;ActionID00405 {ActionTypeCV:  "Specimen analysis", MethodObj: *MethodID00001, BeginDateTime:  "2012-03-18 13:20:22", BeginDateTimeUTCOffset:  "-7", EndDateTime:  ", EndDateTimeUTCOffset:  ", ActionDescription:  "Action generated by Excel Template for Specimen v.0.1.0-alpha", ActionFileLink:  "}</t>
  </si>
  <si>
    <t xml:space="preserve">  - &amp;ActionID00406 {ActionTypeCV:  "Specimen analysis", MethodObj: *MethodID00001, BeginDateTime:  "2012-03-09 21:13:01", BeginDateTimeUTCOffset:  "-7", EndDateTime:  ", EndDateTimeUTCOffset:  ", ActionDescription:  "Action generated by Excel Template for Specimen v.0.1.0-alpha", ActionFileLink:  "}</t>
  </si>
  <si>
    <t xml:space="preserve">  - &amp;ActionID00407 {ActionTypeCV:  "Specimen analysis", MethodObj: *MethodID00001, BeginDateTime:  "2012-04-10 05:38:18", BeginDateTimeUTCOffset:  "-7", EndDateTime:  ", EndDateTimeUTCOffset:  ", ActionDescription:  "Action generated by Excel Template for Specimen v.0.1.0-alpha", ActionFileLink:  "}</t>
  </si>
  <si>
    <t xml:space="preserve">  - &amp;ActionID00408 {ActionTypeCV:  "Specimen analysis", MethodObj: *MethodID00001, BeginDateTime:  "2012-04-13 14:11:28", BeginDateTimeUTCOffset:  "-7", EndDateTime:  ", EndDateTimeUTCOffset:  ", ActionDescription:  "Action generated by Excel Template for Specimen v.0.1.0-alpha", ActionFileLink:  "}</t>
  </si>
  <si>
    <t xml:space="preserve">  - &amp;ActionID00409 {ActionTypeCV:  "Specimen analysis", MethodObj: *MethodID00001, BeginDateTime:  "2012-04-18 23:19:04", BeginDateTimeUTCOffset:  "-7", EndDateTime:  ", EndDateTimeUTCOffset:  ", ActionDescription:  "Action generated by Excel Template for Specimen v.0.1.0-alpha", ActionFileLink:  "}</t>
  </si>
  <si>
    <t xml:space="preserve">  - &amp;ActionID00410 {ActionTypeCV:  "Specimen analysis", MethodObj: *MethodID00001, BeginDateTime:  "2012-04-24 05:06:05", BeginDateTimeUTCOffset:  "-7", EndDateTime:  ", EndDateTimeUTCOffset:  ", ActionDescription:  "Action generated by Excel Template for Specimen v.0.1.0-alpha", ActionFileLink:  "}</t>
  </si>
  <si>
    <t xml:space="preserve">  - &amp;ActionID00411 {ActionTypeCV:  "Specimen analysis", MethodObj: *MethodID00001, BeginDateTime:  "2012-04-12 21:33:44", BeginDateTimeUTCOffset:  "-7", EndDateTime:  ", EndDateTimeUTCOffset:  ", ActionDescription:  "Action generated by Excel Template for Specimen v.0.1.0-alpha", ActionFileLink:  "}</t>
  </si>
  <si>
    <t xml:space="preserve">  - &amp;ActionID00412 {ActionTypeCV:  "Specimen analysis", MethodObj: *MethodID00001, BeginDateTime:  "2012-05-07 09:00:37", BeginDateTimeUTCOffset:  "-7", EndDateTime:  ", EndDateTimeUTCOffset:  ", ActionDescription:  "Action generated by Excel Template for Specimen v.0.1.0-alpha", ActionFileLink:  "}</t>
  </si>
  <si>
    <t xml:space="preserve">  - &amp;ActionID00413 {ActionTypeCV:  "Specimen analysis", MethodObj: *MethodID00001, BeginDateTime:  "2012-04-27 23:51:48", BeginDateTimeUTCOffset:  "-7", EndDateTime:  ", EndDateTimeUTCOffset:  ", ActionDescription:  "Action generated by Excel Template for Specimen v.0.1.0-alpha", ActionFileLink:  "}</t>
  </si>
  <si>
    <t xml:space="preserve">  - &amp;ActionID00414 {ActionTypeCV:  "Specimen analysis", MethodObj: *MethodID00001, BeginDateTime:  "2012-05-08 20:58:51", BeginDateTimeUTCOffset:  "-7", EndDateTime:  ", EndDateTimeUTCOffset:  ", ActionDescription:  "Action generated by Excel Template for Specimen v.0.1.0-alpha", ActionFileLink:  "}</t>
  </si>
  <si>
    <t xml:space="preserve">  - &amp;ActionID00415 {ActionTypeCV:  "Specimen analysis", MethodObj: *MethodID00001, BeginDateTime:  "2012-04-27 15:38:18", BeginDateTimeUTCOffset:  "-7", EndDateTime:  ", EndDateTimeUTCOffset:  ", ActionDescription:  "Action generated by Excel Template for Specimen v.0.1.0-alpha", ActionFileLink:  "}</t>
  </si>
  <si>
    <t xml:space="preserve">  - &amp;ActionID00416 {ActionTypeCV:  "Specimen analysis", MethodObj: *MethodID00001, BeginDateTime:  "2012-05-09 05:19:02", BeginDateTimeUTCOffset:  "-7", EndDateTime:  ", EndDateTimeUTCOffset:  ", ActionDescription:  "Action generated by Excel Template for Specimen v.0.1.0-alpha", ActionFileLink:  "}</t>
  </si>
  <si>
    <t xml:space="preserve">  - &amp;ActionID00417 {ActionTypeCV:  "Specimen analysis", MethodObj: *MethodID00001, BeginDateTime:  "2012-04-26 19:23:02", BeginDateTimeUTCOffset:  "-7", EndDateTime:  ", EndDateTimeUTCOffset:  ", ActionDescription:  "Action generated by Excel Template for Specimen v.0.1.0-alpha", ActionFileLink:  "}</t>
  </si>
  <si>
    <t xml:space="preserve">  - &amp;ActionID00418 {ActionTypeCV:  "Specimen analysis", MethodObj: *MethodID00001, BeginDateTime:  "2012-05-07 03:57:04", BeginDateTimeUTCOffset:  "-7", EndDateTime:  ", EndDateTimeUTCOffset:  ", ActionDescription:  "Action generated by Excel Template for Specimen v.0.1.0-alpha", ActionFileLink:  "}</t>
  </si>
  <si>
    <t xml:space="preserve">  - &amp;ActionID00419 {ActionTypeCV:  "Specimen analysis", MethodObj: *MethodID00001, BeginDateTime:  "2012-04-26 16:24:38", BeginDateTimeUTCOffset:  "-7", EndDateTime:  ", EndDateTimeUTCOffset:  ", ActionDescription:  "Action generated by Excel Template for Specimen v.0.1.0-alpha", ActionFileLink:  "}</t>
  </si>
  <si>
    <t xml:space="preserve">  - &amp;ActionID00420 {ActionTypeCV:  "Specimen analysis", MethodObj: *MethodID00001, BeginDateTime:  "2012-05-09 00:59:42", BeginDateTimeUTCOffset:  "-7", EndDateTime:  ", EndDateTimeUTCOffset:  ", ActionDescription:  "Action generated by Excel Template for Specimen v.0.1.0-alpha", ActionFileLink:  "}</t>
  </si>
  <si>
    <t xml:space="preserve">  - &amp;ActionID00421 {ActionTypeCV:  "Specimen analysis", MethodObj: *MethodID00001, BeginDateTime:  "2012-04-25 06:24:10", BeginDateTimeUTCOffset:  "-7", EndDateTime:  ", EndDateTimeUTCOffset:  ", ActionDescription:  "Action generated by Excel Template for Specimen v.0.1.0-alpha", ActionFileLink:  "}</t>
  </si>
  <si>
    <t xml:space="preserve">  - &amp;ActionID00422 {ActionTypeCV:  "Specimen analysis", MethodObj: *MethodID00001, BeginDateTime:  "2012-05-03 20:12:47", BeginDateTimeUTCOffset:  "-7", EndDateTime:  ", EndDateTimeUTCOffset:  ", ActionDescription:  "Action generated by Excel Template for Specimen v.0.1.0-alpha", ActionFileLink:  "}</t>
  </si>
  <si>
    <t xml:space="preserve">  - &amp;ActionID00423 {ActionTypeCV:  "Specimen analysis", MethodObj: *MethodID00001, BeginDateTime:  "2012-05-17 11:02:44", BeginDateTimeUTCOffset:  "-7", EndDateTime:  ", EndDateTimeUTCOffset:  ", ActionDescription:  "Action generated by Excel Template for Specimen v.0.1.0-alpha", ActionFileLink:  "}</t>
  </si>
  <si>
    <t xml:space="preserve">  - &amp;ActionID00424 {ActionTypeCV:  "Specimen analysis", MethodObj: *MethodID00001, BeginDateTime:  "2012-05-10 02:52:53", BeginDateTimeUTCOffset:  "-7", EndDateTime:  ", EndDateTimeUTCOffset:  ", ActionDescription:  "Action generated by Excel Template for Specimen v.0.1.0-alpha", ActionFileLink:  "}</t>
  </si>
  <si>
    <t xml:space="preserve">  - &amp;ActionID00425 {ActionTypeCV:  "Specimen analysis", MethodObj: *MethodID00001, BeginDateTime:  "2012-06-08 12:15:24", BeginDateTimeUTCOffset:  "-7", EndDateTime:  ", EndDateTimeUTCOffset:  ", ActionDescription:  "Action generated by Excel Template for Specimen v.0.1.0-alpha", ActionFileLink:  "}</t>
  </si>
  <si>
    <t xml:space="preserve">  - &amp;ActionID00426 {ActionTypeCV:  "Specimen analysis", MethodObj: *MethodID00001, BeginDateTime:  "2012-06-15 22:36:20", BeginDateTimeUTCOffset:  "-7", EndDateTime:  ", EndDateTimeUTCOffset:  ", ActionDescription:  "Action generated by Excel Template for Specimen v.0.1.0-alpha", ActionFileLink:  "}</t>
  </si>
  <si>
    <t xml:space="preserve">  - &amp;ActionID00427 {ActionTypeCV:  "Specimen analysis", MethodObj: *MethodID00001, BeginDateTime:  "2012-06-26 12:45:12", BeginDateTimeUTCOffset:  "-7", EndDateTime:  ", EndDateTimeUTCOffset:  ", ActionDescription:  "Action generated by Excel Template for Specimen v.0.1.0-alpha", ActionFileLink:  "}</t>
  </si>
  <si>
    <t xml:space="preserve">  - &amp;ActionID00428 {ActionTypeCV:  "Specimen analysis", MethodObj: *MethodID00001, BeginDateTime:  "2012-07-12 04:28:31", BeginDateTimeUTCOffset:  "-7", EndDateTime:  ", EndDateTimeUTCOffset:  ", ActionDescription:  "Action generated by Excel Template for Specimen v.0.1.0-alpha", ActionFileLink:  "}</t>
  </si>
  <si>
    <t xml:space="preserve">  - &amp;ActionID00429 {ActionTypeCV:  "Specimen analysis", MethodObj: *MethodID00001, BeginDateTime:  "2012-07-21 20:29:23", BeginDateTimeUTCOffset:  "-7", EndDateTime:  ", EndDateTimeUTCOffset:  ", ActionDescription:  "Action generated by Excel Template for Specimen v.0.1.0-alpha", ActionFileLink:  "}</t>
  </si>
  <si>
    <t xml:space="preserve">  - &amp;ActionID00430 {ActionTypeCV:  "Specimen analysis", MethodObj: *MethodID00001, BeginDateTime:  "2012-07-27 16:19:45", BeginDateTimeUTCOffset:  "-7", EndDateTime:  ", EndDateTimeUTCOffset:  ", ActionDescription:  "Action generated by Excel Template for Specimen v.0.1.0-alpha", ActionFileLink:  "}</t>
  </si>
  <si>
    <t xml:space="preserve">  - &amp;ActionID00431 {ActionTypeCV:  "Specimen analysis", MethodObj: *MethodID00001, BeginDateTime:  "2012-07-16 10:35:01", BeginDateTimeUTCOffset:  "-7", EndDateTime:  ", EndDateTimeUTCOffset:  ", ActionDescription:  "Action generated by Excel Template for Specimen v.0.1.0-alpha", ActionFileLink:  "}</t>
  </si>
  <si>
    <t xml:space="preserve">  - &amp;ActionID00432 {ActionTypeCV:  "Specimen analysis", MethodObj: *MethodID00001, BeginDateTime:  "2012-08-06 01:45:29", BeginDateTimeUTCOffset:  "-7", EndDateTime:  ", EndDateTimeUTCOffset:  ", ActionDescription:  "Action generated by Excel Template for Specimen v.0.1.0-alpha", ActionFileLink:  "}</t>
  </si>
  <si>
    <t xml:space="preserve">  - &amp;ActionID00433 {ActionTypeCV:  "Specimen analysis", MethodObj: *MethodID00001, BeginDateTime:  "2012-08-14 19:03:10", BeginDateTimeUTCOffset:  "-7", EndDateTime:  ", EndDateTimeUTCOffset:  ", ActionDescription:  "Action generated by Excel Template for Specimen v.0.1.0-alpha", ActionFileLink:  "}</t>
  </si>
  <si>
    <t xml:space="preserve">  - &amp;ActionID00434 {ActionTypeCV:  "Specimen analysis", MethodObj: *MethodID00001, BeginDateTime:  "2012-08-22 16:54:37", BeginDateTimeUTCOffset:  "-7", EndDateTime:  ", EndDateTimeUTCOffset:  ", ActionDescription:  "Action generated by Excel Template for Specimen v.0.1.0-alpha", ActionFileLink:  "}</t>
  </si>
  <si>
    <t xml:space="preserve">  - &amp;ActionID00435 {ActionTypeCV:  "Specimen analysis", MethodObj: *MethodID00001, BeginDateTime:  "2012-08-17 11:53:30", BeginDateTimeUTCOffset:  "-7", EndDateTime:  ", EndDateTimeUTCOffset:  ", ActionDescription:  "Action generated by Excel Template for Specimen v.0.1.0-alpha", ActionFileLink:  "}</t>
  </si>
  <si>
    <t xml:space="preserve">  - &amp;ActionID00436 {ActionTypeCV:  "Specimen analysis", MethodObj: *MethodID00001, BeginDateTime:  "2012-08-19 01:08:31", BeginDateTimeUTCOffset:  "-7", EndDateTime:  ", EndDateTimeUTCOffset:  ", ActionDescription:  "Action generated by Excel Template for Specimen v.0.1.0-alpha", ActionFileLink:  "}</t>
  </si>
  <si>
    <t xml:space="preserve">  - &amp;ActionID00437 {ActionTypeCV:  "Specimen analysis", MethodObj: *MethodID00001, BeginDateTime:  "2012-09-14 14:58:32", BeginDateTimeUTCOffset:  "-7", EndDateTime:  ", EndDateTimeUTCOffset:  ", ActionDescription:  "Action generated by Excel Template for Specimen v.0.1.0-alpha", ActionFileLink:  "}</t>
  </si>
  <si>
    <t xml:space="preserve">  - &amp;ActionID00438 {ActionTypeCV:  "Specimen analysis", MethodObj: *MethodID00001, BeginDateTime:  "2012-09-07 17:35:28", BeginDateTimeUTCOffset:  "-7", EndDateTime:  ", EndDateTimeUTCOffset:  ", ActionDescription:  "Action generated by Excel Template for Specimen v.0.1.0-alpha", ActionFileLink:  "}</t>
  </si>
  <si>
    <t xml:space="preserve">  - &amp;ActionID00439 {ActionTypeCV:  "Specimen analysis", MethodObj: *MethodID00001, BeginDateTime:  "2012-09-08 03:00:26", BeginDateTimeUTCOffset:  "-7", EndDateTime:  ", EndDateTimeUTCOffset:  ", ActionDescription:  "Action generated by Excel Template for Specimen v.0.1.0-alpha", ActionFileLink:  "}</t>
  </si>
  <si>
    <t xml:space="preserve">  - &amp;ActionID00442 {ActionTypeCV:  "Specimen analysis", MethodObj: *MethodID00001, BeginDateTime:  "2012-09-22 05:12:06", BeginDateTimeUTCOffset:  "-7", EndDateTime:  ", EndDateTimeUTCOffset:  ", ActionDescription:  "Action generated by Excel Template for Specimen v.0.1.0-alpha", ActionFileLink:  "}</t>
  </si>
  <si>
    <t xml:space="preserve">  - &amp;ActionID00443 {ActionTypeCV:  "Specimen analysis", MethodObj: *MethodID00001, BeginDateTime:  "2012-09-22 05:22:09", BeginDateTimeUTCOffset:  "-7", EndDateTime:  ", EndDateTimeUTCOffset:  ", ActionDescription:  "Action generated by Excel Template for Specimen v.0.1.0-alpha", ActionFileLink:  "}</t>
  </si>
  <si>
    <t xml:space="preserve">  - &amp;ActionID00444 {ActionTypeCV:  "Specimen analysis", MethodObj: *MethodID00001, BeginDateTime:  "2012-10-06 10:52:52", BeginDateTimeUTCOffset:  "-7", EndDateTime:  ", EndDateTimeUTCOffset:  ", ActionDescription:  "Action generated by Excel Template for Specimen v.0.1.0-alpha", ActionFileLink:  "}</t>
  </si>
  <si>
    <t xml:space="preserve">  - &amp;ActionID00445 {ActionTypeCV:  "Specimen analysis", MethodObj: *MethodID00001, BeginDateTime:  "2012-09-28 17:51:24", BeginDateTimeUTCOffset:  "-7", EndDateTime:  ", EndDateTimeUTCOffset:  ", ActionDescription:  "Action generated by Excel Template for Specimen v.0.1.0-alpha", ActionFileLink:  "}</t>
  </si>
  <si>
    <t xml:space="preserve">  - &amp;ActionID00446 {ActionTypeCV:  "Specimen analysis", MethodObj: *MethodID00001, BeginDateTime:  "2012-09-19 21:06:51", BeginDateTimeUTCOffset:  "-7", EndDateTime:  ", EndDateTimeUTCOffset:  ", ActionDescription:  "Action generated by Excel Template for Specimen v.0.1.0-alpha", ActionFileLink:  "}</t>
  </si>
  <si>
    <t xml:space="preserve">  - &amp;ActionID00447 {ActionTypeCV:  "Specimen analysis", MethodObj: *MethodID00001, BeginDateTime:  "2012-09-19 19:55:26", BeginDateTimeUTCOffset:  "-7", EndDateTime:  ", EndDateTimeUTCOffset:  ", ActionDescription:  "Action generated by Excel Template for Specimen v.0.1.0-alpha", ActionFileLink:  "}</t>
  </si>
  <si>
    <t xml:space="preserve">  - &amp;ActionID00448 {ActionTypeCV:  "Specimen analysis", MethodObj: *MethodID00001, BeginDateTime:  "2012-09-29 17:55:41", BeginDateTimeUTCOffset:  "-7", EndDateTime:  ", EndDateTimeUTCOffset:  ", ActionDescription:  "Action generated by Excel Template for Specimen v.0.1.0-alpha", ActionFileLink:  "}</t>
  </si>
  <si>
    <t xml:space="preserve">  - &amp;ActionID00449 {ActionTypeCV:  "Specimen analysis", MethodObj: *MethodID00001, BeginDateTime:  "2012-09-27 03:42:08", BeginDateTimeUTCOffset:  "-7", EndDateTime:  ", EndDateTimeUTCOffset:  ", ActionDescription:  "Action generated by Excel Template for Specimen v.0.1.0-alpha", ActionFileLink:  "}</t>
  </si>
  <si>
    <t xml:space="preserve">  - &amp;ActionID00450 {ActionTypeCV:  "Specimen analysis", MethodObj: *MethodID00001, BeginDateTime:  "2012-09-22 14:38:33", BeginDateTimeUTCOffset:  "-7", EndDateTime:  ", EndDateTimeUTCOffset:  ", ActionDescription:  "Action generated by Excel Template for Specimen v.0.1.0-alpha", ActionFileLink:  "}</t>
  </si>
  <si>
    <t xml:space="preserve">  - &amp;ActionID00451 {ActionTypeCV:  "Specimen analysis", MethodObj: *MethodID00001, BeginDateTime:  "2012-09-25 16:43:14", BeginDateTimeUTCOffset:  "-7", EndDateTime:  ", EndDateTimeUTCOffset:  ", ActionDescription:  "Action generated by Excel Template for Specimen v.0.1.0-alpha", ActionFileLink:  "}</t>
  </si>
  <si>
    <t xml:space="preserve">  - &amp;ActionID00452 {ActionTypeCV:  "Specimen analysis", MethodObj: *MethodID00001, BeginDateTime:  "2012-10-10 08:14:38", BeginDateTimeUTCOffset:  "-7", EndDateTime:  ", EndDateTimeUTCOffset:  ", ActionDescription:  "Action generated by Excel Template for Specimen v.0.1.0-alpha", ActionFileLink:  "}</t>
  </si>
  <si>
    <t xml:space="preserve">  - &amp;ActionID00453 {ActionTypeCV:  "Specimen analysis", MethodObj: *MethodID00001, BeginDateTime:  "2012-10-22 04:21:08", BeginDateTimeUTCOffset:  "-7", EndDateTime:  ", EndDateTimeUTCOffset:  ", ActionDescription:  "Action generated by Excel Template for Specimen v.0.1.0-alpha", ActionFileLink:  "}</t>
  </si>
  <si>
    <t xml:space="preserve">  - &amp;ActionID00454 {ActionTypeCV:  "Specimen analysis", MethodObj: *MethodID00001, BeginDateTime:  "2012-10-04 01:58:39", BeginDateTimeUTCOffset:  "-7", EndDateTime:  ", EndDateTimeUTCOffset:  ", ActionDescription:  "Action generated by Excel Template for Specimen v.0.1.0-alpha", ActionFileLink:  "}</t>
  </si>
  <si>
    <t xml:space="preserve">  - &amp;ActionID00455 {ActionTypeCV:  "Specimen analysis", MethodObj: *MethodID00001, BeginDateTime:  "2012-10-17 19:55:14", BeginDateTimeUTCOffset:  "-7", EndDateTime:  ", EndDateTimeUTCOffset:  ", ActionDescription:  "Action generated by Excel Template for Specimen v.0.1.0-alpha", ActionFileLink:  "}</t>
  </si>
  <si>
    <t xml:space="preserve">  - &amp;ActionID00456 {ActionTypeCV:  "Specimen analysis", MethodObj: *MethodID00001, BeginDateTime:  "2012-11-16 00:08:32", BeginDateTimeUTCOffset:  "-7", EndDateTime:  ", EndDateTimeUTCOffset:  ", ActionDescription:  "Action generated by Excel Template for Specimen v.0.1.0-alpha", ActionFileLink:  "}</t>
  </si>
  <si>
    <t xml:space="preserve">  - &amp;ActionID00457 {ActionTypeCV:  "Specimen analysis", MethodObj: *MethodID00001, BeginDateTime:  "2012-11-25 14:20:32", BeginDateTimeUTCOffset:  "-7", EndDateTime:  ", EndDateTimeUTCOffset:  ", ActionDescription:  "Action generated by Excel Template for Specimen v.0.1.0-alpha", ActionFileLink:  "}</t>
  </si>
  <si>
    <t xml:space="preserve">  - &amp;ActionID00458 {ActionTypeCV:  "Specimen analysis", MethodObj: *MethodID00001, BeginDateTime:  "2012-11-28 20:31:19", BeginDateTimeUTCOffset:  "-7", EndDateTime:  ", EndDateTimeUTCOffset:  ", ActionDescription:  "Action generated by Excel Template for Specimen v.0.1.0-alpha", ActionFileLink:  "}</t>
  </si>
  <si>
    <t xml:space="preserve">  - &amp;ActionID00459 {ActionTypeCV:  "Specimen analysis", MethodObj: *MethodID00001, BeginDateTime:  "2012-12-04 02:19:58", BeginDateTimeUTCOffset:  "-7", EndDateTime:  ", EndDateTimeUTCOffset:  ", ActionDescription:  "Action generated by Excel Template for Specimen v.0.1.0-alpha", ActionFileLink:  "}</t>
  </si>
  <si>
    <t xml:space="preserve">  - &amp;ActionID00460 {ActionTypeCV:  "Specimen analysis", MethodObj: *MethodID00001, BeginDateTime:  "2012-12-04 22:24:15", BeginDateTimeUTCOffset:  "-7", EndDateTime:  ", EndDateTimeUTCOffset:  ", ActionDescription:  "Action generated by Excel Template for Specimen v.0.1.0-alpha", ActionFileLink:  "}</t>
  </si>
  <si>
    <t xml:space="preserve">  - &amp;ActionID00461 {ActionTypeCV:  "Specimen analysis", MethodObj: *MethodID00001, BeginDateTime:  "2012-12-09 15:15:17", BeginDateTimeUTCOffset:  "-7", EndDateTime:  ", EndDateTimeUTCOffset:  ", ActionDescription:  "Action generated by Excel Template for Specimen v.0.1.0-alpha", ActionFileLink:  "}</t>
  </si>
  <si>
    <t xml:space="preserve">  - &amp;ActionID00462 {ActionTypeCV:  "Specimen analysis", MethodObj: *MethodID00001, BeginDateTime:  "2012-12-17 21:25:01", BeginDateTimeUTCOffset:  "-7", EndDateTime:  ", EndDateTimeUTCOffset:  ", ActionDescription:  "Action generated by Excel Template for Specimen v.0.1.0-alpha", ActionFileLink:  "}</t>
  </si>
  <si>
    <t xml:space="preserve">  - &amp;ActionID00463 {ActionTypeCV:  "Specimen analysis", MethodObj: *MethodID00001, BeginDateTime:  "2012-12-09 15:01:46", BeginDateTimeUTCOffset:  "-7", EndDateTime:  ", EndDateTimeUTCOffset:  ", ActionDescription:  "Action generated by Excel Template for Specimen v.0.1.0-alpha", ActionFileLink:  "}</t>
  </si>
  <si>
    <t xml:space="preserve">  - &amp;ActionID00464 {ActionTypeCV:  "Specimen analysis", MethodObj: *MethodID00001, BeginDateTime:  "2012-12-14 04:46:23", BeginDateTimeUTCOffset:  "-7", EndDateTime:  ", EndDateTimeUTCOffset:  ", ActionDescription:  "Action generated by Excel Template for Specimen v.0.1.0-alpha", ActionFileLink:  "}</t>
  </si>
  <si>
    <t xml:space="preserve">  - &amp;ActionID00465 {ActionTypeCV:  "Specimen analysis", MethodObj: *MethodID00001, BeginDateTime:  "2012-12-16 08:40:33", BeginDateTimeUTCOffset:  "-7", EndDateTime:  ", EndDateTimeUTCOffset:  ", ActionDescription:  "Action generated by Excel Template for Specimen v.0.1.0-alpha", ActionFileLink:  "}</t>
  </si>
  <si>
    <t xml:space="preserve">  - &amp;ActionID00466 {ActionTypeCV:  "Specimen analysis", MethodObj: *MethodID00001, BeginDateTime:  "2013-01-20 15:28:47", BeginDateTimeUTCOffset:  "-7", EndDateTime:  ", EndDateTimeUTCOffset:  ", ActionDescription:  "Action generated by Excel Template for Specimen v.0.1.0-alpha", ActionFileLink:  "}</t>
  </si>
  <si>
    <t xml:space="preserve">  - &amp;ActionID00467 {ActionTypeCV:  "Specimen analysis", MethodObj: *MethodID00001, BeginDateTime:  "2013-01-14 22:32:41", BeginDateTimeUTCOffset:  "-7", EndDateTime:  ", EndDateTimeUTCOffset:  ", ActionDescription:  "Action generated by Excel Template for Specimen v.0.1.0-alpha", ActionFileLink:  "}</t>
  </si>
  <si>
    <t xml:space="preserve">  - &amp;ActionID00468 {ActionTypeCV:  "Specimen analysis", MethodObj: *MethodID00001, BeginDateTime:  "2013-01-11 01:14:32", BeginDateTimeUTCOffset:  "-7", EndDateTime:  ", EndDateTimeUTCOffset:  ", ActionDescription:  "Action generated by Excel Template for Specimen v.0.1.0-alpha", ActionFileLink:  "}</t>
  </si>
  <si>
    <t xml:space="preserve">  - &amp;ActionID00469 {ActionTypeCV:  "Specimen analysis", MethodObj: *MethodID00001, BeginDateTime:  "2013-01-23 14:57:18", BeginDateTimeUTCOffset:  "-7", EndDateTime:  ", EndDateTimeUTCOffset:  ", ActionDescription:  "Action generated by Excel Template for Specimen v.0.1.0-alpha", ActionFileLink:  "}</t>
  </si>
  <si>
    <t xml:space="preserve">  - &amp;ActionID00470 {ActionTypeCV:  "Specimen analysis", MethodObj: *MethodID00001, BeginDateTime:  "2013-01-25 13:16:44", BeginDateTimeUTCOffset:  "-7", EndDateTime:  ", EndDateTimeUTCOffset:  ", ActionDescription:  "Action generated by Excel Template for Specimen v.0.1.0-alpha", ActionFileLink:  "}</t>
  </si>
  <si>
    <t xml:space="preserve">  - &amp;ActionID00471 {ActionTypeCV:  "Specimen analysis", MethodObj: *MethodID00001, BeginDateTime:  "2013-02-17 12:02:15", BeginDateTimeUTCOffset:  "-7", EndDateTime:  ", EndDateTimeUTCOffset:  ", ActionDescription:  "Action generated by Excel Template for Specimen v.0.1.0-alpha", ActionFileLink:  "}</t>
  </si>
  <si>
    <t xml:space="preserve">  - &amp;ActionID00472 {ActionTypeCV:  "Specimen analysis", MethodObj: *MethodID00001, BeginDateTime:  "2013-02-16 02:08:26", BeginDateTimeUTCOffset:  "-7", EndDateTime:  ", EndDateTimeUTCOffset:  ", ActionDescription:  "Action generated by Excel Template for Specimen v.0.1.0-alpha", ActionFileLink:  "}</t>
  </si>
  <si>
    <t xml:space="preserve">  - &amp;ActionID00473 {ActionTypeCV:  "Specimen analysis", MethodObj: *MethodID00001, BeginDateTime:  "2013-02-15 09:06:51", BeginDateTimeUTCOffset:  "-7", EndDateTime:  ", EndDateTimeUTCOffset:  ", ActionDescription:  "Action generated by Excel Template for Specimen v.0.1.0-alpha", ActionFileLink:  "}</t>
  </si>
  <si>
    <t xml:space="preserve">  - &amp;ActionID00474 {ActionTypeCV:  "Specimen analysis", MethodObj: *MethodID00001, BeginDateTime:  "2013-03-12 00:48:49", BeginDateTimeUTCOffset:  "-7", EndDateTime:  ", EndDateTimeUTCOffset:  ", ActionDescription:  "Action generated by Excel Template for Specimen v.0.1.0-alpha", ActionFileLink:  "}</t>
  </si>
  <si>
    <t xml:space="preserve">  - &amp;ActionID00475 {ActionTypeCV:  "Specimen analysis", MethodObj: *MethodID00001, BeginDateTime:  "2013-03-15 15:12:26", BeginDateTimeUTCOffset:  "-7", EndDateTime:  ", EndDateTimeUTCOffset:  ", ActionDescription:  "Action generated by Excel Template for Specimen v.0.1.0-alpha", ActionFileLink:  "}</t>
  </si>
  <si>
    <t xml:space="preserve">  - &amp;ActionID00476 {ActionTypeCV:  "Specimen analysis", MethodObj: *MethodID00001, BeginDateTime:  "2013-03-19 04:23:23", BeginDateTimeUTCOffset:  "-7", EndDateTime:  ", EndDateTimeUTCOffset:  ", ActionDescription:  "Action generated by Excel Template for Specimen v.0.1.0-alpha", ActionFileLink:  "}</t>
  </si>
  <si>
    <t xml:space="preserve">  - &amp;ActionID00477 {ActionTypeCV:  "Specimen analysis", MethodObj: *MethodID00001, BeginDateTime:  "2013-04-09 07:02:23", BeginDateTimeUTCOffset:  "-7", EndDateTime:  ", EndDateTimeUTCOffset:  ", ActionDescription:  "Action generated by Excel Template for Specimen v.0.1.0-alpha", ActionFileLink:  "}</t>
  </si>
  <si>
    <t xml:space="preserve">  - &amp;ActionID00478 {ActionTypeCV:  "Specimen analysis", MethodObj: *MethodID00001, BeginDateTime:  "2013-04-21 04:47:17", BeginDateTimeUTCOffset:  "-7", EndDateTime:  ", EndDateTimeUTCOffset:  ", ActionDescription:  "Action generated by Excel Template for Specimen v.0.1.0-alpha", ActionFileLink:  "}</t>
  </si>
  <si>
    <t xml:space="preserve">  - &amp;ActionID00479 {ActionTypeCV:  "Specimen analysis", MethodObj: *MethodID00001, BeginDateTime:  "2013-04-18 03:24:05", BeginDateTimeUTCOffset:  "-7", EndDateTime:  ", EndDateTimeUTCOffset:  ", ActionDescription:  "Action generated by Excel Template for Specimen v.0.1.0-alpha", ActionFileLink:  "}</t>
  </si>
  <si>
    <t xml:space="preserve">  - &amp;ActionID00480 {ActionTypeCV:  "Specimen analysis", MethodObj: *MethodID00001, BeginDateTime:  "2013-04-11 10:29:17", BeginDateTimeUTCOffset:  "-7", EndDateTime:  ", EndDateTimeUTCOffset:  ", ActionDescription:  "Action generated by Excel Template for Specimen v.0.1.0-alpha", ActionFileLink:  "}</t>
  </si>
  <si>
    <t xml:space="preserve">  - &amp;ActionID00481 {ActionTypeCV:  "Specimen analysis", MethodObj: *MethodID00001, BeginDateTime:  "2013-04-20 15:25:37", BeginDateTimeUTCOffset:  "-7", EndDateTime:  ", EndDateTimeUTCOffset:  ", ActionDescription:  "Action generated by Excel Template for Specimen v.0.1.0-alpha", ActionFileLink:  "}</t>
  </si>
  <si>
    <t xml:space="preserve">  - &amp;ActionID00482 {ActionTypeCV:  "Specimen analysis", MethodObj: *MethodID00001, BeginDateTime:  "2013-04-12 09:54:09", BeginDateTimeUTCOffset:  "-7", EndDateTime:  ", EndDateTimeUTCOffset:  ", ActionDescription:  "Action generated by Excel Template for Specimen v.0.1.0-alpha", ActionFileLink:  "}</t>
  </si>
  <si>
    <t xml:space="preserve">  - &amp;ActionID00483 {ActionTypeCV:  "Specimen analysis", MethodObj: *MethodID00001, BeginDateTime:  "2013-04-20 21:54:40", BeginDateTimeUTCOffset:  "-7", EndDateTime:  ", EndDateTimeUTCOffset:  ", ActionDescription:  "Action generated by Excel Template for Specimen v.0.1.0-alpha", ActionFileLink:  "}</t>
  </si>
  <si>
    <t xml:space="preserve">  - &amp;ActionID00484 {ActionTypeCV:  "Specimen analysis", MethodObj: *MethodID00001, BeginDateTime:  "2013-04-19 22:50:42", BeginDateTimeUTCOffset:  "-7", EndDateTime:  ", EndDateTimeUTCOffset:  ", ActionDescription:  "Action generated by Excel Template for Specimen v.0.1.0-alpha", ActionFileLink:  "}</t>
  </si>
  <si>
    <t xml:space="preserve">  - &amp;ActionID00485 {ActionTypeCV:  "Specimen analysis", MethodObj: *MethodID00001, BeginDateTime:  "2013-04-16 07:29:01", BeginDateTimeUTCOffset:  "-7", EndDateTime:  ", EndDateTimeUTCOffset:  ", ActionDescription:  "Action generated by Excel Template for Specimen v.0.1.0-alpha", ActionFileLink:  "}</t>
  </si>
  <si>
    <t xml:space="preserve">  - &amp;ActionID00486 {ActionTypeCV:  "Specimen analysis", MethodObj: *MethodID00001, BeginDateTime:  "2013-04-21 14:42:37", BeginDateTimeUTCOffset:  "-7", EndDateTime:  ", EndDateTimeUTCOffset:  ", ActionDescription:  "Action generated by Excel Template for Specimen v.0.1.0-alpha", ActionFileLink:  "}</t>
  </si>
  <si>
    <t xml:space="preserve">  - &amp;ActionID00487 {ActionTypeCV:  "Specimen analysis", MethodObj: *MethodID00001, BeginDateTime:  "2013-04-29 15:35:47", BeginDateTimeUTCOffset:  "-7", EndDateTime:  ", EndDateTimeUTCOffset:  ", ActionDescription:  "Action generated by Excel Template for Specimen v.0.1.0-alpha", ActionFileLink:  "}</t>
  </si>
  <si>
    <t xml:space="preserve">  - &amp;ActionID00488 {ActionTypeCV:  "Specimen analysis", MethodObj: *MethodID00001, BeginDateTime:  "2013-05-02 16:17:15", BeginDateTimeUTCOffset:  "-7", EndDateTime:  ", EndDateTimeUTCOffset:  ", ActionDescription:  "Action generated by Excel Template for Specimen v.0.1.0-alpha", ActionFileLink:  "}</t>
  </si>
  <si>
    <t xml:space="preserve">  - &amp;ActionID00489 {ActionTypeCV:  "Specimen analysis", MethodObj: *MethodID00001, BeginDateTime:  "2013-04-16 20:22:47", BeginDateTimeUTCOffset:  "-7", EndDateTime:  ", EndDateTimeUTCOffset:  ", ActionDescription:  "Action generated by Excel Template for Specimen v.0.1.0-alpha", ActionFileLink:  "}</t>
  </si>
  <si>
    <t xml:space="preserve">  - &amp;ActionID00490 {ActionTypeCV:  "Specimen analysis", MethodObj: *MethodID00001, BeginDateTime:  "2013-04-24 18:54:25", BeginDateTimeUTCOffset:  "-7", EndDateTime:  ", EndDateTimeUTCOffset:  ", ActionDescription:  "Action generated by Excel Template for Specimen v.0.1.0-alpha", ActionFileLink:  "}</t>
  </si>
  <si>
    <t xml:space="preserve">  - &amp;ActionID00491 {ActionTypeCV:  "Specimen analysis", MethodObj: *MethodID00001, BeginDateTime:  "2013-04-28 16:50:24", BeginDateTimeUTCOffset:  "-7", EndDateTime:  ", EndDateTimeUTCOffset:  ", ActionDescription:  "Action generated by Excel Template for Specimen v.0.1.0-alpha", ActionFileLink:  "}</t>
  </si>
  <si>
    <t xml:space="preserve">  - &amp;ActionID00492 {ActionTypeCV:  "Specimen analysis", MethodObj: *MethodID00001, BeginDateTime:  "2013-05-11 11:31:04", BeginDateTimeUTCOffset:  "-7", EndDateTime:  ", EndDateTimeUTCOffset:  ", ActionDescription:  "Action generated by Excel Template for Specimen v.0.1.0-alpha", ActionFileLink:  "}</t>
  </si>
  <si>
    <t xml:space="preserve">  - &amp;ActionID00493 {ActionTypeCV:  "Specimen analysis", MethodObj: *MethodID00001, BeginDateTime:  "2013-05-16 12:12:57", BeginDateTimeUTCOffset:  "-7", EndDateTime:  ", EndDateTimeUTCOffset:  ", ActionDescription:  "Action generated by Excel Template for Specimen v.0.1.0-alpha", ActionFileLink:  "}</t>
  </si>
  <si>
    <t xml:space="preserve">  - &amp;ActionID00494 {ActionTypeCV:  "Specimen analysis", MethodObj: *MethodID00001, BeginDateTime:  "2013-05-08 08:45:59", BeginDateTimeUTCOffset:  "-7", EndDateTime:  ", EndDateTimeUTCOffset:  ", ActionDescription:  "Action generated by Excel Template for Specimen v.0.1.0-alpha", ActionFileLink:  "}</t>
  </si>
  <si>
    <t xml:space="preserve">  - &amp;ActionID00495 {ActionTypeCV:  "Specimen analysis", MethodObj: *MethodID00001, BeginDateTime:  "2013-06-08 20:04:25", BeginDateTimeUTCOffset:  "-7", EndDateTime:  ", EndDateTimeUTCOffset:  ", ActionDescription:  "Action generated by Excel Template for Specimen v.0.1.0-alpha", ActionFileLink:  "}</t>
  </si>
  <si>
    <t xml:space="preserve">  - &amp;ActionID00496 {ActionTypeCV:  "Specimen analysis", MethodObj: *MethodID00001, BeginDateTime:  "2013-06-22 11:25:06", BeginDateTimeUTCOffset:  "-7", EndDateTime:  ", EndDateTimeUTCOffset:  ", ActionDescription:  "Action generated by Excel Template for Specimen v.0.1.0-alpha", ActionFileLink:  "}</t>
  </si>
  <si>
    <t xml:space="preserve">  - &amp;ActionID00497 {ActionTypeCV:  "Specimen analysis", MethodObj: *MethodID00001, BeginDateTime:  "2013-06-08 03:23:36", BeginDateTimeUTCOffset:  "-7", EndDateTime:  ", EndDateTimeUTCOffset:  ", ActionDescription:  "Action generated by Excel Template for Specimen v.0.1.0-alpha", ActionFileLink:  "}</t>
  </si>
  <si>
    <t xml:space="preserve">  - &amp;ActionID00498 {ActionTypeCV:  "Specimen analysis", MethodObj: *MethodID00001, BeginDateTime:  "2013-06-17 21:15:36", BeginDateTimeUTCOffset:  "-7", EndDateTime:  ", EndDateTimeUTCOffset:  ", ActionDescription:  "Action generated by Excel Template for Specimen v.0.1.0-alpha", ActionFileLink:  "}</t>
  </si>
  <si>
    <t xml:space="preserve">  - &amp;ActionID00499 {ActionTypeCV:  "Specimen analysis", MethodObj: *MethodID00001, BeginDateTime:  "2013-06-13 07:29:06", BeginDateTimeUTCOffset:  "-7", EndDateTime:  ", EndDateTimeUTCOffset:  ", ActionDescription:  "Action generated by Excel Template for Specimen v.0.1.0-alpha", ActionFileLink:  "}</t>
  </si>
  <si>
    <t xml:space="preserve">  - &amp;ActionID00500 {ActionTypeCV:  "Specimen analysis", MethodObj: *MethodID00001, BeginDateTime:  "2013-06-14 22:07:51", BeginDateTimeUTCOffset:  "-7", EndDateTime:  ", EndDateTimeUTCOffset:  ", ActionDescription:  "Action generated by Excel Template for Specimen v.0.1.0-alpha", ActionFileLink:  "}</t>
  </si>
  <si>
    <t xml:space="preserve">  - &amp;ActionID00501 {ActionTypeCV:  "Specimen analysis", MethodObj: *MethodID00001, BeginDateTime:  "2013-06-15 23:41:19", BeginDateTimeUTCOffset:  "-7", EndDateTime:  ", EndDateTimeUTCOffset:  ", ActionDescription:  "Action generated by Excel Template for Specimen v.0.1.0-alpha", ActionFileLink:  "}</t>
  </si>
  <si>
    <t xml:space="preserve">  - &amp;ActionID00502 {ActionTypeCV:  "Specimen analysis", MethodObj: *MethodID00001, BeginDateTime:  "2013-06-23 20:51:53", BeginDateTimeUTCOffset:  "-7", EndDateTime:  ", EndDateTimeUTCOffset:  ", ActionDescription:  "Action generated by Excel Template for Specimen v.0.1.0-alpha", ActionFileLink:  "}</t>
  </si>
  <si>
    <t xml:space="preserve">  - &amp;ActionID00503 {ActionTypeCV:  "Specimen analysis", MethodObj: *MethodID00001, BeginDateTime:  "2013-06-23 02:55:10", BeginDateTimeUTCOffset:  "-7", EndDateTime:  ", EndDateTimeUTCOffset:  ", ActionDescription:  "Action generated by Excel Template for Specimen v.0.1.0-alpha", ActionFileLink:  "}</t>
  </si>
  <si>
    <t xml:space="preserve">  - &amp;ActionID00504 {ActionTypeCV:  "Specimen analysis", MethodObj: *MethodID00001, BeginDateTime:  "2013-06-19 05:55:10", BeginDateTimeUTCOffset:  "-7", EndDateTime:  ", EndDateTimeUTCOffset:  ", ActionDescription:  "Action generated by Excel Template for Specimen v.0.1.0-alpha", ActionFileLink:  "}</t>
  </si>
  <si>
    <t xml:space="preserve">  - &amp;ActionID00505 {ActionTypeCV:  "Specimen analysis", MethodObj: *MethodID00001, BeginDateTime:  "2013-06-21 06:05:01", BeginDateTimeUTCOffset:  "-7", EndDateTime:  ", EndDateTimeUTCOffset:  ", ActionDescription:  "Action generated by Excel Template for Specimen v.0.1.0-alpha", ActionFileLink:  "}</t>
  </si>
  <si>
    <t xml:space="preserve">  - &amp;ActionID00506 {ActionTypeCV:  "Specimen analysis", MethodObj: *MethodID00001, BeginDateTime:  "2013-06-20 16:37:25", BeginDateTimeUTCOffset:  "-7", EndDateTime:  ", EndDateTimeUTCOffset:  ", ActionDescription:  "Action generated by Excel Template for Specimen v.0.1.0-alpha", ActionFileLink:  "}</t>
  </si>
  <si>
    <t xml:space="preserve">  - &amp;ActionID00507 {ActionTypeCV:  "Specimen analysis", MethodObj: *MethodID00001, BeginDateTime:  "2013-06-19 07:58:51", BeginDateTimeUTCOffset:  "-7", EndDateTime:  ", EndDateTimeUTCOffset:  ", ActionDescription:  "Action generated by Excel Template for Specimen v.0.1.0-alpha", ActionFileLink:  "}</t>
  </si>
  <si>
    <t xml:space="preserve">  - &amp;ActionID00508 {ActionTypeCV:  "Specimen analysis", MethodObj: *MethodID00001, BeginDateTime:  "2013-06-11 20:23:07", BeginDateTimeUTCOffset:  "-7", EndDateTime:  ", EndDateTimeUTCOffset:  ", ActionDescription:  "Action generated by Excel Template for Specimen v.0.1.0-alpha", ActionFileLink:  "}</t>
  </si>
  <si>
    <t xml:space="preserve">  - &amp;ActionID00509 {ActionTypeCV:  "Specimen analysis", MethodObj: *MethodID00001, BeginDateTime:  "2013-06-23 04:15:52", BeginDateTimeUTCOffset:  "-7", EndDateTime:  ", EndDateTimeUTCOffset:  ", ActionDescription:  "Action generated by Excel Template for Specimen v.0.1.0-alpha", ActionFileLink:  "}</t>
  </si>
  <si>
    <t xml:space="preserve">  - &amp;ActionID00510 {ActionTypeCV:  "Specimen analysis", MethodObj: *MethodID00001, BeginDateTime:  "2013-06-23 14:29:16", BeginDateTimeUTCOffset:  "-7", EndDateTime:  ", EndDateTimeUTCOffset:  ", ActionDescription:  "Action generated by Excel Template for Specimen v.0.1.0-alpha", ActionFileLink:  "}</t>
  </si>
  <si>
    <t xml:space="preserve">  - &amp;ActionID00511 {ActionTypeCV:  "Specimen analysis", MethodObj: *MethodID00001, BeginDateTime:  "2013-06-13 16:35:32", BeginDateTimeUTCOffset:  "-7", EndDateTime:  ", EndDateTimeUTCOffset:  ", ActionDescription:  "Action generated by Excel Template for Specimen v.0.1.0-alpha", ActionFileLink:  "}</t>
  </si>
  <si>
    <t xml:space="preserve">  - &amp;ActionID00512 {ActionTypeCV:  "Specimen analysis", MethodObj: *MethodID00001, BeginDateTime:  "2013-07-13 16:44:51", BeginDateTimeUTCOffset:  "-7", EndDateTime:  ", EndDateTimeUTCOffset:  ", ActionDescription:  "Action generated by Excel Template for Specimen v.0.1.0-alpha", ActionFileLink:  "}</t>
  </si>
  <si>
    <t xml:space="preserve">  - &amp;ActionID00513 {ActionTypeCV:  "Specimen analysis", MethodObj: *MethodID00001, BeginDateTime:  "2013-07-19 20:23:05", BeginDateTimeUTCOffset:  "-7", EndDateTime:  ", EndDateTimeUTCOffset:  ", ActionDescription:  "Action generated by Excel Template for Specimen v.0.1.0-alpha", ActionFileLink:  "}</t>
  </si>
  <si>
    <t xml:space="preserve">  - &amp;ActionID00514 {ActionTypeCV:  "Specimen analysis", MethodObj: *MethodID00001, BeginDateTime:  "2013-07-12 13:36:37", BeginDateTimeUTCOffset:  "-7", EndDateTime:  ", EndDateTimeUTCOffset:  ", ActionDescription:  "Action generated by Excel Template for Specimen v.0.1.0-alpha", ActionFileLink:  "}</t>
  </si>
  <si>
    <t xml:space="preserve">  - &amp;ActionID00515 {ActionTypeCV:  "Specimen analysis", MethodObj: *MethodID00001, BeginDateTime:  "2013-08-23 21:38:51", BeginDateTimeUTCOffset:  "-7", EndDateTime:  ", EndDateTimeUTCOffset:  ", ActionDescription:  "Action generated by Excel Template for Specimen v.0.1.0-alpha", ActionFileLink:  "}</t>
  </si>
  <si>
    <t xml:space="preserve">  - &amp;ActionID00516 {ActionTypeCV:  "Specimen analysis", MethodObj: *MethodID00001, BeginDateTime:  "2013-08-14 02:06:08", BeginDateTimeUTCOffset:  "-7", EndDateTime:  ", EndDateTimeUTCOffset:  ", ActionDescription:  "Action generated by Excel Template for Specimen v.0.1.0-alpha", ActionFileLink:  "}</t>
  </si>
  <si>
    <t xml:space="preserve">  - &amp;ActionID00517 {ActionTypeCV:  "Specimen analysis", MethodObj: *MethodID00001, BeginDateTime:  "2013-08-09 13:33:24", BeginDateTimeUTCOffset:  "-7", EndDateTime:  ", EndDateTimeUTCOffset:  ", ActionDescription:  "Action generated by Excel Template for Specimen v.0.1.0-alpha", ActionFileLink:  "}</t>
  </si>
  <si>
    <t xml:space="preserve">  - &amp;ActionID00518 {ActionTypeCV:  "Specimen analysis", MethodObj: *MethodID00001, BeginDateTime:  "2013-08-23 06:53:47", BeginDateTimeUTCOffset:  "-7", EndDateTime:  ", EndDateTimeUTCOffset:  ", ActionDescription:  "Action generated by Excel Template for Specimen v.0.1.0-alpha", ActionFileLink:  "}</t>
  </si>
  <si>
    <t xml:space="preserve">  - &amp;ActionID00519 {ActionTypeCV:  "Specimen analysis", MethodObj: *MethodID00001, BeginDateTime:  "2013-08-11 16:38:48", BeginDateTimeUTCOffset:  "-7", EndDateTime:  ", EndDateTimeUTCOffset:  ", ActionDescription:  "Action generated by Excel Template for Specimen v.0.1.0-alpha", ActionFileLink:  "}</t>
  </si>
  <si>
    <t xml:space="preserve">  - &amp;ActionID00520 {ActionTypeCV:  "Specimen analysis", MethodObj: *MethodID00001, BeginDateTime:  "2013-09-19 06:32:16", BeginDateTimeUTCOffset:  "-7", EndDateTime:  ", EndDateTimeUTCOffset:  ", ActionDescription:  "Action generated by Excel Template for Specimen v.0.1.0-alpha", ActionFileLink:  "}</t>
  </si>
  <si>
    <t xml:space="preserve">  - &amp;ActionID00521 {ActionTypeCV:  "Specimen analysis", MethodObj: *MethodID00001, BeginDateTime:  "2013-09-14 18:20:08", BeginDateTimeUTCOffset:  "-7", EndDateTime:  ", EndDateTimeUTCOffset:  ", ActionDescription:  "Action generated by Excel Template for Specimen v.0.1.0-alpha", ActionFileLink:  "}</t>
  </si>
  <si>
    <t xml:space="preserve">  - &amp;ActionID00522 {ActionTypeCV:  "Specimen analysis", MethodObj: *MethodID00001, BeginDateTime:  "2013-09-15 18:54:38", BeginDateTimeUTCOffset:  "-7", EndDateTime:  ", EndDateTimeUTCOffset:  ", ActionDescription:  "Action generated by Excel Template for Specimen v.0.1.0-alpha", ActionFileLink:  "}</t>
  </si>
  <si>
    <t xml:space="preserve">  - &amp;ActionID00523 {ActionTypeCV:  "Specimen analysis", MethodObj: *MethodID00001, BeginDateTime:  "2013-10-14 17:55:13", BeginDateTimeUTCOffset:  "-7", EndDateTime:  ", EndDateTimeUTCOffset:  ", ActionDescription:  "Action generated by Excel Template for Specimen v.0.1.0-alpha", ActionFileLink:  "}</t>
  </si>
  <si>
    <t xml:space="preserve">  - &amp;ActionID00524 {ActionTypeCV:  "Specimen analysis", MethodObj: *MethodID00001, BeginDateTime:  "2013-10-14 14:12:20", BeginDateTimeUTCOffset:  "-7", EndDateTime:  ", EndDateTimeUTCOffset:  ", ActionDescription:  "Action generated by Excel Template for Specimen v.0.1.0-alpha", ActionFileLink:  "}</t>
  </si>
  <si>
    <t xml:space="preserve">  - &amp;ActionID00525 {ActionTypeCV:  "Specimen analysis", MethodObj: *MethodID00001, BeginDateTime:  "2013-10-08 10:37:23", BeginDateTimeUTCOffset:  "-7", EndDateTime:  ", EndDateTimeUTCOffset:  ", ActionDescription:  "Action generated by Excel Template for Specimen v.0.1.0-alpha", ActionFileLink:  "}</t>
  </si>
  <si>
    <t xml:space="preserve">  - &amp;ActionID00526 {ActionTypeCV:  "Specimen analysis", MethodObj: *MethodID00001, BeginDateTime:  "2013-10-20 22:32:04", BeginDateTimeUTCOffset:  "-7", EndDateTime:  ", EndDateTimeUTCOffset:  ", ActionDescription:  "Action generated by Excel Template for Specimen v.0.1.0-alpha", ActionFileLink:  "}</t>
  </si>
  <si>
    <t xml:space="preserve">  - &amp;ActionID00527 {ActionTypeCV:  "Specimen analysis", MethodObj: *MethodID00001, BeginDateTime:  "2013-10-26 10:50:54", BeginDateTimeUTCOffset:  "-7", EndDateTime:  ", EndDateTimeUTCOffset:  ", ActionDescription:  "Action generated by Excel Template for Specimen v.0.1.0-alpha", ActionFileLink:  "}</t>
  </si>
  <si>
    <t xml:space="preserve">  - &amp;ActionID00528 {ActionTypeCV:  "Specimen analysis", MethodObj: *MethodID00001, BeginDateTime:  "2013-10-11 05:04:06", BeginDateTimeUTCOffset:  "-7", EndDateTime:  ", EndDateTimeUTCOffset:  ", ActionDescription:  "Action generated by Excel Template for Specimen v.0.1.0-alpha", ActionFileLink:  "}</t>
  </si>
  <si>
    <t xml:space="preserve">  - &amp;ActionID00529 {ActionTypeCV:  "Specimen analysis", MethodObj: *MethodID00001, BeginDateTime:  "2013-10-16 15:35:18", BeginDateTimeUTCOffset:  "-7", EndDateTime:  ", EndDateTimeUTCOffset:  ", ActionDescription:  "Action generated by Excel Template for Specimen v.0.1.0-alpha", ActionFileLink:  "}</t>
  </si>
  <si>
    <t xml:space="preserve">  - &amp;ActionID00530 {ActionTypeCV:  "Specimen analysis", MethodObj: *MethodID00001, BeginDateTime:  "2013-10-19 05:46:34", BeginDateTimeUTCOffset:  "-7", EndDateTime:  ", EndDateTimeUTCOffset:  ", ActionDescription:  "Action generated by Excel Template for Specimen v.0.1.0-alpha", ActionFileLink:  "}</t>
  </si>
  <si>
    <t xml:space="preserve">  - &amp;ActionID00531 {ActionTypeCV:  "Specimen analysis", MethodObj: *MethodID00001, BeginDateTime:  "2013-10-23 18:25:08", BeginDateTimeUTCOffset:  "-7", EndDateTime:  ", EndDateTimeUTCOffset:  ", ActionDescription:  "Action generated by Excel Template for Specimen v.0.1.0-alpha", ActionFileLink:  "}</t>
  </si>
  <si>
    <t xml:space="preserve">  - &amp;ActionID00532 {ActionTypeCV:  "Specimen analysis", MethodObj: *MethodID00001, BeginDateTime:  "2013-10-13 02:21:04", BeginDateTimeUTCOffset:  "-7", EndDateTime:  ", EndDateTimeUTCOffset:  ", ActionDescription:  "Action generated by Excel Template for Specimen v.0.1.0-alpha", ActionFileLink:  "}</t>
  </si>
  <si>
    <t xml:space="preserve">  - &amp;ActionID00533 {ActionTypeCV:  "Specimen analysis", MethodObj: *MethodID00001, BeginDateTime:  "2013-10-15 20:12:03", BeginDateTimeUTCOffset:  "-7", EndDateTime:  ", EndDateTimeUTCOffset:  ", ActionDescription:  "Action generated by Excel Template for Specimen v.0.1.0-alpha", ActionFileLink:  "}</t>
  </si>
  <si>
    <t xml:space="preserve">  - &amp;ActionID00534 {ActionTypeCV:  "Specimen analysis", MethodObj: *MethodID00001, BeginDateTime:  "2013-10-09 17:16:07", BeginDateTimeUTCOffset:  "-7", EndDateTime:  ", EndDateTimeUTCOffset:  ", ActionDescription:  "Action generated by Excel Template for Specimen v.0.1.0-alpha", ActionFileLink:  "}</t>
  </si>
  <si>
    <t xml:space="preserve">  - &amp;ActionID00535 {ActionTypeCV:  "Specimen analysis", MethodObj: *MethodID00001, BeginDateTime:  "2013-10-08 20:15:22", BeginDateTimeUTCOffset:  "-7", EndDateTime:  ", EndDateTimeUTCOffset:  ", ActionDescription:  "Action generated by Excel Template for Specimen v.0.1.0-alpha", ActionFileLink:  "}</t>
  </si>
  <si>
    <t xml:space="preserve">  - &amp;ActionID00547 {ActionTypeCV:  "Specimen analysis", MethodObj: *MethodID00001, BeginDateTime:  "2013-10-22 20:57:48", BeginDateTimeUTCOffset:  "-7", EndDateTime:  ", EndDateTimeUTCOffset:  ", ActionDescription:  "Action generated by Excel Template for Specimen v.0.1.0-alpha", ActionFileLink:  "}</t>
  </si>
  <si>
    <t xml:space="preserve">  - &amp;ActionID00548 {ActionTypeCV:  "Specimen analysis", MethodObj: *MethodID00001, BeginDateTime:  "2013-10-27 10:37:34", BeginDateTimeUTCOffset:  "-7", EndDateTime:  ", EndDateTimeUTCOffset:  ", ActionDescription:  "Action generated by Excel Template for Specimen v.0.1.0-alpha", ActionFileLink:  "}</t>
  </si>
  <si>
    <t xml:space="preserve">  - &amp;ActionID00549 {ActionTypeCV:  "Specimen analysis", MethodObj: *MethodID00001, BeginDateTime:  "2013-11-18 09:54:56", BeginDateTimeUTCOffset:  "-7", EndDateTime:  ", EndDateTimeUTCOffset:  ", ActionDescription:  "Action generated by Excel Template for Specimen v.0.1.0-alpha", ActionFileLink:  "}</t>
  </si>
  <si>
    <t xml:space="preserve">  - &amp;ActionID00550 {ActionTypeCV:  "Specimen analysis", MethodObj: *MethodID00001, BeginDateTime:  "2013-11-23 02:32:00", BeginDateTimeUTCOffset:  "-7", EndDateTime:  ", EndDateTimeUTCOffset:  ", ActionDescription:  "Action generated by Excel Template for Specimen v.0.1.0-alpha", ActionFileLink:  "}</t>
  </si>
  <si>
    <t xml:space="preserve">  - &amp;ActionID00551 {ActionTypeCV:  "Specimen analysis", MethodObj: *MethodID00001, BeginDateTime:  "2013-11-17 00:25:09", BeginDateTimeUTCOffset:  "-7", EndDateTime:  ", EndDateTimeUTCOffset:  ", ActionDescription:  "Action generated by Excel Template for Specimen v.0.1.0-alpha", ActionFileLink:  "}</t>
  </si>
  <si>
    <t xml:space="preserve">  - &amp;ActionID00552 {ActionTypeCV:  "Specimen analysis", MethodObj: *MethodID00001, BeginDateTime:  "2013-12-21 22:14:21", BeginDateTimeUTCOffset:  "-7", EndDateTime:  ", EndDateTimeUTCOffset:  ", ActionDescription:  "Action generated by Excel Template for Specimen v.0.1.0-alpha", ActionFileLink:  "}</t>
  </si>
  <si>
    <t xml:space="preserve">  - &amp;ActionID00553 {ActionTypeCV:  "Specimen analysis", MethodObj: *MethodID00001, BeginDateTime:  "2013-12-26 20:22:19", BeginDateTimeUTCOffset:  "-7", EndDateTime:  ", EndDateTimeUTCOffset:  ", ActionDescription:  "Action generated by Excel Template for Specimen v.0.1.0-alpha", ActionFileLink:  "}</t>
  </si>
  <si>
    <t xml:space="preserve">  - &amp;ActionID00554 {ActionTypeCV:  "Specimen analysis", MethodObj: *MethodID00001, BeginDateTime:  "2013-12-14 21:19:06", BeginDateTimeUTCOffset:  "-7", EndDateTime:  ", EndDateTimeUTCOffset:  ", ActionDescription:  "Action generated by Excel Template for Specimen v.0.1.0-alpha", ActionFileLink:  "}</t>
  </si>
  <si>
    <t xml:space="preserve">  - &amp;MeasurementResultID00001 {ResultObj: *ResultID00001,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</si>
  <si>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&amp;MeasurementResultID00002 {ResultObj: *ResultID00002,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</si>
  <si>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&amp;MeasurementResultID00003 {ResultObj: *ResultID00003,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</si>
  <si>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&amp;MeasurementResultID00004 {ResultObj: *ResultID00004,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</si>
  <si>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&amp;MeasurementResultID00005 {ResultObj: *ResultID00005,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</si>
  <si>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&amp;MeasurementResultID00006 {ResultObj: *ResultID00006,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</si>
  <si>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&amp;MeasurementResultID00007 {ResultObj: *ResultID00007,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</si>
  <si>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&amp;MeasurementResultID00008 {ResultObj: *ResultID00008,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</si>
  <si>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&amp;MeasurementResultID00009 {ResultObj: *ResultID00009,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</si>
  <si>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&amp;MeasurementResultID00010 {ResultObj: *ResultID00010,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</si>
  <si>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&amp;MeasurementResultID00011 {ResultObj: *ResultID00011,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</si>
  <si>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&amp;MeasurementResultID00012 {ResultObj: *ResultID00012,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</si>
  <si>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&amp;MeasurementResultID00013 {ResultObj: *ResultID00013,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</si>
  <si>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&amp;MeasurementResultID00014 {ResultObj: *ResultID00014,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</si>
  <si>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&amp;MeasurementResultID00015 {ResultObj: *ResultID00015,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</si>
  <si>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&amp;MeasurementResultID00016 {ResultObj: *ResultID00016,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</si>
  <si>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&amp;MeasurementResultID00017 {ResultObj: *ResultID00017,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</si>
  <si>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&amp;MeasurementResultID00018 {ResultObj: *ResultID00018,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</si>
  <si>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&amp;MeasurementResultID00019 {ResultObj: *ResultID00019,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</si>
  <si>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&amp;MeasurementResultID00020 {ResultObj: *ResultID00020,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</si>
  <si>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&amp;MeasurementResultID00021 {ResultObj: *ResultID00021,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</si>
  <si>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&amp;MeasurementResultID00022 {ResultObj: *ResultID00022,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</si>
  <si>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&amp;MeasurementResultID00023 {ResultObj: *ResultID00023,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</si>
  <si>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&amp;MeasurementResultID00024 {ResultObj: *ResultID00024,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</si>
  <si>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&amp;MeasurementResultID00025 {ResultObj: *ResultID00025,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</si>
  <si>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&amp;MeasurementResultID00026 {ResultObj: *ResultID00026,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</si>
  <si>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&amp;MeasurementResultID00027 {ResultObj: *ResultID00027,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</si>
  <si>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&amp;MeasurementResultID00028 {ResultObj: *ResultID00028,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</si>
  <si>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&amp;MeasurementResultID00029 {ResultObj: *ResultID00029,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</si>
  <si>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&amp;MeasurementResultID00030 {ResultObj: *ResultID00030,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</si>
  <si>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&amp;MeasurementResultID00031 {ResultObj: *ResultID00031,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</si>
  <si>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&amp;MeasurementResultID00032 {ResultObj: *ResultID00032,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</si>
  <si>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&amp;MeasurementResultID00033 {ResultObj: *ResultID00033,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</si>
  <si>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&amp;MeasurementResultID00034 {ResultObj: *ResultID00034,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</si>
  <si>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&amp;MeasurementResultID00035 {ResultObj: *ResultID00035,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</si>
  <si>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&amp;MeasurementResultID00036 {ResultObj: *ResultID00036,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</si>
  <si>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&amp;MeasurementResultID00037 {ResultObj: *ResultID00037,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</si>
  <si>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&amp;MeasurementResultID00038 {ResultObj: *ResultID00038,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</si>
  <si>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&amp;MeasurementResultID00039 {ResultObj: *ResultID00039,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</si>
  <si>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&amp;MeasurementResultID00040 {ResultObj: *ResultID00040,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</si>
  <si>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&amp;MeasurementResultID00041 {ResultObj: *ResultID00041,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</si>
  <si>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&amp;MeasurementResultID00042 {ResultObj: *ResultID00042,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</si>
  <si>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&amp;MeasurementResultID00043 {ResultObj: *ResultID00043,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</si>
  <si>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&amp;MeasurementResultID00044 {ResultObj: *ResultID00044,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</si>
  <si>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&amp;MeasurementResultID00045 {ResultObj: *ResultID00045,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</si>
  <si>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&amp;MeasurementResultID00046 {ResultObj: *ResultID00046,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</si>
  <si>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&amp;MeasurementResultID00047 {ResultObj: *ResultID00047,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</si>
  <si>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&amp;MeasurementResultID00048 {ResultObj: *ResultID00048,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</si>
  <si>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&amp;MeasurementResultID00049 {ResultObj: *ResultID00049,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</si>
  <si>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&amp;MeasurementResultID00050 {ResultObj: *ResultID00050,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</si>
  <si>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&amp;MeasurementResultID00051 {ResultObj: *ResultID00051,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</si>
  <si>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&amp;MeasurementResultID00052 {ResultObj: *ResultID00052,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</si>
  <si>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&amp;MeasurementResultID00053 {ResultObj: *ResultID00053,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</si>
  <si>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&amp;MeasurementResultID00054 {ResultObj: *ResultID00054,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</si>
  <si>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&amp;MeasurementResultID00055 {ResultObj: *ResultID00055,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</si>
  <si>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&amp;MeasurementResultID00056 {ResultObj: *ResultID00056,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</si>
  <si>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&amp;MeasurementResultID00057 {ResultObj: *ResultID00057,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</si>
  <si>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&amp;MeasurementResultID00058 {ResultObj: *ResultID00058,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</si>
  <si>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&amp;MeasurementResultID00059 {ResultObj: *ResultID00059,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</si>
  <si>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&amp;MeasurementResultID00060 {ResultObj: *ResultID00060,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</si>
  <si>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&amp;MeasurementResultID00061 {ResultObj: *ResultID00061,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</si>
  <si>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&amp;MeasurementResultID00062 {ResultObj: *ResultID00062,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</si>
  <si>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&amp;MeasurementResultID00063 {ResultObj: *ResultID00063,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</si>
  <si>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&amp;MeasurementResultID00064 {ResultObj: *ResultID00064,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</si>
  <si>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&amp;MeasurementResultID00065 {ResultObj: *ResultID00065,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</si>
  <si>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&amp;MeasurementResultID00066 {ResultObj: *ResultID00066,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</si>
  <si>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&amp;MeasurementResultID00067 {ResultObj: *ResultID00067,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</si>
  <si>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&amp;MeasurementResultID00068 {ResultObj: *ResultID00068,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</si>
  <si>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&amp;MeasurementResultID00069 {ResultObj: *ResultID00069,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</si>
  <si>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&amp;MeasurementResultID00070 {ResultObj: *ResultID00070,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</si>
  <si>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&amp;MeasurementResultID00071 {ResultObj: *ResultID00071,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</si>
  <si>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&amp;MeasurementResultID00072 {ResultObj: *ResultID00072,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</si>
  <si>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&amp;MeasurementResultID00073 {ResultObj: *ResultID00073,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</si>
  <si>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&amp;MeasurementResultID00074 {ResultObj: *ResultID00074,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</si>
  <si>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&amp;MeasurementResultID00075 {ResultObj: *ResultID00075,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</si>
  <si>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&amp;MeasurementResultID00076 {ResultObj: *ResultID00076,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</si>
  <si>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&amp;MeasurementResultID00077 {ResultObj: *ResultID00077,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</si>
  <si>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&amp;MeasurementResultID00078 {ResultObj: *ResultID00078,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</si>
  <si>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&amp;MeasurementResultID00079 {ResultObj: *ResultID00079,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</si>
  <si>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&amp;MeasurementResultID00080 {ResultObj: *ResultID00080,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</si>
  <si>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&amp;MeasurementResultID00081 {ResultObj: *ResultID00081,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</si>
  <si>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&amp;MeasurementResultID00082 {ResultObj: *ResultID00082,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</si>
  <si>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&amp;MeasurementResultID00083 {ResultObj: *ResultID00083,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</si>
  <si>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&amp;MeasurementResultID00084 {ResultObj: *ResultID00084,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</si>
  <si>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&amp;MeasurementResultID00085 {ResultObj: *ResultID00085,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</si>
  <si>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&amp;MeasurementResultID00086 {ResultObj: *ResultID00086,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</si>
  <si>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&amp;MeasurementResultID00087 {ResultObj: *ResultID00087,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</si>
  <si>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&amp;MeasurementResultID00088 {ResultObj: *ResultID00088,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</si>
  <si>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&amp;MeasurementResultID00089 {ResultObj: *ResultID00089,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</si>
  <si>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&amp;MeasurementResultID00090 {ResultObj: *ResultID00090,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</si>
  <si>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&amp;MeasurementResultID00091 {ResultObj: *ResultID00091,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</si>
  <si>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&amp;MeasurementResultID00092 {ResultObj: *ResultID00092,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</si>
  <si>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&amp;MeasurementResultID00093 {ResultObj: *ResultID00093,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</si>
  <si>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&amp;MeasurementResultID00094 {ResultObj: *ResultID00094,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</si>
  <si>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&amp;MeasurementResultID00095 {ResultObj: *ResultID00095,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</si>
  <si>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&amp;MeasurementResultID00096 {ResultObj: *ResultID00096,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</si>
  <si>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&amp;MeasurementResultID00097 {ResultObj: *ResultID00097,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</si>
  <si>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&amp;MeasurementResultID00098 {ResultObj: *ResultID00098,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</si>
  <si>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&amp;MeasurementResultID00099 {ResultObj: *ResultID00099,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</si>
  <si>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&amp;MeasurementResultID00100 {ResultObj: *ResultID00100,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</si>
  <si>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&amp;MeasurementResultID00101 {ResultObj: *ResultID00101,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</si>
  <si>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&amp;MeasurementResultID00102 {ResultObj: *ResultID00102,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</si>
  <si>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&amp;MeasurementResultID00103 {ResultObj: *ResultID00103,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</si>
  <si>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&amp;MeasurementResultID00104 {ResultObj: *ResultID00104,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</si>
  <si>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&amp;MeasurementResultID00105 {ResultObj: *ResultID00105,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</si>
  <si>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&amp;MeasurementResultID00106 {ResultObj: *ResultID00106,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</si>
  <si>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&amp;MeasurementResultID00107 {ResultObj: *ResultID00107,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</si>
  <si>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&amp;MeasurementResultID00108 {ResultObj: *ResultID00108,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</si>
  <si>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&amp;MeasurementResultID00109 {ResultObj: *ResultID00109,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</si>
  <si>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&amp;MeasurementResultID00110 {ResultObj: *ResultID00110,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</si>
  <si>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&amp;MeasurementResultID00111 {ResultObj: *ResultID00111,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</si>
  <si>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&amp;MeasurementResultID00112 {ResultObj: *ResultID00112,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</si>
  <si>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&amp;MeasurementResultID00113 {ResultObj: *ResultID00113,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</si>
  <si>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&amp;MeasurementResultID00114 {ResultObj: *ResultID00114,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</si>
  <si>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&amp;MeasurementResultID00115 {ResultObj: *ResultID00115,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</si>
  <si>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&amp;MeasurementResultID00116 {ResultObj: *ResultID00116,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</si>
  <si>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&amp;MeasurementResultID00117 {ResultObj: *ResultID00117,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</si>
  <si>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&amp;MeasurementResultID00118 {ResultObj: *ResultID00118,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</si>
  <si>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&amp;MeasurementResultID00119 {ResultObj: *ResultID00119,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</si>
  <si>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&amp;MeasurementResultID00120 {ResultObj: *ResultID00120,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</si>
  <si>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&amp;MeasurementResultID00121 {ResultObj: *ResultID00121,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</si>
  <si>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&amp;MeasurementResultID00122 {ResultObj: *ResultID00122,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</si>
  <si>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&amp;MeasurementResultID00123 {ResultObj: *ResultID00123,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</si>
  <si>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&amp;MeasurementResultID00124 {ResultObj: *ResultID00124,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</si>
  <si>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&amp;MeasurementResultID00125 {ResultObj: *ResultID00125,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</si>
  <si>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&amp;MeasurementResultID00126 {ResultObj: *ResultID00126,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</si>
  <si>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&amp;MeasurementResultID00127 {ResultObj: *ResultID00127,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</si>
  <si>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&amp;MeasurementResultID00128 {ResultObj: *ResultID00128,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</si>
  <si>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&amp;MeasurementResultID00129 {ResultObj: *ResultID00129,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</si>
  <si>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&amp;MeasurementResultID00130 {ResultObj: *ResultID00130,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</si>
  <si>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&amp;MeasurementResultID00131 {ResultObj: *ResultID00131,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</si>
  <si>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&amp;MeasurementResultID00132 {ResultObj: *ResultID00132,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</si>
  <si>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&amp;MeasurementResultID00133 {ResultObj: *ResultID00133,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</si>
  <si>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&amp;MeasurementResultID00134 {ResultObj: *ResultID00134,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</si>
  <si>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&amp;MeasurementResultID00135 {ResultObj: *ResultID00135,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</si>
  <si>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&amp;MeasurementResultID00136 {ResultObj: *ResultID00136,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</si>
  <si>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&amp;MeasurementResultID00137 {ResultObj: *ResultID00137,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</si>
  <si>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&amp;MeasurementResultID00138 {ResultObj: *ResultID00138,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</si>
  <si>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&amp;MeasurementResultID00139 {ResultObj: *ResultID00139,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</si>
  <si>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&amp;MeasurementResultID00140 {ResultObj: *ResultID00140,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</si>
  <si>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&amp;MeasurementResultID00141 {ResultObj: *ResultID00141,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</si>
  <si>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&amp;MeasurementResultID00142 {ResultObj: *ResultID00142,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</si>
  <si>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&amp;MeasurementResultID00143 {ResultObj: *ResultID00143,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</si>
  <si>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&amp;MeasurementResultID00144 {ResultObj: *ResultID00144,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</si>
  <si>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&amp;MeasurementResultID00145 {ResultObj: *ResultID00145,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</si>
  <si>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&amp;MeasurementResultID00146 {ResultObj: *ResultID00146,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</si>
  <si>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&amp;MeasurementResultID00147 {ResultObj: *ResultID00147,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</si>
  <si>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&amp;MeasurementResultID00148 {ResultObj: *ResultID00148,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</si>
  <si>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&amp;MeasurementResultID00149 {ResultObj: *ResultID00149,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</si>
  <si>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&amp;MeasurementResultID00150 {ResultObj: *ResultID00150,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</si>
  <si>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&amp;MeasurementResultID00151 {ResultObj: *ResultID00151,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</si>
  <si>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&amp;MeasurementResultID00152 {ResultObj: *ResultID00152,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</si>
  <si>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&amp;MeasurementResultID00153 {ResultObj: *ResultID00153,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</si>
  <si>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&amp;MeasurementResultID00154 {ResultObj: *ResultID00154,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</si>
  <si>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&amp;MeasurementResultID00155 {ResultObj: *ResultID00155,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</si>
  <si>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&amp;MeasurementResultID00156 {ResultObj: *ResultID00156,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</si>
  <si>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&amp;MeasurementResultID00157 {ResultObj: *ResultID00157,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</si>
  <si>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&amp;MeasurementResultID00158 {ResultObj: *ResultID00158,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</si>
  <si>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&amp;MeasurementResultID00159 {ResultObj: *ResultID00159,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</si>
  <si>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&amp;MeasurementResultID00160 {ResultObj: *ResultID00160,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</si>
  <si>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&amp;MeasurementResultID00161 {ResultObj: *ResultID00161,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</si>
  <si>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&amp;MeasurementResultID00162 {ResultObj: *ResultID00162,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</si>
  <si>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&amp;MeasurementResultID00165 {ResultObj: *ResultID00165,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</si>
  <si>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&amp;MeasurementResultID00166 {ResultObj: *ResultID00166,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</si>
  <si>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&amp;MeasurementResultID00167 {ResultObj: *ResultID00167,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</si>
  <si>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&amp;MeasurementResultID00168 {ResultObj: *ResultID00168,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</si>
  <si>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&amp;MeasurementResultID00169 {ResultObj: *ResultID00169,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</si>
  <si>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&amp;MeasurementResultID00170 {ResultObj: *ResultID00170,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</si>
  <si>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&amp;MeasurementResultID00171 {ResultObj: *ResultID00171,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</si>
  <si>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&amp;MeasurementResultID00172 {ResultObj: *ResultID00172,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</si>
  <si>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&amp;MeasurementResultID00173 {ResultObj: *ResultID00173,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</si>
  <si>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&amp;MeasurementResultID00174 {ResultObj: *ResultID00174,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</si>
  <si>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&amp;MeasurementResultID00175 {ResultObj: *ResultID00175,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</si>
  <si>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&amp;MeasurementResultID00176 {ResultObj: *ResultID00176,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</si>
  <si>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&amp;MeasurementResultID00177 {ResultObj: *ResultID00177,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</si>
  <si>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&amp;MeasurementResultID00178 {ResultObj: *ResultID00178,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</si>
  <si>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&amp;MeasurementResultID00179 {ResultObj: *ResultID00179,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</si>
  <si>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&amp;MeasurementResultID00180 {ResultObj: *ResultID00180,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</si>
  <si>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&amp;MeasurementResultID00181 {ResultObj: *ResultID00181,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</si>
  <si>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&amp;MeasurementResultID00182 {ResultObj: *ResultID00182,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</si>
  <si>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&amp;MeasurementResultID00183 {ResultObj: *ResultID00183,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</si>
  <si>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&amp;MeasurementResultID00184 {ResultObj: *ResultID00184,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</si>
  <si>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&amp;MeasurementResultID00185 {ResultObj: *ResultID00185,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</si>
  <si>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&amp;MeasurementResultID00186 {ResultObj: *ResultID00186,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</si>
  <si>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&amp;MeasurementResultID00187 {ResultObj: *ResultID00187,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</si>
  <si>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&amp;MeasurementResultID00188 {ResultObj: *ResultID00188,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</si>
  <si>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&amp;MeasurementResultID00189 {ResultObj: *ResultID00189,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</si>
  <si>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&amp;MeasurementResultID00190 {ResultObj: *ResultID00190,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</si>
  <si>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&amp;MeasurementResultID00191 {ResultObj: *ResultID00191,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</si>
  <si>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&amp;MeasurementResultID00192 {ResultObj: *ResultID00192,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</si>
  <si>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&amp;MeasurementResultID00193 {ResultObj: *ResultID00193,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</si>
  <si>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&amp;MeasurementResultID00194 {ResultObj: *ResultID00194,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</si>
  <si>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&amp;MeasurementResultID00195 {ResultObj: *ResultID00195,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</si>
  <si>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&amp;MeasurementResultID00196 {ResultObj: *ResultID00196,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</si>
  <si>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&amp;MeasurementResultID00197 {ResultObj: *ResultID00197,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</si>
  <si>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&amp;MeasurementResultID00198 {ResultObj: *ResultID00198,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</si>
  <si>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&amp;MeasurementResultID00199 {ResultObj: *ResultID00199,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</si>
  <si>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&amp;MeasurementResultID00200 {ResultObj: *ResultID00200,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</si>
  <si>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&amp;MeasurementResultID00201 {ResultObj: *ResultID00201,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</si>
  <si>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&amp;MeasurementResultID00202 {ResultObj: *ResultID00202,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</si>
  <si>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&amp;MeasurementResultID00203 {ResultObj: *ResultID00203,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</si>
  <si>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&amp;MeasurementResultID00204 {ResultObj: *ResultID00204,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</si>
  <si>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&amp;MeasurementResultID00205 {ResultObj: *ResultID00205,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</si>
  <si>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&amp;MeasurementResultID00206 {ResultObj: *ResultID00206,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</si>
  <si>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&amp;MeasurementResultID00207 {ResultObj: *ResultID00207,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</si>
  <si>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&amp;MeasurementResultID00208 {ResultObj: *ResultID00208,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</si>
  <si>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&amp;MeasurementResultID00209 {ResultObj: *ResultID00209,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</si>
  <si>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&amp;MeasurementResultID00210 {ResultObj: *ResultID00210,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</si>
  <si>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&amp;MeasurementResultID00211 {ResultObj: *ResultID00211,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</si>
  <si>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&amp;MeasurementResultID00212 {ResultObj: *ResultID00212,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</si>
  <si>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&amp;MeasurementResultID00213 {ResultObj: *ResultID00213,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</si>
  <si>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&amp;MeasurementResultID00214 {ResultObj: *ResultID00214,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</si>
  <si>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&amp;MeasurementResultID00215 {ResultObj: *ResultID00215,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</si>
  <si>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&amp;MeasurementResultID00216 {ResultObj: *ResultID00216,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</si>
  <si>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&amp;MeasurementResultID00217 {ResultObj: *ResultID00217,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</si>
  <si>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&amp;MeasurementResultID00218 {ResultObj: *ResultID00218,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</si>
  <si>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&amp;MeasurementResultID00219 {ResultObj: *ResultID00219,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</si>
  <si>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&amp;MeasurementResultID00220 {ResultObj: *ResultID00220,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</si>
  <si>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&amp;MeasurementResultID00221 {ResultObj: *ResultID00221,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</si>
  <si>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&amp;MeasurementResultID00222 {ResultObj: *ResultID00222,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</si>
  <si>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&amp;MeasurementResultID00223 {ResultObj: *ResultID00223,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</si>
  <si>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&amp;MeasurementResultID00224 {ResultObj: *ResultID00224,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</si>
  <si>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&amp;MeasurementResultID00225 {ResultObj: *ResultID00225,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</si>
  <si>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&amp;MeasurementResultID00226 {ResultObj: *ResultID00226,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</si>
  <si>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&amp;MeasurementResultID00227 {ResultObj: *ResultID00227,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</si>
  <si>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&amp;MeasurementResultID00228 {ResultObj: *ResultID00228,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</si>
  <si>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&amp;MeasurementResultID00229 {ResultObj: *ResultID00229,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</si>
  <si>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&amp;MeasurementResultID00230 {ResultObj: *ResultID00230,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</si>
  <si>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&amp;MeasurementResultID00231 {ResultObj: *ResultID00231,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</si>
  <si>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&amp;MeasurementResultID00232 {ResultObj: *ResultID00232,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</si>
  <si>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&amp;MeasurementResultID00233 {ResultObj: *ResultID00233,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</si>
  <si>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&amp;MeasurementResultID00234 {ResultObj: *ResultID00234,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</si>
  <si>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&amp;MeasurementResultID00235 {ResultObj: *ResultID00235,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</si>
  <si>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&amp;MeasurementResultID00236 {ResultObj: *ResultID00236,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</si>
  <si>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&amp;MeasurementResultID00237 {ResultObj: *ResultID00237,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</si>
  <si>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&amp;MeasurementResultID00238 {ResultObj: *ResultID00238,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</si>
  <si>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&amp;MeasurementResultID00239 {ResultObj: *ResultID00239,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</si>
  <si>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&amp;MeasurementResultID00240 {ResultObj: *ResultID00240,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</si>
  <si>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&amp;MeasurementResultID00241 {ResultObj: *ResultID00241,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</si>
  <si>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&amp;MeasurementResultID00242 {ResultObj: *ResultID00242,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</si>
  <si>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&amp;MeasurementResultID00243 {ResultObj: *ResultID00243,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</si>
  <si>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&amp;MeasurementResultID00244 {ResultObj: *ResultID00244,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</si>
  <si>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&amp;MeasurementResultID00245 {ResultObj: *ResultID00245,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</si>
  <si>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&amp;MeasurementResultID00246 {ResultObj: *ResultID00246,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</si>
  <si>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&amp;MeasurementResultID00247 {ResultObj: *ResultID00247,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</si>
  <si>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&amp;MeasurementResultID00248 {ResultObj: *ResultID00248,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</si>
  <si>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&amp;MeasurementResultID00249 {ResultObj: *ResultID00249,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</si>
  <si>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&amp;MeasurementResultID00250 {ResultObj: *ResultID00250,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</si>
  <si>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&amp;MeasurementResultID00251 {ResultObj: *ResultID00251,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</si>
  <si>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&amp;MeasurementResultID00252 {ResultObj: *ResultID00252,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</si>
  <si>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&amp;MeasurementResultID00253 {ResultObj: *ResultID00253,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</si>
  <si>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&amp;MeasurementResultID00254 {ResultObj: *ResultID00254,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</si>
  <si>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&amp;MeasurementResultID00255 {ResultObj: *ResultID00255,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</si>
  <si>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&amp;MeasurementResultID00256 {ResultObj: *ResultID00256,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</si>
  <si>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&amp;MeasurementResultID00257 {ResultObj: *ResultID00257,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</si>
  <si>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&amp;MeasurementResultID00258 {ResultObj: *ResultID00258,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</si>
  <si>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&amp;MeasurementResultID00270 {ResultObj: *ResultID00270,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</si>
  <si>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&amp;MeasurementResultID00271 {ResultObj: *ResultID00271,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</si>
  <si>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&amp;MeasurementResultID00272 {ResultObj: *ResultID00272,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</si>
  <si>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&amp;MeasurementResultID00273 {ResultObj: *ResultID00273,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</si>
  <si>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&amp;MeasurementResultID00274 {ResultObj: *ResultID00274,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</si>
  <si>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&amp;MeasurementResultID00275 {ResultObj: *ResultID00275,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</si>
  <si>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&amp;MeasurementResultID00276 {ResultObj: *ResultID00276,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</si>
  <si>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&amp;MeasurementResultID00277 {ResultObj: *ResultID00277, XLocation:  ", XLocationUnitsObj:  , YLocation:  ", YLocationUnitsObj:  , ZLocation:  ", ZLocationUnitsObj:  , SpatialReferenceObj:  , CensorCodeCV: "Not censored", QualityCodeCV:  "Good", AggregationStatisticCV:  "Average", TimeAggregationInterval:  "0", TimeAggregationUnitsObj:  "sec"}</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</si>
</sst>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8" xfId="0" applyFont="1" applyFill="1" applyBorder="1" applyProtection="1"/>
    <xf numFmtId="0" fontId="11" fillId="0" borderId="36" xfId="0" applyFont="1" applyFill="1" applyBorder="1" applyProtection="1"/>
    <xf numFmtId="0" fontId="11" fillId="0" borderId="35" xfId="0" applyFont="1" applyFill="1" applyBorder="1" applyProtection="1"/>
    <xf numFmtId="0" fontId="11" fillId="0" borderId="37"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2"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6" fillId="0" borderId="62"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9" fillId="4" borderId="81" xfId="0" applyFont="1" applyFill="1" applyBorder="1" applyProtection="1"/>
    <xf numFmtId="0" fontId="19"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20" fillId="0" borderId="66" xfId="0" applyFont="1" applyFill="1" applyBorder="1" applyProtection="1"/>
    <xf numFmtId="0" fontId="11" fillId="0" borderId="6" xfId="0" applyFont="1" applyFill="1" applyBorder="1" applyProtection="1"/>
    <xf numFmtId="0" fontId="11" fillId="0" borderId="82" xfId="0" applyFont="1" applyFill="1" applyBorder="1" applyProtection="1"/>
    <xf numFmtId="0" fontId="20" fillId="0" borderId="35" xfId="0" applyFont="1" applyFill="1" applyBorder="1" applyProtection="1"/>
    <xf numFmtId="0" fontId="11" fillId="0" borderId="86" xfId="0" applyFont="1" applyFill="1" applyBorder="1" applyProtection="1"/>
  </cellXfs>
  <cellStyles count="4">
    <cellStyle name="Followed Hyperlink" xfId="2" builtinId="9" hidden="1"/>
    <cellStyle name="Hyperlink" xfId="1" builtinId="8" hidden="1"/>
    <cellStyle name="Hyperlink" xfId="3" builtinId="8"/>
    <cellStyle name="Normal" xfId="0" builtinId="0"/>
  </cellStyles>
  <dxfs count="296">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border diagonalUp="0" diagonalDown="0">
        <left style="thin">
          <color auto="1"/>
        </left>
        <right style="thin">
          <color auto="1"/>
        </right>
        <top/>
        <bottom/>
        <vertical style="thin">
          <color auto="1"/>
        </vertical>
        <horizontal/>
      </border>
      <protection locked="1" hidden="0"/>
    </dxf>
    <dxf>
      <border>
        <bottom style="double">
          <color auto="1"/>
        </bottom>
      </border>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95" dataDxfId="294" tableBorderDxfId="293">
  <tableColumns count="5">
    <tableColumn id="1" name="Organization Type [CV]" dataDxfId="292"/>
    <tableColumn id="2" name="Organization Code" dataDxfId="291"/>
    <tableColumn id="3" name="Organization Name" dataDxfId="290"/>
    <tableColumn id="4" name="Organization Description" dataDxfId="289"/>
    <tableColumn id="5" name="Organization Link" dataDxfId="28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87" dataDxfId="285" headerRowBorderDxfId="286" tableBorderDxfId="284">
  <tableColumns count="9">
    <tableColumn id="1" name="First Name" dataDxfId="283"/>
    <tableColumn id="2" name="Middle Name" dataDxfId="282"/>
    <tableColumn id="3" name="Last Name" dataDxfId="281"/>
    <tableColumn id="5" name="Organization Name" dataDxfId="280"/>
    <tableColumn id="6" name="Primary Email" dataDxfId="279"/>
    <tableColumn id="7" name="Primary Address" dataDxfId="278"/>
    <tableColumn id="10" name="Person OrcID" dataDxfId="277"/>
    <tableColumn id="8" name="Full Name" dataDxfId="276">
      <calculatedColumnFormula>CONCATENATE(People[[#This Row],[First Name]],IF(People[[#This Row],[Middle Name]]="",""," "),People[[#This Row],[Middle Name]]," ",People[[#This Row],[Last Name]])</calculatedColumnFormula>
    </tableColumn>
    <tableColumn id="9" name="ExternalIDNum" dataDxfId="27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74" dataDxfId="272" headerRowBorderDxfId="273" tableBorderDxfId="271">
  <tableColumns count="2">
    <tableColumn id="1" name="Author Number" dataDxfId="270">
      <calculatedColumnFormula>IF(AuthorList[[#This Row],[Author Name]]&lt;&gt;"",MAX(INDIRECT(CONCATENATE("R",ROW(AuthorList[#Headers]),"C",COLUMN(),":R",ROW()-1,"C",COLUMN()),FALSE))+1,"")</calculatedColumnFormula>
    </tableColumn>
    <tableColumn id="2" name="Author Name" dataDxfId="269"/>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72" dataDxfId="268" headerRowBorderDxfId="73" tableBorderDxfId="267">
  <tableColumns count="18">
    <tableColumn id="1" name="Sampling Feature UUID" dataDxfId="266"/>
    <tableColumn id="2" name="Sampling Feature Type" dataDxfId="265"/>
    <tableColumn id="3" name="Feature Geo Type" dataDxfId="264"/>
    <tableColumn id="4" name="Feature Code" dataDxfId="263"/>
    <tableColumn id="5" name="Feature Name" dataDxfId="262"/>
    <tableColumn id="6" name="Feature Description" dataDxfId="261"/>
    <tableColumn id="7" name="Feature Geometry" dataDxfId="260"/>
    <tableColumn id="8" name="Elevation_m" dataDxfId="259"/>
    <tableColumn id="9" name="Feature IGSN" dataDxfId="258"/>
    <tableColumn id="10" name="IGSNID" dataDxfId="74">
      <calculatedColumnFormula>IF(SamplingFeatures[[#This Row],[Feature IGSN]]&lt;&gt;"",MAX(INDIRECT(CONCATENATE("R",ROW(SamplingFeatures[#Headers]),"C",COLUMN(),":R",ROW()-1,"C",COLUMN()),FALSE))+1,"")</calculatedColumnFormula>
    </tableColumn>
    <tableColumn id="11" name="SiteID" dataDxfId="71">
      <calculatedColumnFormula>IF(SamplingFeatures[[#This Row],[Sampling Feature Type]]="Site",MAX(INDIRECT(CONCATENATE("R",ROW(SamplingFeatures[#Headers]),"C",COLUMN(),":R",ROW()-1,"C",COLUMN()),FALSE))+1,"")</calculatedColumnFormula>
    </tableColumn>
    <tableColumn id="12" name="Site Type" dataDxfId="80"/>
    <tableColumn id="13" name="Latitude" dataDxfId="79"/>
    <tableColumn id="14" name="Longitude" dataDxfId="78"/>
    <tableColumn id="15" name="SpecimenID" dataDxfId="70">
      <calculatedColumnFormula>IF(SamplingFeatures[[#This Row],[Sampling Feature Type]]="Specimen",MAX(INDIRECT(CONCATENATE("R",ROW(SamplingFeatures[#Headers]),"C",COLUMN(),":R",ROW()-1,"C",COLUMN()),FALSE))+1,"")</calculatedColumnFormula>
    </tableColumn>
    <tableColumn id="16" name="Specimen Type" dataDxfId="77"/>
    <tableColumn id="17" name="Specimen Medium" dataDxfId="76"/>
    <tableColumn id="18" name="Is Field Specimen?" dataDxfId="7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57" dataDxfId="255" headerRowBorderDxfId="256" tableBorderDxfId="254">
  <tableColumns count="8">
    <tableColumn id="1" name="Spatial Offset Code" dataDxfId="253"/>
    <tableColumn id="2" name="Spatial Offset Type" dataDxfId="252"/>
    <tableColumn id="3" name="Offset 1 Value" dataDxfId="251"/>
    <tableColumn id="4" name="Offset 1 Unit" dataDxfId="250"/>
    <tableColumn id="5" name="Offset 2 Value" dataDxfId="249"/>
    <tableColumn id="6" name="Offset 2 Unit" dataDxfId="248"/>
    <tableColumn id="7" name="Offset 3 Value" dataDxfId="247"/>
    <tableColumn id="8" name="Offset 3 Unit" dataDxfId="246"/>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245" dataDxfId="243" headerRowBorderDxfId="244" tableBorderDxfId="242">
  <tableColumns count="4">
    <tableColumn id="1" name="First Sampling Feature Code" dataDxfId="241"/>
    <tableColumn id="2" name="Relationship Type" dataDxfId="240"/>
    <tableColumn id="3" name="Second Sampling Feature Code" dataDxfId="239"/>
    <tableColumn id="5" name="Spatial Offset Code" dataDxfId="238"/>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37" dataDxfId="235" headerRowBorderDxfId="236" tableBorderDxfId="234">
  <tableColumns count="6">
    <tableColumn id="1" name="Method Type" dataDxfId="233"/>
    <tableColumn id="2" name="Method Code" dataDxfId="232"/>
    <tableColumn id="3" name="Method Name" dataDxfId="231"/>
    <tableColumn id="4" name="Method Description" dataDxfId="230"/>
    <tableColumn id="5" name="Method Link" dataDxfId="229"/>
    <tableColumn id="6" name="Organization Name" dataDxfId="228"/>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7" totalsRowShown="0" headerRowDxfId="227" dataDxfId="225" headerRowBorderDxfId="226" tableBorderDxfId="224">
  <tableColumns count="6">
    <tableColumn id="1" name="Variable Type" dataDxfId="223"/>
    <tableColumn id="2" name="Variable Code" dataDxfId="222"/>
    <tableColumn id="3" name="Variable Name" dataDxfId="221"/>
    <tableColumn id="4" name="Variable Definition" dataDxfId="220"/>
    <tableColumn id="5" name="Speciation" dataDxfId="219"/>
    <tableColumn id="6" name="No Data Value" dataDxfId="218"/>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17" dataDxfId="215" headerRowBorderDxfId="216" tableBorderDxfId="214">
  <tableColumns count="3">
    <tableColumn id="1" name="Processing Level Code" dataDxfId="213"/>
    <tableColumn id="2" name="Definition" dataDxfId="212"/>
    <tableColumn id="3" name="Explanation" dataDxfId="211"/>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09" headerRowBorderDxfId="210" tableBorderDxfId="208">
  <tableColumns count="4">
    <tableColumn id="1" name="Taxonomic Classifier Type" dataDxfId="207"/>
    <tableColumn id="2" name="Taxonomic Classifier Name" dataDxfId="206"/>
    <tableColumn id="3" name="Taxonomic Classifier Common Name" dataDxfId="205"/>
    <tableColumn id="4" name="Taxonomic Classifier Description" dataDxfId="204"/>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3" dataDxfId="201" totalsRowDxfId="199" headerRowBorderDxfId="202" tableBorderDxfId="200">
  <tableColumns count="29">
    <tableColumn id="1" name="Col#" totalsRowLabel="Total" dataDxfId="198" totalsRowDxfId="197">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96" totalsRowDxfId="195"/>
    <tableColumn id="17" name="ColumnType" dataDxfId="194" totalsRowDxfId="193"/>
    <tableColumn id="22" name="AppliesToColumn" dataDxfId="192" totalsRowDxfId="191"/>
    <tableColumn id="18" name="ParentSamplingFeatureCode" dataDxfId="190" totalsRowDxfId="189"/>
    <tableColumn id="24" name="RelationshipTypeCV" dataDxfId="188" totalsRowDxfId="187"/>
    <tableColumn id="28" name="CollectionDateTimeUTCOffset" dataDxfId="186" totalsRowDxfId="185"/>
    <tableColumn id="3" name="SpecimenCollector" dataDxfId="184" totalsRowDxfId="183"/>
    <tableColumn id="27" name="CollectionMethodCode" dataDxfId="182" totalsRowDxfId="181"/>
    <tableColumn id="20" name="SpecimenMediumCV" dataDxfId="180" totalsRowDxfId="179"/>
    <tableColumn id="21" name="SpecimenTypeCV" dataDxfId="178" totalsRowDxfId="177"/>
    <tableColumn id="4" name="IsFieldSpecimen" dataDxfId="176" totalsRowDxfId="175"/>
    <tableColumn id="23" name="SpatialOffsetCode" dataDxfId="174" totalsRowDxfId="173"/>
    <tableColumn id="6" name="ResultTypeCV" dataDxfId="172" totalsRowDxfId="171"/>
    <tableColumn id="7" name="VariableCode" dataDxfId="170" totalsRowDxfId="169"/>
    <tableColumn id="8" name="UnitName" dataDxfId="168" totalsRowDxfId="167"/>
    <tableColumn id="11" name="SampledMediumCV" dataDxfId="166" totalsRowDxfId="165"/>
    <tableColumn id="10" name="ResultAnalyst" dataDxfId="164" totalsRowDxfId="163"/>
    <tableColumn id="29" name="AnalysisDateTimeUTCOffset" dataDxfId="162" totalsRowDxfId="161"/>
    <tableColumn id="5" name="AnalysisMethodCode" dataDxfId="160" totalsRowDxfId="159"/>
    <tableColumn id="9" name="ProcessingLevelCode" dataDxfId="158" totalsRowDxfId="157"/>
    <tableColumn id="15" name="CensorCodeCV" dataDxfId="156" totalsRowDxfId="155"/>
    <tableColumn id="16" name="QualityCodeCV" dataDxfId="154" totalsRowDxfId="153"/>
    <tableColumn id="19" name="TaxonomicClassifierName" dataDxfId="152" totalsRowDxfId="151"/>
    <tableColumn id="12" name="TimeAggregationInterval" dataDxfId="150" totalsRowDxfId="149"/>
    <tableColumn id="13" name="TimeAggregationIntervalUnitCode" dataDxfId="148" totalsRowDxfId="147"/>
    <tableColumn id="14" name="AggregationStatisticCV" totalsRowFunction="count" dataDxfId="146" totalsRowDxfId="145"/>
    <tableColumn id="25" name="DVNum" dataDxfId="144" totalsRowDxfId="143">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42" totalsRowDxfId="141">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40" dataDxfId="139">
  <sortState ref="A2:L16">
    <sortCondition ref="B1"/>
  </sortState>
  <tableColumns count="12">
    <tableColumn id="1" name="DataType" dataDxfId="138"/>
    <tableColumn id="2" name="ODM Table" dataDxfId="137"/>
    <tableColumn id="5" name="CV Name" dataDxfId="136"/>
    <tableColumn id="3" name="REQUIRED" dataDxfId="135"/>
    <tableColumn id="4" name="VBV or Column" dataDxfId="134"/>
    <tableColumn id="12" name="Data Columns Input Column" dataDxfId="133">
      <calculatedColumnFormula>MATCH(SpecimenColumnFinder[[#This Row],[DataType]],DataColumns[#Headers],0)</calculatedColumnFormula>
    </tableColumn>
    <tableColumn id="6" name="Data Values Column Number" dataDxfId="132">
      <calculatedColumnFormula>MATCH(SpecimenColumnFinder[[#This Row],[DataType]],DataColumns[ColumnType],0)</calculatedColumnFormula>
    </tableColumn>
    <tableColumn id="9" name="Num Required" dataDxfId="131">
      <calculatedColumnFormula>IF(SpecimenColumnFinder[[#This Row],[REQUIRED]]="Optional",0,
IF(SpecimenColumnFinder[[#This Row],[VBV or Column]]="Value-By-Value",NumSpecimens,
1))</calculatedColumnFormula>
    </tableColumn>
    <tableColumn id="7" name="Num Given" dataDxfId="130">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29">
      <calculatedColumnFormula>IF(SpecimenColumnFinder[[#This Row],[Num Given]]&lt;SpecimenColumnFinder[[#This Row],[Num Required]],
"MISSING",
"OK")</calculatedColumnFormula>
    </tableColumn>
    <tableColumn id="11" name="First Value Address" dataDxfId="128">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27">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9" name="ResultColumnFinder" displayName="ResultColumnFinder" ref="A1:Q19" totalsRowShown="0" headerRowDxfId="126" dataDxfId="124" headerRowBorderDxfId="125" tableBorderDxfId="123" totalsRowBorderDxfId="122">
  <tableColumns count="17">
    <tableColumn id="1" name="DataType" dataDxfId="121"/>
    <tableColumn id="2" name="ODM Table" dataDxfId="120"/>
    <tableColumn id="3" name="CV Name" dataDxfId="119"/>
    <tableColumn id="5" name="REQUIRED" dataDxfId="118"/>
    <tableColumn id="6" name="VBV or Column" dataDxfId="117"/>
    <tableColumn id="14" name="DV Num" dataDxfId="116"/>
    <tableColumn id="15" name="Data Value Label" dataDxfId="115">
      <calculatedColumnFormula>INDEX(DataColumns[ColumnLabel],MATCH(ResultColumnFinder[[#This Row],[DV Num]],DataColumns[DVNum],0))</calculatedColumnFormula>
    </tableColumn>
    <tableColumn id="20" name="Concat" dataDxfId="114">
      <calculatedColumnFormula>CONCATENATE(ResultColumnFinder[[#This Row],[DataType]],ResultColumnFinder[[#This Row],[Data Value Label]])</calculatedColumnFormula>
    </tableColumn>
    <tableColumn id="22" name="Concat2" dataDxfId="113">
      <calculatedColumnFormula>CONCATENATE(ResultColumnFinder[[#This Row],[DataType]],ResultColumnFinder[[#This Row],[DV Num]])</calculatedColumnFormula>
    </tableColumn>
    <tableColumn id="7" name="Data Columns Input Column" dataDxfId="112">
      <calculatedColumnFormula>MATCH(ResultColumnFinder[[#This Row],[DataType]],DataColumns[#Headers],0)</calculatedColumnFormula>
    </tableColumn>
    <tableColumn id="21" name="Data Values Input Row" dataDxfId="111">
      <calculatedColumnFormula>MATCH(CONCATENATE("ResultValue",ResultColumnFinder[[#This Row],[Data Value Label]]),DataColumns[Concat],0)</calculatedColumnFormula>
    </tableColumn>
    <tableColumn id="8" name="Data Values Column Number" dataDxfId="110">
      <calculatedColumnFormula>MATCH(ResultColumnFinder[[#This Row],[Concat]],DataColumns[Concat],0)</calculatedColumnFormula>
    </tableColumn>
    <tableColumn id="9" name="Num Required" dataDxfId="109">
      <calculatedColumnFormula>IF(ResultColumnFinder[[#This Row],[REQUIRED]]="Optional",0,
IF(ResultColumnFinder[[#This Row],[VBV or Column]]="Value-By-Value",NumSpecimens,
1))</calculatedColumnFormula>
    </tableColumn>
    <tableColumn id="10" name="Num Given" dataDxfId="108">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07">
      <calculatedColumnFormula>IF(ResultColumnFinder[[#This Row],[Num Given]]&lt;ResultColumnFinder[[#This Row],[Num Required]],
"MISSING",
"OK")</calculatedColumnFormula>
    </tableColumn>
    <tableColumn id="12" name="First Value Address" dataDxfId="106">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05">
      <calculatedColumnFormula>INDIRECT(ResultColumnFinder[[#This Row],[First Value Address]],FALSE)</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 name="ControlledVocabularies" displayName="ControlledVocabularies" ref="A1:X793" totalsRowShown="0" headerRowDxfId="104">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5.xml><?xml version="1.0" encoding="utf-8"?>
<table xmlns="http://schemas.openxmlformats.org/spreadsheetml/2006/main" id="8" name="SpatialReferences" displayName="SpatialReferences" ref="A4:D8" totalsRowShown="0" headerRowDxfId="103" headerRowBorderDxfId="102" tableBorderDxfId="101">
  <autoFilter ref="A4:D8"/>
  <tableColumns count="4">
    <tableColumn id="1" name="SRSCode" dataDxfId="100"/>
    <tableColumn id="2" name="SRSName" dataDxfId="99"/>
    <tableColumn id="3" name="SRSDescription" dataDxfId="98"/>
    <tableColumn id="4" name="SRSLink" dataDxfId="97"/>
  </tableColumns>
  <tableStyleInfo name="TableStyleMedium2" showFirstColumn="0" showLastColumn="0" showRowStripes="1" showColumnStripes="0"/>
</table>
</file>

<file path=xl/tables/table16.xml><?xml version="1.0" encoding="utf-8"?>
<table xmlns="http://schemas.openxmlformats.org/spreadsheetml/2006/main" id="16" name="ExternalIdentifiers" displayName="ExternalIdentifiers" ref="A17:E20" totalsRowShown="0" headerRowDxfId="96" headerRowBorderDxfId="95" tableBorderDxfId="94">
  <autoFilter ref="A17:E20"/>
  <tableColumns count="5">
    <tableColumn id="1" name="External Identifier System Name" dataDxfId="93"/>
    <tableColumn id="2" name="Identifier System Organization Name" dataDxfId="92"/>
    <tableColumn id="3" name="External Identifier System Descrption" dataDxfId="91"/>
    <tableColumn id="4" name="External Identifier System URL" dataDxfId="90" dataCellStyle="Hyperlink"/>
    <tableColumn id="5" name="URI Structure" dataDxfId="89"/>
  </tableColumns>
  <tableStyleInfo name="TableStyleMedium2" showFirstColumn="0" showLastColumn="0" showRowStripes="1" showColumnStripes="0"/>
</table>
</file>

<file path=xl/tables/table17.xml><?xml version="1.0" encoding="utf-8"?>
<table xmlns="http://schemas.openxmlformats.org/spreadsheetml/2006/main" id="17" name="ExternalIDOrgs" displayName="ExternalIDOrgs" ref="A4:E7" totalsRowShown="0" headerRowDxfId="88" headerRowBorderDxfId="87" tableBorderDxfId="86">
  <autoFilter ref="A4:E7"/>
  <tableColumns count="5">
    <tableColumn id="1" name="Organization Type [CV]" dataDxfId="85"/>
    <tableColumn id="2" name="Organization Code" dataDxfId="84"/>
    <tableColumn id="3" name="Organization Name" dataDxfId="83"/>
    <tableColumn id="4" name="Organization Description" dataDxfId="82"/>
    <tableColumn id="5" name="Organization Link" dataDxfId="81"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8.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7.xml"/><Relationship Id="rId5" Type="http://schemas.openxmlformats.org/officeDocument/2006/relationships/hyperlink" Target="http://www.doi.org/index.html" TargetMode="External"/><Relationship Id="rId10" Type="http://schemas.openxmlformats.org/officeDocument/2006/relationships/table" Target="../tables/table16.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zoomScaleNormal="100" workbookViewId="0"/>
  </sheetViews>
  <sheetFormatPr defaultColWidth="9.140625" defaultRowHeight="15" x14ac:dyDescent="0.25"/>
  <cols>
    <col min="1" max="1" width="115.140625" style="86" customWidth="1"/>
  </cols>
  <sheetData>
    <row r="1" spans="1:1" s="5" customFormat="1" ht="18.75" x14ac:dyDescent="0.3">
      <c r="A1" s="192" t="s">
        <v>1296</v>
      </c>
    </row>
    <row r="2" spans="1:1" s="5" customFormat="1" ht="18.75" x14ac:dyDescent="0.3">
      <c r="A2" s="193" t="s">
        <v>7447</v>
      </c>
    </row>
    <row r="3" spans="1:1" s="5" customFormat="1" ht="18.75" x14ac:dyDescent="0.3">
      <c r="A3" s="192" t="s">
        <v>1295</v>
      </c>
    </row>
    <row r="4" spans="1:1" s="5" customFormat="1" ht="18.75" x14ac:dyDescent="0.3">
      <c r="A4" s="193" t="s">
        <v>26</v>
      </c>
    </row>
    <row r="5" spans="1:1" s="5" customFormat="1" ht="18.75" x14ac:dyDescent="0.3">
      <c r="A5" s="192" t="s">
        <v>1294</v>
      </c>
    </row>
    <row r="6" spans="1:1" s="5" customFormat="1" ht="18.75" x14ac:dyDescent="0.3">
      <c r="A6" s="193" t="s">
        <v>7448</v>
      </c>
    </row>
    <row r="7" spans="1:1" s="5" customFormat="1" x14ac:dyDescent="0.25">
      <c r="A7" s="86"/>
    </row>
    <row r="8" spans="1:1" ht="18.75" x14ac:dyDescent="0.3">
      <c r="A8" s="192" t="s">
        <v>1190</v>
      </c>
    </row>
    <row r="9" spans="1:1" s="5" customFormat="1" ht="30" x14ac:dyDescent="0.25">
      <c r="A9" s="86" t="s">
        <v>1208</v>
      </c>
    </row>
    <row r="10" spans="1:1" s="5" customFormat="1" x14ac:dyDescent="0.25">
      <c r="A10" s="86"/>
    </row>
    <row r="11" spans="1:1" ht="18.75" x14ac:dyDescent="0.3">
      <c r="A11" s="192" t="s">
        <v>1189</v>
      </c>
    </row>
    <row r="12" spans="1:1" s="5" customFormat="1" x14ac:dyDescent="0.25">
      <c r="A12" s="194" t="s">
        <v>7363</v>
      </c>
    </row>
    <row r="13" spans="1:1" s="5" customFormat="1" ht="30" x14ac:dyDescent="0.25">
      <c r="A13" s="195" t="s">
        <v>7364</v>
      </c>
    </row>
    <row r="14" spans="1:1" s="5" customFormat="1" x14ac:dyDescent="0.25">
      <c r="A14" s="195" t="s">
        <v>7365</v>
      </c>
    </row>
    <row r="15" spans="1:1" s="5" customFormat="1" x14ac:dyDescent="0.25">
      <c r="A15" s="196" t="s">
        <v>7366</v>
      </c>
    </row>
    <row r="16" spans="1:1" s="5" customFormat="1" ht="30" x14ac:dyDescent="0.25">
      <c r="A16" s="195" t="s">
        <v>7367</v>
      </c>
    </row>
    <row r="17" spans="1:1" s="5" customFormat="1" ht="30" x14ac:dyDescent="0.25">
      <c r="A17" s="195" t="s">
        <v>7368</v>
      </c>
    </row>
    <row r="18" spans="1:1" s="5" customFormat="1" x14ac:dyDescent="0.25">
      <c r="A18" s="195" t="s">
        <v>7369</v>
      </c>
    </row>
    <row r="19" spans="1:1" s="5" customFormat="1" x14ac:dyDescent="0.25">
      <c r="A19" s="195" t="s">
        <v>7370</v>
      </c>
    </row>
    <row r="20" spans="1:1" s="5" customFormat="1" ht="30" x14ac:dyDescent="0.25">
      <c r="A20" s="195" t="s">
        <v>7371</v>
      </c>
    </row>
    <row r="21" spans="1:1" s="5" customFormat="1" ht="30" x14ac:dyDescent="0.25">
      <c r="A21" s="195" t="s">
        <v>7372</v>
      </c>
    </row>
    <row r="22" spans="1:1" s="5" customFormat="1" ht="30" x14ac:dyDescent="0.25">
      <c r="A22" s="195" t="s">
        <v>7373</v>
      </c>
    </row>
    <row r="23" spans="1:1" s="5" customFormat="1" x14ac:dyDescent="0.25">
      <c r="A23" s="196" t="s">
        <v>7398</v>
      </c>
    </row>
    <row r="24" spans="1:1" s="5" customFormat="1" ht="30" x14ac:dyDescent="0.25">
      <c r="A24" s="195" t="s">
        <v>7399</v>
      </c>
    </row>
    <row r="25" spans="1:1" s="5" customFormat="1" ht="30" x14ac:dyDescent="0.25">
      <c r="A25" s="195" t="s">
        <v>7400</v>
      </c>
    </row>
    <row r="26" spans="1:1" s="5" customFormat="1" x14ac:dyDescent="0.25">
      <c r="A26" s="195" t="s">
        <v>7403</v>
      </c>
    </row>
    <row r="27" spans="1:1" s="5" customFormat="1" ht="45" x14ac:dyDescent="0.25">
      <c r="A27" s="195" t="s">
        <v>7402</v>
      </c>
    </row>
    <row r="28" spans="1:1" s="5" customFormat="1" x14ac:dyDescent="0.25">
      <c r="A28" s="195" t="s">
        <v>7404</v>
      </c>
    </row>
    <row r="29" spans="1:1" s="5" customFormat="1" ht="30" x14ac:dyDescent="0.25">
      <c r="A29" s="195" t="s">
        <v>7405</v>
      </c>
    </row>
    <row r="30" spans="1:1" s="5" customFormat="1" ht="30" x14ac:dyDescent="0.25">
      <c r="A30" s="195" t="s">
        <v>7406</v>
      </c>
    </row>
    <row r="31" spans="1:1" s="5" customFormat="1" ht="30" x14ac:dyDescent="0.25">
      <c r="A31" s="195" t="s">
        <v>7407</v>
      </c>
    </row>
    <row r="32" spans="1:1" s="5" customFormat="1" ht="30" x14ac:dyDescent="0.25">
      <c r="A32" s="195" t="s">
        <v>7408</v>
      </c>
    </row>
    <row r="33" spans="1:1" s="5" customFormat="1" x14ac:dyDescent="0.25">
      <c r="A33" s="196" t="s">
        <v>7374</v>
      </c>
    </row>
    <row r="34" spans="1:1" s="5" customFormat="1" x14ac:dyDescent="0.25">
      <c r="A34" s="195" t="s">
        <v>7375</v>
      </c>
    </row>
    <row r="35" spans="1:1" ht="30" x14ac:dyDescent="0.25">
      <c r="A35" s="195" t="s">
        <v>7376</v>
      </c>
    </row>
    <row r="36" spans="1:1" ht="30" x14ac:dyDescent="0.25">
      <c r="A36" s="195" t="s">
        <v>7377</v>
      </c>
    </row>
    <row r="37" spans="1:1" s="5" customFormat="1" ht="30" x14ac:dyDescent="0.25">
      <c r="A37" s="195" t="s">
        <v>7378</v>
      </c>
    </row>
    <row r="38" spans="1:1" s="5" customFormat="1" ht="30" x14ac:dyDescent="0.25">
      <c r="A38" s="195" t="s">
        <v>7379</v>
      </c>
    </row>
    <row r="39" spans="1:1" ht="30" x14ac:dyDescent="0.25">
      <c r="A39" s="195" t="s">
        <v>7380</v>
      </c>
    </row>
    <row r="40" spans="1:1" x14ac:dyDescent="0.25">
      <c r="A40" s="196" t="s">
        <v>7381</v>
      </c>
    </row>
    <row r="41" spans="1:1" ht="30" x14ac:dyDescent="0.25">
      <c r="A41" s="195" t="s">
        <v>7382</v>
      </c>
    </row>
    <row r="42" spans="1:1" ht="30" x14ac:dyDescent="0.25">
      <c r="A42" s="195" t="s">
        <v>7383</v>
      </c>
    </row>
    <row r="43" spans="1:1" s="5" customFormat="1" ht="30" x14ac:dyDescent="0.25">
      <c r="A43" s="195" t="s">
        <v>7593</v>
      </c>
    </row>
    <row r="44" spans="1:1" ht="30" x14ac:dyDescent="0.25">
      <c r="A44" s="195" t="s">
        <v>7384</v>
      </c>
    </row>
    <row r="45" spans="1:1" ht="30" x14ac:dyDescent="0.25">
      <c r="A45" s="195" t="s">
        <v>7385</v>
      </c>
    </row>
    <row r="46" spans="1:1" ht="30" x14ac:dyDescent="0.25">
      <c r="A46" s="195" t="s">
        <v>7386</v>
      </c>
    </row>
    <row r="47" spans="1:1" ht="30" x14ac:dyDescent="0.25">
      <c r="A47" s="195" t="s">
        <v>7387</v>
      </c>
    </row>
    <row r="48" spans="1:1" x14ac:dyDescent="0.25">
      <c r="A48" s="195" t="s">
        <v>7388</v>
      </c>
    </row>
    <row r="49" spans="1:1" x14ac:dyDescent="0.25">
      <c r="A49" s="196" t="s">
        <v>7389</v>
      </c>
    </row>
    <row r="50" spans="1:1" x14ac:dyDescent="0.25">
      <c r="A50" s="195" t="s">
        <v>7390</v>
      </c>
    </row>
    <row r="51" spans="1:1" x14ac:dyDescent="0.25">
      <c r="A51" s="195" t="s">
        <v>7391</v>
      </c>
    </row>
    <row r="52" spans="1:1" x14ac:dyDescent="0.25">
      <c r="A52" s="195" t="s">
        <v>7392</v>
      </c>
    </row>
    <row r="53" spans="1:1" x14ac:dyDescent="0.25">
      <c r="A53" s="195" t="s">
        <v>7393</v>
      </c>
    </row>
    <row r="54" spans="1:1" x14ac:dyDescent="0.25">
      <c r="A54" s="196" t="s">
        <v>7394</v>
      </c>
    </row>
    <row r="55" spans="1:1" ht="30" x14ac:dyDescent="0.25">
      <c r="A55" s="195" t="s">
        <v>7395</v>
      </c>
    </row>
    <row r="56" spans="1:1" x14ac:dyDescent="0.25">
      <c r="A56" s="195" t="s">
        <v>7396</v>
      </c>
    </row>
    <row r="57" spans="1:1" ht="30" x14ac:dyDescent="0.25">
      <c r="A57" s="195" t="s">
        <v>7397</v>
      </c>
    </row>
    <row r="58" spans="1:1" s="5" customFormat="1" x14ac:dyDescent="0.25">
      <c r="A58" s="195"/>
    </row>
    <row r="59" spans="1:1" s="5" customFormat="1" ht="18.75" x14ac:dyDescent="0.3">
      <c r="A59" s="192" t="s">
        <v>7409</v>
      </c>
    </row>
    <row r="60" spans="1:1" s="5" customFormat="1" ht="30" x14ac:dyDescent="0.25">
      <c r="A60" s="195" t="s">
        <v>7411</v>
      </c>
    </row>
    <row r="61" spans="1:1" s="5" customFormat="1" x14ac:dyDescent="0.25">
      <c r="A61" s="195" t="s">
        <v>7413</v>
      </c>
    </row>
    <row r="62" spans="1:1" s="5" customFormat="1" ht="45" x14ac:dyDescent="0.25">
      <c r="A62" s="195" t="s">
        <v>7412</v>
      </c>
    </row>
    <row r="63" spans="1:1" s="5" customFormat="1" ht="30" x14ac:dyDescent="0.25">
      <c r="A63" s="195" t="s">
        <v>7414</v>
      </c>
    </row>
    <row r="64" spans="1:1" s="5" customFormat="1" ht="45" x14ac:dyDescent="0.25">
      <c r="A64" s="195" t="s">
        <v>7417</v>
      </c>
    </row>
    <row r="65" spans="1:1" s="5" customFormat="1" ht="75" x14ac:dyDescent="0.25">
      <c r="A65" s="195" t="s">
        <v>7418</v>
      </c>
    </row>
    <row r="66" spans="1:1" s="5" customFormat="1" ht="75" x14ac:dyDescent="0.25">
      <c r="A66" s="195" t="s">
        <v>7419</v>
      </c>
    </row>
    <row r="67" spans="1:1" s="5" customFormat="1" ht="75" x14ac:dyDescent="0.25">
      <c r="A67" s="195" t="s">
        <v>7420</v>
      </c>
    </row>
    <row r="68" spans="1:1" s="5" customFormat="1" ht="45" x14ac:dyDescent="0.25">
      <c r="A68" s="195" t="s">
        <v>7421</v>
      </c>
    </row>
    <row r="69" spans="1:1" s="5" customFormat="1" ht="30" x14ac:dyDescent="0.25">
      <c r="A69" s="195" t="s">
        <v>7415</v>
      </c>
    </row>
    <row r="70" spans="1:1" s="5" customFormat="1" ht="30" x14ac:dyDescent="0.25">
      <c r="A70" s="195" t="s">
        <v>7416</v>
      </c>
    </row>
    <row r="71" spans="1:1" s="5" customFormat="1" ht="30" x14ac:dyDescent="0.25">
      <c r="A71" s="195" t="s">
        <v>7422</v>
      </c>
    </row>
    <row r="72" spans="1:1" s="5" customFormat="1" ht="45" x14ac:dyDescent="0.25">
      <c r="A72" s="195" t="s">
        <v>7423</v>
      </c>
    </row>
    <row r="73" spans="1:1" s="5" customFormat="1" ht="75" x14ac:dyDescent="0.25">
      <c r="A73" s="195" t="s">
        <v>7424</v>
      </c>
    </row>
    <row r="74" spans="1:1" s="5" customFormat="1" ht="90" x14ac:dyDescent="0.25">
      <c r="A74" s="195" t="s">
        <v>7425</v>
      </c>
    </row>
    <row r="75" spans="1:1" s="5" customFormat="1" ht="75" x14ac:dyDescent="0.25">
      <c r="A75" s="197" t="s">
        <v>7427</v>
      </c>
    </row>
    <row r="76" spans="1:1" s="5" customFormat="1" ht="90" x14ac:dyDescent="0.25">
      <c r="A76" s="197" t="s">
        <v>7426</v>
      </c>
    </row>
    <row r="77" spans="1:1" s="5" customFormat="1" ht="30" x14ac:dyDescent="0.25">
      <c r="A77" s="195" t="s">
        <v>7428</v>
      </c>
    </row>
    <row r="78" spans="1:1" s="5" customFormat="1" ht="60" x14ac:dyDescent="0.25">
      <c r="A78" s="195" t="s">
        <v>7431</v>
      </c>
    </row>
    <row r="79" spans="1:1" s="5" customFormat="1" ht="60" x14ac:dyDescent="0.25">
      <c r="A79" s="195" t="s">
        <v>7432</v>
      </c>
    </row>
    <row r="80" spans="1:1" s="5" customFormat="1" ht="60" x14ac:dyDescent="0.25">
      <c r="A80" s="195" t="s">
        <v>7433</v>
      </c>
    </row>
    <row r="81" spans="1:1" s="5" customFormat="1" ht="75" x14ac:dyDescent="0.25">
      <c r="A81" s="195" t="s">
        <v>7434</v>
      </c>
    </row>
    <row r="82" spans="1:1" s="5" customFormat="1" ht="60" x14ac:dyDescent="0.25">
      <c r="A82" s="195" t="s">
        <v>7435</v>
      </c>
    </row>
    <row r="83" spans="1:1" s="5" customFormat="1" ht="60" x14ac:dyDescent="0.25">
      <c r="A83" s="195" t="s">
        <v>7436</v>
      </c>
    </row>
    <row r="84" spans="1:1" s="5" customFormat="1" ht="60" x14ac:dyDescent="0.25">
      <c r="A84" s="195" t="s">
        <v>7437</v>
      </c>
    </row>
    <row r="85" spans="1:1" s="5" customFormat="1" ht="45" x14ac:dyDescent="0.25">
      <c r="A85" s="195" t="s">
        <v>7438</v>
      </c>
    </row>
    <row r="86" spans="1:1" s="5" customFormat="1" ht="45" x14ac:dyDescent="0.25">
      <c r="A86" s="195" t="s">
        <v>7439</v>
      </c>
    </row>
    <row r="87" spans="1:1" s="5" customFormat="1" ht="60" x14ac:dyDescent="0.25">
      <c r="A87" s="195" t="s">
        <v>7440</v>
      </c>
    </row>
    <row r="88" spans="1:1" s="5" customFormat="1" ht="60" x14ac:dyDescent="0.25">
      <c r="A88" s="195" t="s">
        <v>7441</v>
      </c>
    </row>
    <row r="89" spans="1:1" s="5" customFormat="1" ht="60" x14ac:dyDescent="0.25">
      <c r="A89" s="197" t="s">
        <v>7445</v>
      </c>
    </row>
    <row r="90" spans="1:1" s="5" customFormat="1" ht="45" x14ac:dyDescent="0.25">
      <c r="A90" s="197" t="s">
        <v>7429</v>
      </c>
    </row>
    <row r="91" spans="1:1" s="5" customFormat="1" ht="60" x14ac:dyDescent="0.25">
      <c r="A91" s="197" t="s">
        <v>7430</v>
      </c>
    </row>
    <row r="92" spans="1:1" s="5" customFormat="1" ht="60" x14ac:dyDescent="0.25">
      <c r="A92" s="197" t="s">
        <v>7442</v>
      </c>
    </row>
    <row r="93" spans="1:1" s="5" customFormat="1" ht="30" x14ac:dyDescent="0.25">
      <c r="A93" s="197" t="s">
        <v>7443</v>
      </c>
    </row>
    <row r="94" spans="1:1" s="5" customFormat="1" x14ac:dyDescent="0.25">
      <c r="A94" s="197"/>
    </row>
    <row r="95" spans="1:1" ht="18.75" x14ac:dyDescent="0.3">
      <c r="A95" s="192" t="s">
        <v>1191</v>
      </c>
    </row>
    <row r="96" spans="1:1" ht="30" x14ac:dyDescent="0.25">
      <c r="A96" s="86" t="s">
        <v>1220</v>
      </c>
    </row>
    <row r="97" spans="1:1" x14ac:dyDescent="0.25">
      <c r="A97" s="86" t="s">
        <v>1212</v>
      </c>
    </row>
    <row r="98" spans="1:1" x14ac:dyDescent="0.25">
      <c r="A98" s="86" t="s">
        <v>1213</v>
      </c>
    </row>
    <row r="99" spans="1:1" x14ac:dyDescent="0.25">
      <c r="A99" s="86" t="s">
        <v>1214</v>
      </c>
    </row>
    <row r="100" spans="1:1" x14ac:dyDescent="0.25">
      <c r="A100" s="86" t="s">
        <v>1557</v>
      </c>
    </row>
    <row r="101" spans="1:1" x14ac:dyDescent="0.25">
      <c r="A101" s="86" t="s">
        <v>1211</v>
      </c>
    </row>
    <row r="102" spans="1:1" ht="30" x14ac:dyDescent="0.25">
      <c r="A102" s="86" t="s">
        <v>1215</v>
      </c>
    </row>
    <row r="103" spans="1:1" x14ac:dyDescent="0.25">
      <c r="A103" s="86" t="s">
        <v>1216</v>
      </c>
    </row>
    <row r="104" spans="1:1" x14ac:dyDescent="0.25">
      <c r="A104" s="86" t="s">
        <v>1217</v>
      </c>
    </row>
    <row r="105" spans="1:1" x14ac:dyDescent="0.25">
      <c r="A105" s="86" t="s">
        <v>1218</v>
      </c>
    </row>
    <row r="106" spans="1:1" ht="30" x14ac:dyDescent="0.25">
      <c r="A106" s="86" t="s">
        <v>1219</v>
      </c>
    </row>
    <row r="107" spans="1:1" x14ac:dyDescent="0.25">
      <c r="A107" s="86" t="s">
        <v>7358</v>
      </c>
    </row>
    <row r="108" spans="1:1" ht="30" x14ac:dyDescent="0.25">
      <c r="A108" s="86" t="s">
        <v>7359</v>
      </c>
    </row>
    <row r="110" spans="1:1" ht="18.75" x14ac:dyDescent="0.3">
      <c r="A110" s="192" t="s">
        <v>7360</v>
      </c>
    </row>
    <row r="111" spans="1:1" ht="30" x14ac:dyDescent="0.25">
      <c r="A111" s="86" t="s">
        <v>7361</v>
      </c>
    </row>
    <row r="112" spans="1:1" x14ac:dyDescent="0.25">
      <c r="A112" s="86" t="s">
        <v>7362</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39" customWidth="1"/>
    <col min="10" max="16384" width="8.85546875" style="6"/>
  </cols>
  <sheetData>
    <row r="1" spans="1:9" x14ac:dyDescent="0.25">
      <c r="A1" s="26" t="s">
        <v>1401</v>
      </c>
    </row>
    <row r="2" spans="1:9" x14ac:dyDescent="0.25">
      <c r="A2" s="6" t="s">
        <v>1402</v>
      </c>
    </row>
    <row r="3" spans="1:9" ht="15.75" thickBot="1" x14ac:dyDescent="0.3">
      <c r="A3" s="26" t="s">
        <v>1403</v>
      </c>
    </row>
    <row r="4" spans="1:9" ht="15.75" thickBot="1" x14ac:dyDescent="0.3">
      <c r="A4" s="26" t="s">
        <v>1404</v>
      </c>
      <c r="G4" s="27" t="s">
        <v>1200</v>
      </c>
      <c r="H4" s="50">
        <f>COUNTA(OrganizationNames)</f>
        <v>2</v>
      </c>
    </row>
    <row r="5" spans="1:9" ht="15.75" thickBot="1" x14ac:dyDescent="0.3">
      <c r="A5" s="26" t="s">
        <v>279</v>
      </c>
      <c r="G5" s="27" t="s">
        <v>1201</v>
      </c>
      <c r="H5" s="50">
        <f>COUNTA(People[Last Name])</f>
        <v>6</v>
      </c>
    </row>
    <row r="6" spans="1:9" ht="15.75" thickBot="1" x14ac:dyDescent="0.3">
      <c r="G6" s="27" t="s">
        <v>1272</v>
      </c>
      <c r="H6" s="50">
        <f ca="1">MAX(People[ExternalIDNum])</f>
        <v>1</v>
      </c>
    </row>
    <row r="7" spans="1:9" ht="15.75" thickBot="1" x14ac:dyDescent="0.3">
      <c r="A7" s="207" t="s">
        <v>142</v>
      </c>
      <c r="B7" s="208"/>
      <c r="C7" s="208"/>
      <c r="D7" s="208"/>
      <c r="E7" s="209"/>
    </row>
    <row r="8" spans="1:9" ht="15.75" thickBot="1" x14ac:dyDescent="0.3">
      <c r="A8" s="128" t="s">
        <v>143</v>
      </c>
      <c r="B8" s="129" t="s">
        <v>144</v>
      </c>
      <c r="C8" s="129" t="s">
        <v>19</v>
      </c>
      <c r="D8" s="130" t="s">
        <v>145</v>
      </c>
      <c r="E8" s="131" t="s">
        <v>146</v>
      </c>
      <c r="I8" s="6"/>
    </row>
    <row r="9" spans="1:9" ht="60.75" thickTop="1" x14ac:dyDescent="0.25">
      <c r="A9" s="132" t="s">
        <v>148</v>
      </c>
      <c r="B9" s="7" t="s">
        <v>1283</v>
      </c>
      <c r="C9" s="7" t="s">
        <v>1284</v>
      </c>
      <c r="D9" s="8" t="s">
        <v>1285</v>
      </c>
      <c r="E9" s="136" t="s">
        <v>1286</v>
      </c>
      <c r="I9" s="6"/>
    </row>
    <row r="10" spans="1:9" x14ac:dyDescent="0.25">
      <c r="A10" s="105" t="s">
        <v>147</v>
      </c>
      <c r="B10" s="10" t="s">
        <v>1334</v>
      </c>
      <c r="C10" s="10" t="s">
        <v>1335</v>
      </c>
      <c r="D10" s="11"/>
      <c r="E10" s="106"/>
      <c r="G10" s="39"/>
      <c r="I10" s="6"/>
    </row>
    <row r="11" spans="1:9" x14ac:dyDescent="0.25">
      <c r="A11" s="105"/>
      <c r="B11" s="10"/>
      <c r="C11" s="10"/>
      <c r="D11" s="11"/>
      <c r="E11" s="106"/>
      <c r="G11" s="39"/>
      <c r="I11" s="6"/>
    </row>
    <row r="12" spans="1:9" x14ac:dyDescent="0.25">
      <c r="A12" s="105"/>
      <c r="B12" s="10"/>
      <c r="C12" s="137"/>
      <c r="D12" s="11"/>
      <c r="E12" s="106"/>
      <c r="G12" s="39"/>
      <c r="I12" s="6"/>
    </row>
    <row r="13" spans="1:9" x14ac:dyDescent="0.25">
      <c r="A13" s="105"/>
      <c r="B13" s="10"/>
      <c r="C13" s="10"/>
      <c r="D13" s="11"/>
      <c r="E13" s="133"/>
      <c r="G13" s="39"/>
      <c r="I13" s="6"/>
    </row>
    <row r="14" spans="1:9" x14ac:dyDescent="0.25">
      <c r="A14" s="105"/>
      <c r="B14" s="10"/>
      <c r="C14" s="10"/>
      <c r="D14" s="11"/>
      <c r="E14" s="133"/>
      <c r="G14" s="39"/>
      <c r="I14" s="6"/>
    </row>
    <row r="15" spans="1:9" x14ac:dyDescent="0.25">
      <c r="A15" s="105"/>
      <c r="B15" s="10"/>
      <c r="C15" s="10"/>
      <c r="D15" s="11"/>
      <c r="E15" s="133"/>
      <c r="G15" s="39"/>
      <c r="I15" s="6"/>
    </row>
    <row r="16" spans="1:9" x14ac:dyDescent="0.25">
      <c r="A16" s="105"/>
      <c r="B16" s="10"/>
      <c r="C16" s="10"/>
      <c r="D16" s="11"/>
      <c r="E16" s="133"/>
      <c r="G16" s="39"/>
      <c r="I16" s="6"/>
    </row>
    <row r="17" spans="1:9" x14ac:dyDescent="0.25">
      <c r="A17" s="105"/>
      <c r="B17" s="10"/>
      <c r="C17" s="10"/>
      <c r="D17" s="11"/>
      <c r="E17" s="133"/>
      <c r="G17" s="39"/>
      <c r="I17" s="6"/>
    </row>
    <row r="18" spans="1:9" ht="15.75" thickBot="1" x14ac:dyDescent="0.3">
      <c r="A18" s="107"/>
      <c r="B18" s="108"/>
      <c r="C18" s="108"/>
      <c r="D18" s="109"/>
      <c r="E18" s="134"/>
      <c r="G18" s="39"/>
      <c r="I18" s="6"/>
    </row>
    <row r="19" spans="1:9" x14ac:dyDescent="0.25">
      <c r="H19" s="6"/>
      <c r="I19" s="6"/>
    </row>
    <row r="20" spans="1:9" x14ac:dyDescent="0.25">
      <c r="H20" s="6"/>
      <c r="I20" s="6"/>
    </row>
    <row r="21" spans="1:9" ht="15.75" thickBot="1" x14ac:dyDescent="0.3">
      <c r="H21" s="6"/>
      <c r="I21" s="6"/>
    </row>
    <row r="22" spans="1:9" x14ac:dyDescent="0.25">
      <c r="A22" s="210" t="s">
        <v>141</v>
      </c>
      <c r="B22" s="211"/>
      <c r="C22" s="211"/>
      <c r="D22" s="211"/>
      <c r="E22" s="211"/>
      <c r="F22" s="211"/>
      <c r="G22" s="211"/>
      <c r="H22" s="211"/>
      <c r="I22" s="212"/>
    </row>
    <row r="23" spans="1:9" ht="15.75" thickBot="1" x14ac:dyDescent="0.3">
      <c r="A23" s="59" t="s">
        <v>15</v>
      </c>
      <c r="B23" s="61" t="s">
        <v>16</v>
      </c>
      <c r="C23" s="54" t="s">
        <v>17</v>
      </c>
      <c r="D23" s="54" t="s">
        <v>19</v>
      </c>
      <c r="E23" s="54" t="s">
        <v>18</v>
      </c>
      <c r="F23" s="57" t="s">
        <v>176</v>
      </c>
      <c r="G23" s="62" t="s">
        <v>1249</v>
      </c>
      <c r="H23" s="29" t="s">
        <v>277</v>
      </c>
      <c r="I23" s="29" t="s">
        <v>1270</v>
      </c>
    </row>
    <row r="24" spans="1:9" ht="30.75" thickTop="1" x14ac:dyDescent="0.25">
      <c r="A24" s="17" t="s">
        <v>1287</v>
      </c>
      <c r="B24" s="19" t="s">
        <v>1288</v>
      </c>
      <c r="C24" s="18" t="s">
        <v>1289</v>
      </c>
      <c r="D24" s="18" t="s">
        <v>1284</v>
      </c>
      <c r="E24" s="20" t="s">
        <v>1290</v>
      </c>
      <c r="F24" s="135" t="s">
        <v>1291</v>
      </c>
      <c r="G24" s="19" t="s">
        <v>1292</v>
      </c>
      <c r="H24" s="123" t="str">
        <f>CONCATENATE(People[[#This Row],[First Name]],IF(People[[#This Row],[Middle Name]]="",""," "),People[[#This Row],[Middle Name]]," ",People[[#This Row],[Last Name]])</f>
        <v>Sara Geleskie Damiano</v>
      </c>
      <c r="I24" s="125">
        <f ca="1">IF(People[[#This Row],[Person OrcID]]&lt;&gt;"",MAX(INDIRECT(CONCATENATE("R",ROW(People[#Headers]),"C",COLUMN(),":R",ROW()-1,"C",COLUMN()),FALSE))+1,"")</f>
        <v>1</v>
      </c>
    </row>
    <row r="25" spans="1:9" ht="30" x14ac:dyDescent="0.25">
      <c r="A25" s="9" t="s">
        <v>1324</v>
      </c>
      <c r="B25" s="21" t="s">
        <v>1325</v>
      </c>
      <c r="C25" s="10" t="s">
        <v>1326</v>
      </c>
      <c r="D25" s="18" t="s">
        <v>1284</v>
      </c>
      <c r="E25" s="22" t="s">
        <v>1327</v>
      </c>
      <c r="F25" s="135" t="s">
        <v>1291</v>
      </c>
      <c r="G25" s="21"/>
      <c r="H25" s="122" t="str">
        <f>CONCATENATE(People[[#This Row],[First Name]],IF(People[[#This Row],[Middle Name]]="",""," "),People[[#This Row],[Middle Name]]," ",People[[#This Row],[Last Name]])</f>
        <v>Michael D Gentile</v>
      </c>
      <c r="I25" s="126" t="str">
        <f ca="1">IF(People[[#This Row],[Person OrcID]]&lt;&gt;"",MAX(INDIRECT(CONCATENATE("R",ROW(People[#Headers]),"C",COLUMN(),":R",ROW()-1,"C",COLUMN()),FALSE))+1,"")</f>
        <v/>
      </c>
    </row>
    <row r="26" spans="1:9" ht="30" x14ac:dyDescent="0.25">
      <c r="A26" s="9" t="s">
        <v>1388</v>
      </c>
      <c r="B26" s="21" t="s">
        <v>1328</v>
      </c>
      <c r="C26" s="10" t="s">
        <v>1329</v>
      </c>
      <c r="D26" s="18" t="s">
        <v>1284</v>
      </c>
      <c r="E26" s="22" t="s">
        <v>1330</v>
      </c>
      <c r="F26" s="135" t="s">
        <v>1291</v>
      </c>
      <c r="G26" s="21"/>
      <c r="H26" s="122" t="str">
        <f>CONCATENATE(People[[#This Row],[First Name]],IF(People[[#This Row],[Middle Name]]="",""," "),People[[#This Row],[Middle Name]]," ",People[[#This Row],[Last Name]])</f>
        <v>J Denis Newbold</v>
      </c>
      <c r="I26" s="126" t="str">
        <f ca="1">IF(People[[#This Row],[Person OrcID]]&lt;&gt;"",MAX(INDIRECT(CONCATENATE("R",ROW(People[#Headers]),"C",COLUMN(),":R",ROW()-1,"C",COLUMN()),FALSE))+1,"")</f>
        <v/>
      </c>
    </row>
    <row r="27" spans="1:9" ht="30" x14ac:dyDescent="0.25">
      <c r="A27" s="9" t="s">
        <v>1331</v>
      </c>
      <c r="B27" s="21" t="s">
        <v>1332</v>
      </c>
      <c r="C27" s="10" t="s">
        <v>1333</v>
      </c>
      <c r="D27" s="10" t="s">
        <v>1335</v>
      </c>
      <c r="E27" s="22" t="s">
        <v>1336</v>
      </c>
      <c r="F27" s="121" t="s">
        <v>1337</v>
      </c>
      <c r="G27" s="21"/>
      <c r="H27" s="122" t="str">
        <f>CONCATENATE(People[[#This Row],[First Name]],IF(People[[#This Row],[Middle Name]]="",""," "),People[[#This Row],[Middle Name]]," ",People[[#This Row],[Last Name]])</f>
        <v>Diana L Karwan</v>
      </c>
      <c r="I27" s="126" t="str">
        <f ca="1">IF(People[[#This Row],[Person OrcID]]&lt;&gt;"",MAX(INDIRECT(CONCATENATE("R",ROW(People[#Headers]),"C",COLUMN(),":R",ROW()-1,"C",COLUMN()),FALSE))+1,"")</f>
        <v/>
      </c>
    </row>
    <row r="28" spans="1:9" ht="30" x14ac:dyDescent="0.25">
      <c r="A28" s="9" t="s">
        <v>1338</v>
      </c>
      <c r="B28" s="21" t="s">
        <v>1332</v>
      </c>
      <c r="C28" s="10" t="s">
        <v>1339</v>
      </c>
      <c r="D28" s="10" t="s">
        <v>1284</v>
      </c>
      <c r="E28" s="22" t="s">
        <v>1340</v>
      </c>
      <c r="F28" s="135" t="s">
        <v>1291</v>
      </c>
      <c r="G28" s="21"/>
      <c r="H28" s="122" t="str">
        <f>CONCATENATE(People[[#This Row],[First Name]],IF(People[[#This Row],[Middle Name]]="",""," "),People[[#This Row],[Middle Name]]," ",People[[#This Row],[Last Name]])</f>
        <v>Sherman L Roberts</v>
      </c>
      <c r="I28" s="126" t="str">
        <f ca="1">IF(People[[#This Row],[Person OrcID]]&lt;&gt;"",MAX(INDIRECT(CONCATENATE("R",ROW(People[#Headers]),"C",COLUMN(),":R",ROW()-1,"C",COLUMN()),FALSE))+1,"")</f>
        <v/>
      </c>
    </row>
    <row r="29" spans="1:9" ht="30" x14ac:dyDescent="0.25">
      <c r="A29" s="9" t="s">
        <v>1341</v>
      </c>
      <c r="B29" s="21" t="s">
        <v>1342</v>
      </c>
      <c r="C29" s="10" t="s">
        <v>1343</v>
      </c>
      <c r="D29" s="10" t="s">
        <v>1284</v>
      </c>
      <c r="E29" s="22" t="s">
        <v>1344</v>
      </c>
      <c r="F29" s="135" t="s">
        <v>1291</v>
      </c>
      <c r="G29" s="21"/>
      <c r="H29" s="122" t="str">
        <f>CONCATENATE(People[[#This Row],[First Name]],IF(People[[#This Row],[Middle Name]]="",""," "),People[[#This Row],[Middle Name]]," ",People[[#This Row],[Last Name]])</f>
        <v>Jennifer R Matkov</v>
      </c>
      <c r="I29" s="126" t="str">
        <f ca="1">IF(People[[#This Row],[Person OrcID]]&lt;&gt;"",MAX(INDIRECT(CONCATENATE("R",ROW(People[#Headers]),"C",COLUMN(),":R",ROW()-1,"C",COLUMN()),FALSE))+1,"")</f>
        <v/>
      </c>
    </row>
    <row r="30" spans="1:9" x14ac:dyDescent="0.25">
      <c r="A30" s="9"/>
      <c r="B30" s="21"/>
      <c r="C30" s="10"/>
      <c r="D30" s="10"/>
      <c r="E30" s="22"/>
      <c r="F30" s="121"/>
      <c r="G30" s="21"/>
      <c r="H30" s="122" t="str">
        <f>CONCATENATE(People[[#This Row],[First Name]],IF(People[[#This Row],[Middle Name]]="",""," "),People[[#This Row],[Middle Name]]," ",People[[#This Row],[Last Name]])</f>
        <v xml:space="preserve"> </v>
      </c>
      <c r="I30" s="126" t="str">
        <f ca="1">IF(People[[#This Row],[Person OrcID]]&lt;&gt;"",MAX(INDIRECT(CONCATENATE("R",ROW(People[#Headers]),"C",COLUMN(),":R",ROW()-1,"C",COLUMN()),FALSE))+1,"")</f>
        <v/>
      </c>
    </row>
    <row r="31" spans="1:9" x14ac:dyDescent="0.25">
      <c r="A31" s="9"/>
      <c r="B31" s="21"/>
      <c r="C31" s="10"/>
      <c r="D31" s="10"/>
      <c r="E31" s="10"/>
      <c r="F31" s="23"/>
      <c r="G31" s="21"/>
      <c r="H31" s="122" t="str">
        <f>CONCATENATE(People[[#This Row],[First Name]],IF(People[[#This Row],[Middle Name]]="",""," "),People[[#This Row],[Middle Name]]," ",People[[#This Row],[Last Name]])</f>
        <v xml:space="preserve"> </v>
      </c>
      <c r="I31" s="126" t="str">
        <f ca="1">IF(People[[#This Row],[Person OrcID]]&lt;&gt;"",MAX(INDIRECT(CONCATENATE("R",ROW(People[#Headers]),"C",COLUMN(),":R",ROW()-1,"C",COLUMN()),FALSE))+1,"")</f>
        <v/>
      </c>
    </row>
    <row r="32" spans="1:9" x14ac:dyDescent="0.25">
      <c r="A32" s="9"/>
      <c r="B32" s="21"/>
      <c r="C32" s="10"/>
      <c r="D32" s="10"/>
      <c r="E32" s="10"/>
      <c r="F32" s="23"/>
      <c r="G32" s="21"/>
      <c r="H32" s="122" t="str">
        <f>CONCATENATE(People[[#This Row],[First Name]],IF(People[[#This Row],[Middle Name]]="",""," "),People[[#This Row],[Middle Name]]," ",People[[#This Row],[Last Name]])</f>
        <v xml:space="preserve"> </v>
      </c>
      <c r="I32" s="126" t="str">
        <f ca="1">IF(People[[#This Row],[Person OrcID]]&lt;&gt;"",MAX(INDIRECT(CONCATENATE("R",ROW(People[#Headers]),"C",COLUMN(),":R",ROW()-1,"C",COLUMN()),FALSE))+1,"")</f>
        <v/>
      </c>
    </row>
    <row r="33" spans="1:9" ht="15.75" thickBot="1" x14ac:dyDescent="0.3">
      <c r="A33" s="13"/>
      <c r="B33" s="24"/>
      <c r="C33" s="14"/>
      <c r="D33" s="14"/>
      <c r="E33" s="14"/>
      <c r="F33" s="25"/>
      <c r="G33" s="24"/>
      <c r="H33" s="124" t="str">
        <f>CONCATENATE(People[[#This Row],[First Name]],IF(People[[#This Row],[Middle Name]]="",""," "),People[[#This Row],[Middle Name]]," ",People[[#This Row],[Last Name]])</f>
        <v xml:space="preserve"> </v>
      </c>
      <c r="I33" s="127"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69" priority="8">
      <formula>AND(COUNTIF(OrganizationTypeCV,$A9)=0,$A9&lt;&gt;"")</formula>
    </cfRule>
  </conditionalFormatting>
  <conditionalFormatting sqref="A9:C18">
    <cfRule type="expression" dxfId="68" priority="7">
      <formula>AND(COUNTA($A9:$E9)&gt;0,A9="")</formula>
    </cfRule>
  </conditionalFormatting>
  <conditionalFormatting sqref="A10:E18">
    <cfRule type="expression" dxfId="67" priority="6">
      <formula>AND(COUNTA($A9:$E9)=0,A10&lt;&gt;"")</formula>
    </cfRule>
  </conditionalFormatting>
  <conditionalFormatting sqref="C9:C18">
    <cfRule type="duplicateValues" dxfId="66" priority="5"/>
  </conditionalFormatting>
  <conditionalFormatting sqref="D24:D33">
    <cfRule type="expression" dxfId="65" priority="4">
      <formula>AND(COUNTIF(OrganizationNames,$D24)=0,$D24&lt;&gt;"")</formula>
    </cfRule>
  </conditionalFormatting>
  <conditionalFormatting sqref="A24:A33 C24:E33">
    <cfRule type="expression" dxfId="64" priority="3">
      <formula>AND(COUNTA($A24:$G24)&gt;0,A24="")</formula>
    </cfRule>
  </conditionalFormatting>
  <conditionalFormatting sqref="A25:G33">
    <cfRule type="expression" dxfId="63" priority="2">
      <formula>AND(COUNTA($A24:$G24)=0,A25&lt;&gt;"")</formula>
    </cfRule>
  </conditionalFormatting>
  <conditionalFormatting sqref="G24:G33">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A23" sqref="A23"/>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1405</v>
      </c>
    </row>
    <row r="2" spans="1:4" x14ac:dyDescent="0.25">
      <c r="A2" s="26" t="s">
        <v>1403</v>
      </c>
    </row>
    <row r="3" spans="1:4" x14ac:dyDescent="0.25">
      <c r="A3" s="26" t="s">
        <v>1406</v>
      </c>
    </row>
    <row r="4" spans="1:4" x14ac:dyDescent="0.25">
      <c r="A4" s="26" t="s">
        <v>1407</v>
      </c>
    </row>
    <row r="5" spans="1:4" ht="15.75" thickBot="1" x14ac:dyDescent="0.3"/>
    <row r="6" spans="1:4" ht="15.75" thickBot="1" x14ac:dyDescent="0.3">
      <c r="A6" s="213" t="s">
        <v>1408</v>
      </c>
      <c r="B6" s="214"/>
    </row>
    <row r="7" spans="1:4" ht="15.75" thickTop="1" x14ac:dyDescent="0.25">
      <c r="A7" s="35" t="s">
        <v>0</v>
      </c>
      <c r="B7" s="148"/>
    </row>
    <row r="8" spans="1:4" x14ac:dyDescent="0.25">
      <c r="A8" s="36" t="s">
        <v>3</v>
      </c>
      <c r="B8" s="30" t="s">
        <v>1086</v>
      </c>
    </row>
    <row r="9" spans="1:4" x14ac:dyDescent="0.25">
      <c r="A9" s="36" t="s">
        <v>2</v>
      </c>
      <c r="B9" s="30" t="s">
        <v>1554</v>
      </c>
    </row>
    <row r="10" spans="1:4" x14ac:dyDescent="0.25">
      <c r="A10" s="36" t="s">
        <v>1</v>
      </c>
      <c r="B10" s="30" t="s">
        <v>1555</v>
      </c>
      <c r="D10" s="31"/>
    </row>
    <row r="11" spans="1:4" ht="15.75" thickBot="1" x14ac:dyDescent="0.3">
      <c r="A11" s="38" t="s">
        <v>4</v>
      </c>
      <c r="B11" s="149"/>
    </row>
    <row r="12" spans="1:4" ht="15.75" thickBot="1" x14ac:dyDescent="0.3">
      <c r="A12" s="5"/>
      <c r="B12" s="5"/>
    </row>
    <row r="13" spans="1:4" ht="15.75" thickBot="1" x14ac:dyDescent="0.3">
      <c r="A13" s="215" t="s">
        <v>1409</v>
      </c>
      <c r="B13" s="216"/>
    </row>
    <row r="14" spans="1:4" ht="15.75" thickTop="1" x14ac:dyDescent="0.25">
      <c r="A14" s="35" t="s">
        <v>180</v>
      </c>
      <c r="B14" s="148"/>
      <c r="D14" s="31"/>
    </row>
    <row r="15" spans="1:4" x14ac:dyDescent="0.25">
      <c r="A15" s="37" t="s">
        <v>173</v>
      </c>
      <c r="B15" s="133"/>
      <c r="D15" s="31"/>
    </row>
    <row r="16" spans="1:4" x14ac:dyDescent="0.25">
      <c r="A16" s="37" t="s">
        <v>168</v>
      </c>
      <c r="B16" s="133"/>
      <c r="D16" s="31"/>
    </row>
    <row r="17" spans="1:5" x14ac:dyDescent="0.25">
      <c r="A17" s="37" t="s">
        <v>6</v>
      </c>
      <c r="B17" s="133"/>
      <c r="D17" s="31"/>
    </row>
    <row r="18" spans="1:5" x14ac:dyDescent="0.25">
      <c r="A18" s="37" t="s">
        <v>179</v>
      </c>
      <c r="B18" s="133"/>
      <c r="D18" s="31"/>
    </row>
    <row r="19" spans="1:5" ht="15.75" thickBot="1" x14ac:dyDescent="0.3">
      <c r="A19" s="38" t="s">
        <v>5</v>
      </c>
      <c r="B19" s="110"/>
      <c r="D19" s="31"/>
    </row>
    <row r="20" spans="1:5" ht="15.75" thickBot="1" x14ac:dyDescent="0.3"/>
    <row r="21" spans="1:5" ht="15.75" thickBot="1" x14ac:dyDescent="0.3">
      <c r="A21" s="210" t="s">
        <v>1410</v>
      </c>
      <c r="B21" s="212"/>
      <c r="C21" s="32"/>
      <c r="D21" s="33"/>
      <c r="E21" s="33"/>
    </row>
    <row r="22" spans="1:5" ht="15.75" thickBot="1" x14ac:dyDescent="0.3">
      <c r="A22" s="59" t="s">
        <v>172</v>
      </c>
      <c r="B22" s="60" t="s">
        <v>278</v>
      </c>
      <c r="D22" s="27" t="s">
        <v>1199</v>
      </c>
      <c r="E22" s="28">
        <f>COUNTA(AuthorList[Author Name])</f>
        <v>0</v>
      </c>
    </row>
    <row r="23" spans="1:5" ht="15.75" thickTop="1" x14ac:dyDescent="0.25">
      <c r="A23" s="199" t="str">
        <f ca="1">IF(AuthorList[[#This Row],[Author Name]]&lt;&gt;"",MAX(INDIRECT(CONCATENATE("R",ROW(AuthorList[#Headers]),"C",COLUMN(),":R",ROW()-1,"C",COLUMN()),FALSE))+1,"")</f>
        <v/>
      </c>
      <c r="B23" s="43"/>
    </row>
    <row r="24" spans="1:5" x14ac:dyDescent="0.25">
      <c r="A24" s="199" t="str">
        <f ca="1">IF(AuthorList[[#This Row],[Author Name]]&lt;&gt;"",MAX(INDIRECT(CONCATENATE("R",ROW(AuthorList[#Headers]),"C",COLUMN(),":R",ROW()-1,"C",COLUMN()),FALSE))+1,"")</f>
        <v/>
      </c>
      <c r="B24" s="12"/>
    </row>
    <row r="25" spans="1:5" x14ac:dyDescent="0.25">
      <c r="A25" s="199" t="str">
        <f ca="1">IF(AuthorList[[#This Row],[Author Name]]&lt;&gt;"",MAX(INDIRECT(CONCATENATE("R",ROW(AuthorList[#Headers]),"C",COLUMN(),":R",ROW()-1,"C",COLUMN()),FALSE))+1,"")</f>
        <v/>
      </c>
      <c r="B25" s="12"/>
    </row>
    <row r="26" spans="1:5" x14ac:dyDescent="0.25">
      <c r="A26" s="199" t="str">
        <f ca="1">IF(AuthorList[[#This Row],[Author Name]]&lt;&gt;"",MAX(INDIRECT(CONCATENATE("R",ROW(AuthorList[#Headers]),"C",COLUMN(),":R",ROW()-1,"C",COLUMN()),FALSE))+1,"")</f>
        <v/>
      </c>
      <c r="B26" s="12"/>
    </row>
    <row r="27" spans="1:5" x14ac:dyDescent="0.25">
      <c r="A27" s="199" t="str">
        <f ca="1">IF(AuthorList[[#This Row],[Author Name]]&lt;&gt;"",MAX(INDIRECT(CONCATENATE("R",ROW(AuthorList[#Headers]),"C",COLUMN(),":R",ROW()-1,"C",COLUMN()),FALSE))+1,"")</f>
        <v/>
      </c>
      <c r="B27" s="12"/>
    </row>
    <row r="28" spans="1:5" x14ac:dyDescent="0.25">
      <c r="A28" s="199" t="str">
        <f ca="1">IF(AuthorList[[#This Row],[Author Name]]&lt;&gt;"",MAX(INDIRECT(CONCATENATE("R",ROW(AuthorList[#Headers]),"C",COLUMN(),":R",ROW()-1,"C",COLUMN()),FALSE))+1,"")</f>
        <v/>
      </c>
      <c r="B28" s="12"/>
    </row>
    <row r="29" spans="1:5" x14ac:dyDescent="0.25">
      <c r="A29" s="199" t="str">
        <f ca="1">IF(AuthorList[[#This Row],[Author Name]]&lt;&gt;"",MAX(INDIRECT(CONCATENATE("R",ROW(AuthorList[#Headers]),"C",COLUMN(),":R",ROW()-1,"C",COLUMN()),FALSE))+1,"")</f>
        <v/>
      </c>
      <c r="B29" s="12"/>
    </row>
    <row r="30" spans="1:5" x14ac:dyDescent="0.25">
      <c r="A30" s="199" t="str">
        <f ca="1">IF(AuthorList[[#This Row],[Author Name]]&lt;&gt;"",MAX(INDIRECT(CONCATENATE("R",ROW(AuthorList[#Headers]),"C",COLUMN(),":R",ROW()-1,"C",COLUMN()),FALSE))+1,"")</f>
        <v/>
      </c>
      <c r="B30" s="12"/>
    </row>
    <row r="31" spans="1:5" x14ac:dyDescent="0.25">
      <c r="A31" s="199" t="str">
        <f ca="1">IF(AuthorList[[#This Row],[Author Name]]&lt;&gt;"",MAX(INDIRECT(CONCATENATE("R",ROW(AuthorList[#Headers]),"C",COLUMN(),":R",ROW()-1,"C",COLUMN()),FALSE))+1,"")</f>
        <v/>
      </c>
      <c r="B31" s="12"/>
    </row>
    <row r="32" spans="1:5" x14ac:dyDescent="0.25">
      <c r="A32" s="199" t="str">
        <f ca="1">IF(AuthorList[[#This Row],[Author Name]]&lt;&gt;"",MAX(INDIRECT(CONCATENATE("R",ROW(AuthorList[#Headers]),"C",COLUMN(),":R",ROW()-1,"C",COLUMN()),FALSE))+1,"")</f>
        <v/>
      </c>
      <c r="B32" s="16"/>
    </row>
  </sheetData>
  <sheetProtection formatColumns="0" formatRows="0" insertRows="0" insertHyperlinks="0" deleteRows="0" sort="0" autoFilter="0"/>
  <mergeCells count="3">
    <mergeCell ref="A21:B21"/>
    <mergeCell ref="A6:B6"/>
    <mergeCell ref="A13:B13"/>
  </mergeCells>
  <conditionalFormatting sqref="A14:A17 A23:A32">
    <cfRule type="expression" dxfId="61" priority="6">
      <formula>COUNTA(CitationInformation)&gt;0</formula>
    </cfRule>
  </conditionalFormatting>
  <conditionalFormatting sqref="B8:B10">
    <cfRule type="expression" dxfId="60" priority="4">
      <formula>AND(COUNTA($B$7:$B$11)&gt;0,$B8="")</formula>
    </cfRule>
  </conditionalFormatting>
  <conditionalFormatting sqref="B8">
    <cfRule type="expression" dxfId="59" priority="3">
      <formula>AND(COUNTIF(DataSetTypeCV,$B$8)=0,$B$8&lt;&gt;"")</formula>
    </cfRule>
  </conditionalFormatting>
  <conditionalFormatting sqref="B23:B32">
    <cfRule type="expression" dxfId="58" priority="1">
      <formula>AND(COUNTIF(PeopleNames,$B23)=0,$B23&lt;&gt;"")</formula>
    </cfRule>
  </conditionalFormatting>
  <conditionalFormatting sqref="B14:B17 B23">
    <cfRule type="expression" dxfId="57" priority="5">
      <formula>AND(COUNTA(CitationInformation)&gt;0,$B14="")</formula>
    </cfRule>
    <cfRule type="expression" dxfId="56"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tabSelected="1" zoomScaleNormal="100" zoomScalePageLayoutView="150" workbookViewId="0">
      <selection activeCell="E7" sqref="E7"/>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39" bestFit="1" customWidth="1"/>
    <col min="10" max="11" width="3.7109375" style="6" customWidth="1"/>
    <col min="12" max="12" width="12.7109375" style="6" bestFit="1" customWidth="1"/>
    <col min="13" max="13" width="12.140625" style="39" bestFit="1" customWidth="1"/>
    <col min="14" max="14" width="12.140625" style="40"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6" customFormat="1" x14ac:dyDescent="0.25">
      <c r="A1" s="26" t="s">
        <v>7444</v>
      </c>
      <c r="I1" s="173"/>
      <c r="M1" s="173"/>
      <c r="N1" s="200"/>
    </row>
    <row r="2" spans="1:18" s="26" customFormat="1" x14ac:dyDescent="0.25">
      <c r="A2" s="198" t="s">
        <v>7446</v>
      </c>
      <c r="I2" s="173"/>
      <c r="M2" s="173"/>
      <c r="N2" s="200"/>
    </row>
    <row r="3" spans="1:18" s="26" customFormat="1" x14ac:dyDescent="0.25">
      <c r="A3" s="26" t="s">
        <v>1465</v>
      </c>
      <c r="I3" s="173"/>
      <c r="M3" s="173"/>
      <c r="N3" s="200"/>
    </row>
    <row r="4" spans="1:18" s="26" customFormat="1" x14ac:dyDescent="0.25">
      <c r="A4" s="26" t="s">
        <v>1403</v>
      </c>
      <c r="I4" s="173"/>
      <c r="M4" s="173"/>
      <c r="N4" s="200"/>
    </row>
    <row r="5" spans="1:18" s="26" customFormat="1" x14ac:dyDescent="0.25">
      <c r="A5" s="26" t="s">
        <v>1412</v>
      </c>
      <c r="I5" s="173"/>
      <c r="M5" s="173"/>
      <c r="N5" s="200"/>
    </row>
    <row r="6" spans="1:18" s="26" customFormat="1" x14ac:dyDescent="0.25">
      <c r="A6" s="26" t="s">
        <v>275</v>
      </c>
      <c r="I6" s="173"/>
      <c r="M6" s="173"/>
      <c r="N6" s="200"/>
    </row>
    <row r="7" spans="1:18" s="26" customFormat="1" ht="15.75" thickBot="1" x14ac:dyDescent="0.3">
      <c r="I7" s="173"/>
      <c r="M7" s="173"/>
      <c r="N7" s="200"/>
    </row>
    <row r="8" spans="1:18" s="26" customFormat="1" ht="15.75" thickBot="1" x14ac:dyDescent="0.3">
      <c r="A8" s="217" t="s">
        <v>127</v>
      </c>
      <c r="B8" s="218"/>
      <c r="I8" s="173"/>
      <c r="M8" s="173"/>
      <c r="N8" s="200"/>
    </row>
    <row r="9" spans="1:18" s="26" customFormat="1" ht="16.5" thickTop="1" thickBot="1" x14ac:dyDescent="0.3">
      <c r="A9" s="51" t="s">
        <v>25</v>
      </c>
      <c r="B9" s="205" t="s">
        <v>131</v>
      </c>
      <c r="D9" s="26" t="s">
        <v>274</v>
      </c>
      <c r="H9" s="27" t="s">
        <v>1198</v>
      </c>
      <c r="I9" s="50">
        <f>COUNTA(SamplingFeatures[Feature Code])</f>
        <v>7</v>
      </c>
      <c r="L9" s="27" t="s">
        <v>1196</v>
      </c>
      <c r="M9" s="50">
        <f ca="1">MAX(SamplingFeatures[SiteID])</f>
        <v>7</v>
      </c>
      <c r="N9" s="200"/>
      <c r="P9" s="27" t="s">
        <v>1466</v>
      </c>
      <c r="Q9" s="28">
        <f ca="1">MAX(SamplingFeatures[SpecimenID])</f>
        <v>0</v>
      </c>
    </row>
    <row r="10" spans="1:18" s="26" customFormat="1" ht="15.75" thickBot="1" x14ac:dyDescent="0.3">
      <c r="A10" s="52" t="s">
        <v>126</v>
      </c>
      <c r="B10" s="206" t="s">
        <v>130</v>
      </c>
      <c r="D10" s="26" t="s">
        <v>1274</v>
      </c>
      <c r="H10" s="27" t="s">
        <v>1273</v>
      </c>
      <c r="I10" s="50">
        <f ca="1">MAX(SamplingFeatures[IGSNID])</f>
        <v>0</v>
      </c>
      <c r="M10" s="173"/>
      <c r="N10" s="200"/>
    </row>
    <row r="11" spans="1:18" s="26" customFormat="1" ht="15.75" thickBot="1" x14ac:dyDescent="0.3">
      <c r="I11" s="173"/>
      <c r="K11" s="219" t="s">
        <v>1411</v>
      </c>
      <c r="L11" s="219"/>
      <c r="M11" s="219"/>
      <c r="N11" s="219"/>
      <c r="O11" s="219" t="s">
        <v>1467</v>
      </c>
      <c r="P11" s="219"/>
      <c r="Q11" s="219"/>
      <c r="R11" s="219"/>
    </row>
    <row r="12" spans="1:18" s="26" customFormat="1" ht="15.75" thickBot="1" x14ac:dyDescent="0.3">
      <c r="A12" s="53" t="s">
        <v>20</v>
      </c>
      <c r="B12" s="54" t="s">
        <v>21</v>
      </c>
      <c r="C12" s="54" t="s">
        <v>125</v>
      </c>
      <c r="D12" s="54" t="s">
        <v>191</v>
      </c>
      <c r="E12" s="55" t="s">
        <v>189</v>
      </c>
      <c r="F12" s="56" t="s">
        <v>190</v>
      </c>
      <c r="G12" s="57" t="s">
        <v>192</v>
      </c>
      <c r="H12" s="57" t="s">
        <v>24</v>
      </c>
      <c r="I12" s="58" t="s">
        <v>1181</v>
      </c>
      <c r="J12" s="48" t="s">
        <v>1271</v>
      </c>
      <c r="K12" s="249" t="s">
        <v>1136</v>
      </c>
      <c r="L12" s="244" t="s">
        <v>187</v>
      </c>
      <c r="M12" s="244" t="s">
        <v>22</v>
      </c>
      <c r="N12" s="244" t="s">
        <v>23</v>
      </c>
      <c r="O12" s="252" t="s">
        <v>1468</v>
      </c>
      <c r="P12" s="244" t="s">
        <v>1469</v>
      </c>
      <c r="Q12" s="244" t="s">
        <v>1470</v>
      </c>
      <c r="R12" s="245" t="s">
        <v>1471</v>
      </c>
    </row>
    <row r="13" spans="1:18" ht="15.75" thickTop="1" x14ac:dyDescent="0.25">
      <c r="A13" s="138"/>
      <c r="B13" s="18" t="s">
        <v>27</v>
      </c>
      <c r="C13" s="18" t="s">
        <v>48</v>
      </c>
      <c r="D13" s="18" t="s">
        <v>1308</v>
      </c>
      <c r="E13" s="41" t="s">
        <v>1317</v>
      </c>
      <c r="F13" s="42"/>
      <c r="G13" s="43"/>
      <c r="H13" s="43"/>
      <c r="I13" s="43"/>
      <c r="J13" s="46" t="str">
        <f ca="1">IF(SamplingFeatures[[#This Row],[Feature IGSN]]&lt;&gt;"",MAX(INDIRECT(CONCATENATE("R",ROW(SamplingFeatures[#Headers]),"C",COLUMN(),":R",ROW()-1,"C",COLUMN()),FALSE))+1,"")</f>
        <v/>
      </c>
      <c r="K13" s="250">
        <f ca="1">IF(SamplingFeatures[[#This Row],[Sampling Feature Type]]="Site",MAX(INDIRECT(CONCATENATE("R",ROW(SamplingFeatures[#Headers]),"C",COLUMN(),":R",ROW()-1,"C",COLUMN()),FALSE))+1,"")</f>
        <v>1</v>
      </c>
      <c r="L13" s="246" t="s">
        <v>90</v>
      </c>
      <c r="M13" s="242">
        <v>39.86347</v>
      </c>
      <c r="N13" s="242">
        <v>-75.784729999999996</v>
      </c>
      <c r="O13" s="46" t="str">
        <f ca="1">IF(SamplingFeatures[[#This Row],[Sampling Feature Type]]="Specimen",MAX(INDIRECT(CONCATENATE("R",ROW(SamplingFeatures[#Headers]),"C",COLUMN(),":R",ROW()-1,"C",COLUMN()),FALSE))+1,"")</f>
        <v/>
      </c>
      <c r="P13" s="246"/>
      <c r="Q13" s="242"/>
      <c r="R13" s="242"/>
    </row>
    <row r="14" spans="1:18" x14ac:dyDescent="0.25">
      <c r="A14" s="139"/>
      <c r="B14" s="18" t="s">
        <v>27</v>
      </c>
      <c r="C14" s="18" t="s">
        <v>48</v>
      </c>
      <c r="D14" s="10" t="s">
        <v>1309</v>
      </c>
      <c r="E14" s="11" t="s">
        <v>1321</v>
      </c>
      <c r="F14" s="44"/>
      <c r="G14" s="12"/>
      <c r="H14" s="12"/>
      <c r="I14" s="12"/>
      <c r="J14" s="47" t="str">
        <f ca="1">IF(SamplingFeatures[[#This Row],[Feature IGSN]]&lt;&gt;"",MAX(INDIRECT(CONCATENATE("R",ROW(SamplingFeatures[#Headers]),"C",COLUMN(),":R",ROW()-1,"C",COLUMN()),FALSE))+1,"")</f>
        <v/>
      </c>
      <c r="K14" s="126">
        <f ca="1">IF(SamplingFeatures[[#This Row],[Sampling Feature Type]]="Site",MAX(INDIRECT(CONCATENATE("R",ROW(SamplingFeatures[#Headers]),"C",COLUMN(),":R",ROW()-1,"C",COLUMN()),FALSE))+1,"")</f>
        <v>2</v>
      </c>
      <c r="L14" s="247" t="s">
        <v>90</v>
      </c>
      <c r="M14" s="241">
        <v>39.862169999999999</v>
      </c>
      <c r="N14" s="241">
        <v>-75.778769999999994</v>
      </c>
      <c r="O14" s="47" t="str">
        <f ca="1">IF(SamplingFeatures[[#This Row],[Sampling Feature Type]]="Specimen",MAX(INDIRECT(CONCATENATE("R",ROW(SamplingFeatures[#Headers]),"C",COLUMN(),":R",ROW()-1,"C",COLUMN()),FALSE))+1,"")</f>
        <v/>
      </c>
      <c r="P14" s="247"/>
      <c r="Q14" s="241"/>
      <c r="R14" s="241"/>
    </row>
    <row r="15" spans="1:18" x14ac:dyDescent="0.25">
      <c r="A15" s="139"/>
      <c r="B15" s="18" t="s">
        <v>27</v>
      </c>
      <c r="C15" s="18" t="s">
        <v>48</v>
      </c>
      <c r="D15" s="10" t="s">
        <v>1310</v>
      </c>
      <c r="E15" s="11" t="s">
        <v>1322</v>
      </c>
      <c r="F15" s="44"/>
      <c r="G15" s="12"/>
      <c r="H15" s="12"/>
      <c r="I15" s="12"/>
      <c r="J15" s="47" t="str">
        <f ca="1">IF(SamplingFeatures[[#This Row],[Feature IGSN]]&lt;&gt;"",MAX(INDIRECT(CONCATENATE("R",ROW(SamplingFeatures[#Headers]),"C",COLUMN(),":R",ROW()-1,"C",COLUMN()),FALSE))+1,"")</f>
        <v/>
      </c>
      <c r="K15" s="126">
        <f ca="1">IF(SamplingFeatures[[#This Row],[Sampling Feature Type]]="Site",MAX(INDIRECT(CONCATENATE("R",ROW(SamplingFeatures[#Headers]),"C",COLUMN(),":R",ROW()-1,"C",COLUMN()),FALSE))+1,"")</f>
        <v>3</v>
      </c>
      <c r="L15" s="247" t="s">
        <v>90</v>
      </c>
      <c r="M15" s="241">
        <v>39.861501666666598</v>
      </c>
      <c r="N15" s="241">
        <v>-75.783050000000003</v>
      </c>
      <c r="O15" s="47" t="str">
        <f ca="1">IF(SamplingFeatures[[#This Row],[Sampling Feature Type]]="Specimen",MAX(INDIRECT(CONCATENATE("R",ROW(SamplingFeatures[#Headers]),"C",COLUMN(),":R",ROW()-1,"C",COLUMN()),FALSE))+1,"")</f>
        <v/>
      </c>
      <c r="P15" s="247"/>
      <c r="Q15" s="241"/>
      <c r="R15" s="241"/>
    </row>
    <row r="16" spans="1:18" ht="15" customHeight="1" x14ac:dyDescent="0.25">
      <c r="A16" s="139"/>
      <c r="B16" s="18" t="s">
        <v>27</v>
      </c>
      <c r="C16" s="18" t="s">
        <v>48</v>
      </c>
      <c r="D16" s="10" t="s">
        <v>1311</v>
      </c>
      <c r="E16" s="11" t="s">
        <v>1319</v>
      </c>
      <c r="F16" s="44"/>
      <c r="G16" s="12"/>
      <c r="H16" s="12"/>
      <c r="I16" s="12"/>
      <c r="J16" s="47" t="str">
        <f ca="1">IF(SamplingFeatures[[#This Row],[Feature IGSN]]&lt;&gt;"",MAX(INDIRECT(CONCATENATE("R",ROW(SamplingFeatures[#Headers]),"C",COLUMN(),":R",ROW()-1,"C",COLUMN()),FALSE))+1,"")</f>
        <v/>
      </c>
      <c r="K16" s="126">
        <f ca="1">IF(SamplingFeatures[[#This Row],[Sampling Feature Type]]="Site",MAX(INDIRECT(CONCATENATE("R",ROW(SamplingFeatures[#Headers]),"C",COLUMN(),":R",ROW()-1,"C",COLUMN()),FALSE))+1,"")</f>
        <v>4</v>
      </c>
      <c r="L16" s="247" t="s">
        <v>90</v>
      </c>
      <c r="M16" s="241">
        <v>39.860660000000003</v>
      </c>
      <c r="N16" s="241">
        <v>-75.783855000000003</v>
      </c>
      <c r="O16" s="47" t="str">
        <f ca="1">IF(SamplingFeatures[[#This Row],[Sampling Feature Type]]="Specimen",MAX(INDIRECT(CONCATENATE("R",ROW(SamplingFeatures[#Headers]),"C",COLUMN(),":R",ROW()-1,"C",COLUMN()),FALSE))+1,"")</f>
        <v/>
      </c>
      <c r="P16" s="247"/>
      <c r="Q16" s="241"/>
      <c r="R16" s="241"/>
    </row>
    <row r="17" spans="1:18" x14ac:dyDescent="0.25">
      <c r="A17" s="139"/>
      <c r="B17" s="18" t="s">
        <v>27</v>
      </c>
      <c r="C17" s="18" t="s">
        <v>48</v>
      </c>
      <c r="D17" s="10" t="s">
        <v>1316</v>
      </c>
      <c r="E17" s="11" t="s">
        <v>1323</v>
      </c>
      <c r="F17" s="44"/>
      <c r="G17" s="12"/>
      <c r="H17" s="12"/>
      <c r="I17" s="12"/>
      <c r="J17" s="47" t="str">
        <f ca="1">IF(SamplingFeatures[[#This Row],[Feature IGSN]]&lt;&gt;"",MAX(INDIRECT(CONCATENATE("R",ROW(SamplingFeatures[#Headers]),"C",COLUMN(),":R",ROW()-1,"C",COLUMN()),FALSE))+1,"")</f>
        <v/>
      </c>
      <c r="K17" s="126">
        <f ca="1">IF(SamplingFeatures[[#This Row],[Sampling Feature Type]]="Site",MAX(INDIRECT(CONCATENATE("R",ROW(SamplingFeatures[#Headers]),"C",COLUMN(),":R",ROW()-1,"C",COLUMN()),FALSE))+1,"")</f>
        <v>5</v>
      </c>
      <c r="L17" s="247" t="s">
        <v>90</v>
      </c>
      <c r="M17" s="241">
        <v>39.864086999999998</v>
      </c>
      <c r="N17" s="241">
        <v>-75.785841000000005</v>
      </c>
      <c r="O17" s="47" t="str">
        <f ca="1">IF(SamplingFeatures[[#This Row],[Sampling Feature Type]]="Specimen",MAX(INDIRECT(CONCATENATE("R",ROW(SamplingFeatures[#Headers]),"C",COLUMN(),":R",ROW()-1,"C",COLUMN()),FALSE))+1,"")</f>
        <v/>
      </c>
      <c r="P17" s="247"/>
      <c r="Q17" s="241"/>
      <c r="R17" s="241"/>
    </row>
    <row r="18" spans="1:18" ht="15" customHeight="1" x14ac:dyDescent="0.25">
      <c r="A18" s="139"/>
      <c r="B18" s="18" t="s">
        <v>27</v>
      </c>
      <c r="C18" s="18" t="s">
        <v>48</v>
      </c>
      <c r="D18" s="10" t="s">
        <v>1313</v>
      </c>
      <c r="E18" s="11" t="s">
        <v>1320</v>
      </c>
      <c r="F18" s="44"/>
      <c r="G18" s="12"/>
      <c r="H18" s="12"/>
      <c r="I18" s="12"/>
      <c r="J18" s="47" t="str">
        <f ca="1">IF(SamplingFeatures[[#This Row],[Feature IGSN]]&lt;&gt;"",MAX(INDIRECT(CONCATENATE("R",ROW(SamplingFeatures[#Headers]),"C",COLUMN(),":R",ROW()-1,"C",COLUMN()),FALSE))+1,"")</f>
        <v/>
      </c>
      <c r="K18" s="126">
        <f ca="1">IF(SamplingFeatures[[#This Row],[Sampling Feature Type]]="Site",MAX(INDIRECT(CONCATENATE("R",ROW(SamplingFeatures[#Headers]),"C",COLUMN(),":R",ROW()-1,"C",COLUMN()),FALSE))+1,"")</f>
        <v>6</v>
      </c>
      <c r="L18" s="247" t="s">
        <v>90</v>
      </c>
      <c r="M18" s="241">
        <v>39.859400000000001</v>
      </c>
      <c r="N18" s="241">
        <v>-75.783810000000003</v>
      </c>
      <c r="O18" s="47" t="str">
        <f ca="1">IF(SamplingFeatures[[#This Row],[Sampling Feature Type]]="Specimen",MAX(INDIRECT(CONCATENATE("R",ROW(SamplingFeatures[#Headers]),"C",COLUMN(),":R",ROW()-1,"C",COLUMN()),FALSE))+1,"")</f>
        <v/>
      </c>
      <c r="P18" s="247"/>
      <c r="Q18" s="241"/>
      <c r="R18" s="241"/>
    </row>
    <row r="19" spans="1:18" ht="15" customHeight="1" x14ac:dyDescent="0.25">
      <c r="A19" s="139"/>
      <c r="B19" s="18" t="s">
        <v>27</v>
      </c>
      <c r="C19" s="18" t="s">
        <v>48</v>
      </c>
      <c r="D19" s="10" t="s">
        <v>1314</v>
      </c>
      <c r="E19" s="11" t="s">
        <v>1318</v>
      </c>
      <c r="F19" s="44"/>
      <c r="G19" s="12"/>
      <c r="H19" s="12"/>
      <c r="I19" s="12"/>
      <c r="J19" s="47" t="str">
        <f ca="1">IF(SamplingFeatures[[#This Row],[Feature IGSN]]&lt;&gt;"",MAX(INDIRECT(CONCATENATE("R",ROW(SamplingFeatures[#Headers]),"C",COLUMN(),":R",ROW()-1,"C",COLUMN()),FALSE))+1,"")</f>
        <v/>
      </c>
      <c r="K19" s="126">
        <f ca="1">IF(SamplingFeatures[[#This Row],[Sampling Feature Type]]="Site",MAX(INDIRECT(CONCATENATE("R",ROW(SamplingFeatures[#Headers]),"C",COLUMN(),":R",ROW()-1,"C",COLUMN()),FALSE))+1,"")</f>
        <v>7</v>
      </c>
      <c r="L19" s="247" t="s">
        <v>90</v>
      </c>
      <c r="M19" s="241">
        <v>39.855431000000003</v>
      </c>
      <c r="N19" s="241">
        <v>-75.783973000000003</v>
      </c>
      <c r="O19" s="47" t="str">
        <f ca="1">IF(SamplingFeatures[[#This Row],[Sampling Feature Type]]="Specimen",MAX(INDIRECT(CONCATENATE("R",ROW(SamplingFeatures[#Headers]),"C",COLUMN(),":R",ROW()-1,"C",COLUMN()),FALSE))+1,"")</f>
        <v/>
      </c>
      <c r="P19" s="247"/>
      <c r="Q19" s="241"/>
      <c r="R19" s="241"/>
    </row>
    <row r="20" spans="1:18" x14ac:dyDescent="0.25">
      <c r="A20" s="139"/>
      <c r="B20" s="18"/>
      <c r="C20" s="18"/>
      <c r="D20" s="10"/>
      <c r="E20" s="11"/>
      <c r="F20" s="44"/>
      <c r="G20" s="12"/>
      <c r="H20" s="12"/>
      <c r="I20" s="12"/>
      <c r="J20" s="47" t="str">
        <f ca="1">IF(SamplingFeatures[[#This Row],[Feature IGSN]]&lt;&gt;"",MAX(INDIRECT(CONCATENATE("R",ROW(SamplingFeatures[#Headers]),"C",COLUMN(),":R",ROW()-1,"C",COLUMN()),FALSE))+1,"")</f>
        <v/>
      </c>
      <c r="K20" s="126" t="str">
        <f ca="1">IF(SamplingFeatures[[#This Row],[Sampling Feature Type]]="Site",MAX(INDIRECT(CONCATENATE("R",ROW(SamplingFeatures[#Headers]),"C",COLUMN(),":R",ROW()-1,"C",COLUMN()),FALSE))+1,"")</f>
        <v/>
      </c>
      <c r="L20" s="247"/>
      <c r="M20" s="241"/>
      <c r="N20" s="241"/>
      <c r="O20" s="47" t="str">
        <f ca="1">IF(SamplingFeatures[[#This Row],[Sampling Feature Type]]="Specimen",MAX(INDIRECT(CONCATENATE("R",ROW(SamplingFeatures[#Headers]),"C",COLUMN(),":R",ROW()-1,"C",COLUMN()),FALSE))+1,"")</f>
        <v/>
      </c>
      <c r="P20" s="247"/>
      <c r="Q20" s="241"/>
      <c r="R20" s="241"/>
    </row>
    <row r="21" spans="1:18" x14ac:dyDescent="0.25">
      <c r="A21" s="139"/>
      <c r="B21" s="18"/>
      <c r="C21" s="18"/>
      <c r="D21" s="10"/>
      <c r="E21" s="11"/>
      <c r="F21" s="44"/>
      <c r="G21" s="12"/>
      <c r="H21" s="12"/>
      <c r="I21" s="12"/>
      <c r="J21" s="47" t="str">
        <f ca="1">IF(SamplingFeatures[[#This Row],[Feature IGSN]]&lt;&gt;"",MAX(INDIRECT(CONCATENATE("R",ROW(SamplingFeatures[#Headers]),"C",COLUMN(),":R",ROW()-1,"C",COLUMN()),FALSE))+1,"")</f>
        <v/>
      </c>
      <c r="K21" s="126" t="str">
        <f ca="1">IF(SamplingFeatures[[#This Row],[Sampling Feature Type]]="Site",MAX(INDIRECT(CONCATENATE("R",ROW(SamplingFeatures[#Headers]),"C",COLUMN(),":R",ROW()-1,"C",COLUMN()),FALSE))+1,"")</f>
        <v/>
      </c>
      <c r="L21" s="247"/>
      <c r="M21" s="241"/>
      <c r="N21" s="241"/>
      <c r="O21" s="47" t="str">
        <f ca="1">IF(SamplingFeatures[[#This Row],[Sampling Feature Type]]="Specimen",MAX(INDIRECT(CONCATENATE("R",ROW(SamplingFeatures[#Headers]),"C",COLUMN(),":R",ROW()-1,"C",COLUMN()),FALSE))+1,"")</f>
        <v/>
      </c>
      <c r="P21" s="247"/>
      <c r="Q21" s="241"/>
      <c r="R21" s="241"/>
    </row>
    <row r="22" spans="1:18" x14ac:dyDescent="0.25">
      <c r="A22" s="139"/>
      <c r="B22" s="18"/>
      <c r="C22" s="18"/>
      <c r="D22" s="10"/>
      <c r="E22" s="11"/>
      <c r="F22" s="44"/>
      <c r="G22" s="12"/>
      <c r="H22" s="12"/>
      <c r="I22" s="12"/>
      <c r="J22" s="47" t="str">
        <f ca="1">IF(SamplingFeatures[[#This Row],[Feature IGSN]]&lt;&gt;"",MAX(INDIRECT(CONCATENATE("R",ROW(SamplingFeatures[#Headers]),"C",COLUMN(),":R",ROW()-1,"C",COLUMN()),FALSE))+1,"")</f>
        <v/>
      </c>
      <c r="K22" s="126" t="str">
        <f ca="1">IF(SamplingFeatures[[#This Row],[Sampling Feature Type]]="Site",MAX(INDIRECT(CONCATENATE("R",ROW(SamplingFeatures[#Headers]),"C",COLUMN(),":R",ROW()-1,"C",COLUMN()),FALSE))+1,"")</f>
        <v/>
      </c>
      <c r="L22" s="247"/>
      <c r="M22" s="241"/>
      <c r="N22" s="241"/>
      <c r="O22" s="47" t="str">
        <f ca="1">IF(SamplingFeatures[[#This Row],[Sampling Feature Type]]="Specimen",MAX(INDIRECT(CONCATENATE("R",ROW(SamplingFeatures[#Headers]),"C",COLUMN(),":R",ROW()-1,"C",COLUMN()),FALSE))+1,"")</f>
        <v/>
      </c>
      <c r="P22" s="247"/>
      <c r="Q22" s="241"/>
      <c r="R22" s="241"/>
    </row>
    <row r="23" spans="1:18" x14ac:dyDescent="0.25">
      <c r="A23" s="139"/>
      <c r="B23" s="18"/>
      <c r="C23" s="10"/>
      <c r="D23" s="10"/>
      <c r="E23" s="11"/>
      <c r="F23" s="44"/>
      <c r="G23" s="12"/>
      <c r="H23" s="12"/>
      <c r="I23" s="12"/>
      <c r="J23" s="47" t="str">
        <f ca="1">IF(SamplingFeatures[[#This Row],[Feature IGSN]]&lt;&gt;"",MAX(INDIRECT(CONCATENATE("R",ROW(SamplingFeatures[#Headers]),"C",COLUMN(),":R",ROW()-1,"C",COLUMN()),FALSE))+1,"")</f>
        <v/>
      </c>
      <c r="K23" s="126" t="str">
        <f ca="1">IF(SamplingFeatures[[#This Row],[Sampling Feature Type]]="Site",MAX(INDIRECT(CONCATENATE("R",ROW(SamplingFeatures[#Headers]),"C",COLUMN(),":R",ROW()-1,"C",COLUMN()),FALSE))+1,"")</f>
        <v/>
      </c>
      <c r="L23" s="247"/>
      <c r="M23" s="241"/>
      <c r="N23" s="241"/>
      <c r="O23" s="47" t="str">
        <f ca="1">IF(SamplingFeatures[[#This Row],[Sampling Feature Type]]="Specimen",MAX(INDIRECT(CONCATENATE("R",ROW(SamplingFeatures[#Headers]),"C",COLUMN(),":R",ROW()-1,"C",COLUMN()),FALSE))+1,"")</f>
        <v/>
      </c>
      <c r="P23" s="247"/>
      <c r="Q23" s="241"/>
      <c r="R23" s="241"/>
    </row>
    <row r="24" spans="1:18" x14ac:dyDescent="0.25">
      <c r="A24" s="139"/>
      <c r="B24" s="10"/>
      <c r="C24" s="10"/>
      <c r="D24" s="10"/>
      <c r="E24" s="11"/>
      <c r="F24" s="44"/>
      <c r="G24" s="12"/>
      <c r="H24" s="12"/>
      <c r="I24" s="12"/>
      <c r="J24" s="47" t="str">
        <f ca="1">IF(SamplingFeatures[[#This Row],[Feature IGSN]]&lt;&gt;"",MAX(INDIRECT(CONCATENATE("R",ROW(SamplingFeatures[#Headers]),"C",COLUMN(),":R",ROW()-1,"C",COLUMN()),FALSE))+1,"")</f>
        <v/>
      </c>
      <c r="K24" s="126" t="str">
        <f ca="1">IF(SamplingFeatures[[#This Row],[Sampling Feature Type]]="Site",MAX(INDIRECT(CONCATENATE("R",ROW(SamplingFeatures[#Headers]),"C",COLUMN(),":R",ROW()-1,"C",COLUMN()),FALSE))+1,"")</f>
        <v/>
      </c>
      <c r="L24" s="247"/>
      <c r="M24" s="241"/>
      <c r="N24" s="241"/>
      <c r="O24" s="47" t="str">
        <f ca="1">IF(SamplingFeatures[[#This Row],[Sampling Feature Type]]="Specimen",MAX(INDIRECT(CONCATENATE("R",ROW(SamplingFeatures[#Headers]),"C",COLUMN(),":R",ROW()-1,"C",COLUMN()),FALSE))+1,"")</f>
        <v/>
      </c>
      <c r="P24" s="247"/>
      <c r="Q24" s="241"/>
      <c r="R24" s="241"/>
    </row>
    <row r="25" spans="1:18" x14ac:dyDescent="0.25">
      <c r="A25" s="139"/>
      <c r="B25" s="10"/>
      <c r="C25" s="10"/>
      <c r="D25" s="10"/>
      <c r="E25" s="11"/>
      <c r="F25" s="44"/>
      <c r="G25" s="12"/>
      <c r="H25" s="12"/>
      <c r="I25" s="12"/>
      <c r="J25" s="47" t="str">
        <f ca="1">IF(SamplingFeatures[[#This Row],[Feature IGSN]]&lt;&gt;"",MAX(INDIRECT(CONCATENATE("R",ROW(SamplingFeatures[#Headers]),"C",COLUMN(),":R",ROW()-1,"C",COLUMN()),FALSE))+1,"")</f>
        <v/>
      </c>
      <c r="K25" s="126" t="str">
        <f ca="1">IF(SamplingFeatures[[#This Row],[Sampling Feature Type]]="Site",MAX(INDIRECT(CONCATENATE("R",ROW(SamplingFeatures[#Headers]),"C",COLUMN(),":R",ROW()-1,"C",COLUMN()),FALSE))+1,"")</f>
        <v/>
      </c>
      <c r="L25" s="247"/>
      <c r="M25" s="241"/>
      <c r="N25" s="241"/>
      <c r="O25" s="47" t="str">
        <f ca="1">IF(SamplingFeatures[[#This Row],[Sampling Feature Type]]="Specimen",MAX(INDIRECT(CONCATENATE("R",ROW(SamplingFeatures[#Headers]),"C",COLUMN(),":R",ROW()-1,"C",COLUMN()),FALSE))+1,"")</f>
        <v/>
      </c>
      <c r="P25" s="247"/>
      <c r="Q25" s="241"/>
      <c r="R25" s="241"/>
    </row>
    <row r="26" spans="1:18" x14ac:dyDescent="0.25">
      <c r="A26" s="139"/>
      <c r="B26" s="10"/>
      <c r="C26" s="10"/>
      <c r="D26" s="10"/>
      <c r="E26" s="11"/>
      <c r="F26" s="44"/>
      <c r="G26" s="12"/>
      <c r="H26" s="12"/>
      <c r="I26" s="12"/>
      <c r="J26" s="47" t="str">
        <f ca="1">IF(SamplingFeatures[[#This Row],[Feature IGSN]]&lt;&gt;"",MAX(INDIRECT(CONCATENATE("R",ROW(SamplingFeatures[#Headers]),"C",COLUMN(),":R",ROW()-1,"C",COLUMN()),FALSE))+1,"")</f>
        <v/>
      </c>
      <c r="K26" s="126" t="str">
        <f ca="1">IF(SamplingFeatures[[#This Row],[Sampling Feature Type]]="Site",MAX(INDIRECT(CONCATENATE("R",ROW(SamplingFeatures[#Headers]),"C",COLUMN(),":R",ROW()-1,"C",COLUMN()),FALSE))+1,"")</f>
        <v/>
      </c>
      <c r="L26" s="247"/>
      <c r="M26" s="241"/>
      <c r="N26" s="241"/>
      <c r="O26" s="47" t="str">
        <f ca="1">IF(SamplingFeatures[[#This Row],[Sampling Feature Type]]="Specimen",MAX(INDIRECT(CONCATENATE("R",ROW(SamplingFeatures[#Headers]),"C",COLUMN(),":R",ROW()-1,"C",COLUMN()),FALSE))+1,"")</f>
        <v/>
      </c>
      <c r="P26" s="247"/>
      <c r="Q26" s="241"/>
      <c r="R26" s="241"/>
    </row>
    <row r="27" spans="1:18" x14ac:dyDescent="0.25">
      <c r="A27" s="139"/>
      <c r="B27" s="10"/>
      <c r="C27" s="10"/>
      <c r="D27" s="10"/>
      <c r="E27" s="11"/>
      <c r="F27" s="44"/>
      <c r="G27" s="12"/>
      <c r="H27" s="12"/>
      <c r="I27" s="12"/>
      <c r="J27" s="47" t="str">
        <f ca="1">IF(SamplingFeatures[[#This Row],[Feature IGSN]]&lt;&gt;"",MAX(INDIRECT(CONCATENATE("R",ROW(SamplingFeatures[#Headers]),"C",COLUMN(),":R",ROW()-1,"C",COLUMN()),FALSE))+1,"")</f>
        <v/>
      </c>
      <c r="K27" s="126" t="str">
        <f ca="1">IF(SamplingFeatures[[#This Row],[Sampling Feature Type]]="Site",MAX(INDIRECT(CONCATENATE("R",ROW(SamplingFeatures[#Headers]),"C",COLUMN(),":R",ROW()-1,"C",COLUMN()),FALSE))+1,"")</f>
        <v/>
      </c>
      <c r="L27" s="247"/>
      <c r="M27" s="241"/>
      <c r="N27" s="241"/>
      <c r="O27" s="47" t="str">
        <f ca="1">IF(SamplingFeatures[[#This Row],[Sampling Feature Type]]="Specimen",MAX(INDIRECT(CONCATENATE("R",ROW(SamplingFeatures[#Headers]),"C",COLUMN(),":R",ROW()-1,"C",COLUMN()),FALSE))+1,"")</f>
        <v/>
      </c>
      <c r="P27" s="247"/>
      <c r="Q27" s="241"/>
      <c r="R27" s="241"/>
    </row>
    <row r="28" spans="1:18" x14ac:dyDescent="0.25">
      <c r="A28" s="139"/>
      <c r="B28" s="10"/>
      <c r="C28" s="10"/>
      <c r="D28" s="10"/>
      <c r="E28" s="11"/>
      <c r="F28" s="44"/>
      <c r="G28" s="12"/>
      <c r="H28" s="12"/>
      <c r="I28" s="12"/>
      <c r="J28" s="47" t="str">
        <f ca="1">IF(SamplingFeatures[[#This Row],[Feature IGSN]]&lt;&gt;"",MAX(INDIRECT(CONCATENATE("R",ROW(SamplingFeatures[#Headers]),"C",COLUMN(),":R",ROW()-1,"C",COLUMN()),FALSE))+1,"")</f>
        <v/>
      </c>
      <c r="K28" s="126" t="str">
        <f ca="1">IF(SamplingFeatures[[#This Row],[Sampling Feature Type]]="Site",MAX(INDIRECT(CONCATENATE("R",ROW(SamplingFeatures[#Headers]),"C",COLUMN(),":R",ROW()-1,"C",COLUMN()),FALSE))+1,"")</f>
        <v/>
      </c>
      <c r="L28" s="247"/>
      <c r="M28" s="241"/>
      <c r="N28" s="241"/>
      <c r="O28" s="47" t="str">
        <f ca="1">IF(SamplingFeatures[[#This Row],[Sampling Feature Type]]="Specimen",MAX(INDIRECT(CONCATENATE("R",ROW(SamplingFeatures[#Headers]),"C",COLUMN(),":R",ROW()-1,"C",COLUMN()),FALSE))+1,"")</f>
        <v/>
      </c>
      <c r="P28" s="247"/>
      <c r="Q28" s="241"/>
      <c r="R28" s="241"/>
    </row>
    <row r="29" spans="1:18" x14ac:dyDescent="0.25">
      <c r="A29" s="139"/>
      <c r="B29" s="10"/>
      <c r="C29" s="10"/>
      <c r="D29" s="10"/>
      <c r="E29" s="11"/>
      <c r="F29" s="44"/>
      <c r="G29" s="12"/>
      <c r="H29" s="12"/>
      <c r="I29" s="12"/>
      <c r="J29" s="47" t="str">
        <f ca="1">IF(SamplingFeatures[[#This Row],[Feature IGSN]]&lt;&gt;"",MAX(INDIRECT(CONCATENATE("R",ROW(SamplingFeatures[#Headers]),"C",COLUMN(),":R",ROW()-1,"C",COLUMN()),FALSE))+1,"")</f>
        <v/>
      </c>
      <c r="K29" s="126" t="str">
        <f ca="1">IF(SamplingFeatures[[#This Row],[Sampling Feature Type]]="Site",MAX(INDIRECT(CONCATENATE("R",ROW(SamplingFeatures[#Headers]),"C",COLUMN(),":R",ROW()-1,"C",COLUMN()),FALSE))+1,"")</f>
        <v/>
      </c>
      <c r="L29" s="247"/>
      <c r="M29" s="241"/>
      <c r="N29" s="241"/>
      <c r="O29" s="47" t="str">
        <f ca="1">IF(SamplingFeatures[[#This Row],[Sampling Feature Type]]="Specimen",MAX(INDIRECT(CONCATENATE("R",ROW(SamplingFeatures[#Headers]),"C",COLUMN(),":R",ROW()-1,"C",COLUMN()),FALSE))+1,"")</f>
        <v/>
      </c>
      <c r="P29" s="247"/>
      <c r="Q29" s="241"/>
      <c r="R29" s="241"/>
    </row>
    <row r="30" spans="1:18" x14ac:dyDescent="0.25">
      <c r="A30" s="139"/>
      <c r="B30" s="10"/>
      <c r="C30" s="10"/>
      <c r="D30" s="10"/>
      <c r="E30" s="11"/>
      <c r="F30" s="44"/>
      <c r="G30" s="12"/>
      <c r="H30" s="12"/>
      <c r="I30" s="12"/>
      <c r="J30" s="47" t="str">
        <f ca="1">IF(SamplingFeatures[[#This Row],[Feature IGSN]]&lt;&gt;"",MAX(INDIRECT(CONCATENATE("R",ROW(SamplingFeatures[#Headers]),"C",COLUMN(),":R",ROW()-1,"C",COLUMN()),FALSE))+1,"")</f>
        <v/>
      </c>
      <c r="K30" s="126" t="str">
        <f ca="1">IF(SamplingFeatures[[#This Row],[Sampling Feature Type]]="Site",MAX(INDIRECT(CONCATENATE("R",ROW(SamplingFeatures[#Headers]),"C",COLUMN(),":R",ROW()-1,"C",COLUMN()),FALSE))+1,"")</f>
        <v/>
      </c>
      <c r="L30" s="247"/>
      <c r="M30" s="241"/>
      <c r="N30" s="241"/>
      <c r="O30" s="47" t="str">
        <f ca="1">IF(SamplingFeatures[[#This Row],[Sampling Feature Type]]="Specimen",MAX(INDIRECT(CONCATENATE("R",ROW(SamplingFeatures[#Headers]),"C",COLUMN(),":R",ROW()-1,"C",COLUMN()),FALSE))+1,"")</f>
        <v/>
      </c>
      <c r="P30" s="247"/>
      <c r="Q30" s="241"/>
      <c r="R30" s="241"/>
    </row>
    <row r="31" spans="1:18" x14ac:dyDescent="0.25">
      <c r="A31" s="139"/>
      <c r="B31" s="10"/>
      <c r="C31" s="10"/>
      <c r="D31" s="10"/>
      <c r="E31" s="11"/>
      <c r="F31" s="44"/>
      <c r="G31" s="12"/>
      <c r="H31" s="12"/>
      <c r="I31" s="12"/>
      <c r="J31" s="47" t="str">
        <f ca="1">IF(SamplingFeatures[[#This Row],[Feature IGSN]]&lt;&gt;"",MAX(INDIRECT(CONCATENATE("R",ROW(SamplingFeatures[#Headers]),"C",COLUMN(),":R",ROW()-1,"C",COLUMN()),FALSE))+1,"")</f>
        <v/>
      </c>
      <c r="K31" s="126" t="str">
        <f ca="1">IF(SamplingFeatures[[#This Row],[Sampling Feature Type]]="Site",MAX(INDIRECT(CONCATENATE("R",ROW(SamplingFeatures[#Headers]),"C",COLUMN(),":R",ROW()-1,"C",COLUMN()),FALSE))+1,"")</f>
        <v/>
      </c>
      <c r="L31" s="247"/>
      <c r="M31" s="241"/>
      <c r="N31" s="241"/>
      <c r="O31" s="47" t="str">
        <f ca="1">IF(SamplingFeatures[[#This Row],[Sampling Feature Type]]="Specimen",MAX(INDIRECT(CONCATENATE("R",ROW(SamplingFeatures[#Headers]),"C",COLUMN(),":R",ROW()-1,"C",COLUMN()),FALSE))+1,"")</f>
        <v/>
      </c>
      <c r="P31" s="247"/>
      <c r="Q31" s="241"/>
      <c r="R31" s="241"/>
    </row>
    <row r="32" spans="1:18" x14ac:dyDescent="0.25">
      <c r="A32" s="139"/>
      <c r="B32" s="10"/>
      <c r="C32" s="10"/>
      <c r="D32" s="10"/>
      <c r="E32" s="11"/>
      <c r="F32" s="44"/>
      <c r="G32" s="12"/>
      <c r="H32" s="12"/>
      <c r="I32" s="12"/>
      <c r="J32" s="47" t="str">
        <f ca="1">IF(SamplingFeatures[[#This Row],[Feature IGSN]]&lt;&gt;"",MAX(INDIRECT(CONCATENATE("R",ROW(SamplingFeatures[#Headers]),"C",COLUMN(),":R",ROW()-1,"C",COLUMN()),FALSE))+1,"")</f>
        <v/>
      </c>
      <c r="K32" s="126" t="str">
        <f ca="1">IF(SamplingFeatures[[#This Row],[Sampling Feature Type]]="Site",MAX(INDIRECT(CONCATENATE("R",ROW(SamplingFeatures[#Headers]),"C",COLUMN(),":R",ROW()-1,"C",COLUMN()),FALSE))+1,"")</f>
        <v/>
      </c>
      <c r="L32" s="247"/>
      <c r="M32" s="241"/>
      <c r="N32" s="241"/>
      <c r="O32" s="47" t="str">
        <f ca="1">IF(SamplingFeatures[[#This Row],[Sampling Feature Type]]="Specimen",MAX(INDIRECT(CONCATENATE("R",ROW(SamplingFeatures[#Headers]),"C",COLUMN(),":R",ROW()-1,"C",COLUMN()),FALSE))+1,"")</f>
        <v/>
      </c>
      <c r="P32" s="247"/>
      <c r="Q32" s="241"/>
      <c r="R32" s="241"/>
    </row>
    <row r="33" spans="1:18" x14ac:dyDescent="0.25">
      <c r="A33" s="139"/>
      <c r="B33" s="10"/>
      <c r="C33" s="10"/>
      <c r="D33" s="10"/>
      <c r="E33" s="11"/>
      <c r="F33" s="44"/>
      <c r="G33" s="12"/>
      <c r="H33" s="12"/>
      <c r="I33" s="12"/>
      <c r="J33" s="47" t="str">
        <f ca="1">IF(SamplingFeatures[[#This Row],[Feature IGSN]]&lt;&gt;"",MAX(INDIRECT(CONCATENATE("R",ROW(SamplingFeatures[#Headers]),"C",COLUMN(),":R",ROW()-1,"C",COLUMN()),FALSE))+1,"")</f>
        <v/>
      </c>
      <c r="K33" s="126" t="str">
        <f ca="1">IF(SamplingFeatures[[#This Row],[Sampling Feature Type]]="Site",MAX(INDIRECT(CONCATENATE("R",ROW(SamplingFeatures[#Headers]),"C",COLUMN(),":R",ROW()-1,"C",COLUMN()),FALSE))+1,"")</f>
        <v/>
      </c>
      <c r="L33" s="247"/>
      <c r="M33" s="241"/>
      <c r="N33" s="241"/>
      <c r="O33" s="47" t="str">
        <f ca="1">IF(SamplingFeatures[[#This Row],[Sampling Feature Type]]="Specimen",MAX(INDIRECT(CONCATENATE("R",ROW(SamplingFeatures[#Headers]),"C",COLUMN(),":R",ROW()-1,"C",COLUMN()),FALSE))+1,"")</f>
        <v/>
      </c>
      <c r="P33" s="247"/>
      <c r="Q33" s="241"/>
      <c r="R33" s="241"/>
    </row>
    <row r="34" spans="1:18" x14ac:dyDescent="0.25">
      <c r="A34" s="139"/>
      <c r="B34" s="10"/>
      <c r="C34" s="10"/>
      <c r="D34" s="10"/>
      <c r="E34" s="11"/>
      <c r="F34" s="44"/>
      <c r="G34" s="12"/>
      <c r="H34" s="12"/>
      <c r="I34" s="12"/>
      <c r="J34" s="47" t="str">
        <f ca="1">IF(SamplingFeatures[[#This Row],[Feature IGSN]]&lt;&gt;"",MAX(INDIRECT(CONCATENATE("R",ROW(SamplingFeatures[#Headers]),"C",COLUMN(),":R",ROW()-1,"C",COLUMN()),FALSE))+1,"")</f>
        <v/>
      </c>
      <c r="K34" s="126" t="str">
        <f ca="1">IF(SamplingFeatures[[#This Row],[Sampling Feature Type]]="Site",MAX(INDIRECT(CONCATENATE("R",ROW(SamplingFeatures[#Headers]),"C",COLUMN(),":R",ROW()-1,"C",COLUMN()),FALSE))+1,"")</f>
        <v/>
      </c>
      <c r="L34" s="247"/>
      <c r="M34" s="241"/>
      <c r="N34" s="241"/>
      <c r="O34" s="47" t="str">
        <f ca="1">IF(SamplingFeatures[[#This Row],[Sampling Feature Type]]="Specimen",MAX(INDIRECT(CONCATENATE("R",ROW(SamplingFeatures[#Headers]),"C",COLUMN(),":R",ROW()-1,"C",COLUMN()),FALSE))+1,"")</f>
        <v/>
      </c>
      <c r="P34" s="247"/>
      <c r="Q34" s="241"/>
      <c r="R34" s="241"/>
    </row>
    <row r="35" spans="1:18" x14ac:dyDescent="0.25">
      <c r="A35" s="139"/>
      <c r="B35" s="10"/>
      <c r="C35" s="10"/>
      <c r="D35" s="10"/>
      <c r="E35" s="11"/>
      <c r="F35" s="44"/>
      <c r="G35" s="12"/>
      <c r="H35" s="12"/>
      <c r="I35" s="12"/>
      <c r="J35" s="47" t="str">
        <f ca="1">IF(SamplingFeatures[[#This Row],[Feature IGSN]]&lt;&gt;"",MAX(INDIRECT(CONCATENATE("R",ROW(SamplingFeatures[#Headers]),"C",COLUMN(),":R",ROW()-1,"C",COLUMN()),FALSE))+1,"")</f>
        <v/>
      </c>
      <c r="K35" s="126" t="str">
        <f ca="1">IF(SamplingFeatures[[#This Row],[Sampling Feature Type]]="Site",MAX(INDIRECT(CONCATENATE("R",ROW(SamplingFeatures[#Headers]),"C",COLUMN(),":R",ROW()-1,"C",COLUMN()),FALSE))+1,"")</f>
        <v/>
      </c>
      <c r="L35" s="247"/>
      <c r="M35" s="241"/>
      <c r="N35" s="241"/>
      <c r="O35" s="47" t="str">
        <f ca="1">IF(SamplingFeatures[[#This Row],[Sampling Feature Type]]="Specimen",MAX(INDIRECT(CONCATENATE("R",ROW(SamplingFeatures[#Headers]),"C",COLUMN(),":R",ROW()-1,"C",COLUMN()),FALSE))+1,"")</f>
        <v/>
      </c>
      <c r="P35" s="247"/>
      <c r="Q35" s="241"/>
      <c r="R35" s="241"/>
    </row>
    <row r="36" spans="1:18" x14ac:dyDescent="0.25">
      <c r="A36" s="139"/>
      <c r="B36" s="10"/>
      <c r="C36" s="10"/>
      <c r="D36" s="10"/>
      <c r="E36" s="11"/>
      <c r="F36" s="44"/>
      <c r="G36" s="12"/>
      <c r="H36" s="12"/>
      <c r="I36" s="12"/>
      <c r="J36" s="47" t="str">
        <f ca="1">IF(SamplingFeatures[[#This Row],[Feature IGSN]]&lt;&gt;"",MAX(INDIRECT(CONCATENATE("R",ROW(SamplingFeatures[#Headers]),"C",COLUMN(),":R",ROW()-1,"C",COLUMN()),FALSE))+1,"")</f>
        <v/>
      </c>
      <c r="K36" s="126" t="str">
        <f ca="1">IF(SamplingFeatures[[#This Row],[Sampling Feature Type]]="Site",MAX(INDIRECT(CONCATENATE("R",ROW(SamplingFeatures[#Headers]),"C",COLUMN(),":R",ROW()-1,"C",COLUMN()),FALSE))+1,"")</f>
        <v/>
      </c>
      <c r="L36" s="247"/>
      <c r="M36" s="241"/>
      <c r="N36" s="241"/>
      <c r="O36" s="47" t="str">
        <f ca="1">IF(SamplingFeatures[[#This Row],[Sampling Feature Type]]="Specimen",MAX(INDIRECT(CONCATENATE("R",ROW(SamplingFeatures[#Headers]),"C",COLUMN(),":R",ROW()-1,"C",COLUMN()),FALSE))+1,"")</f>
        <v/>
      </c>
      <c r="P36" s="247"/>
      <c r="Q36" s="241"/>
      <c r="R36" s="241"/>
    </row>
    <row r="37" spans="1:18" x14ac:dyDescent="0.25">
      <c r="A37" s="139"/>
      <c r="B37" s="10"/>
      <c r="C37" s="10"/>
      <c r="D37" s="10"/>
      <c r="E37" s="11"/>
      <c r="F37" s="44"/>
      <c r="G37" s="12"/>
      <c r="H37" s="12"/>
      <c r="I37" s="12"/>
      <c r="J37" s="47" t="str">
        <f ca="1">IF(SamplingFeatures[[#This Row],[Feature IGSN]]&lt;&gt;"",MAX(INDIRECT(CONCATENATE("R",ROW(SamplingFeatures[#Headers]),"C",COLUMN(),":R",ROW()-1,"C",COLUMN()),FALSE))+1,"")</f>
        <v/>
      </c>
      <c r="K37" s="126" t="str">
        <f ca="1">IF(SamplingFeatures[[#This Row],[Sampling Feature Type]]="Site",MAX(INDIRECT(CONCATENATE("R",ROW(SamplingFeatures[#Headers]),"C",COLUMN(),":R",ROW()-1,"C",COLUMN()),FALSE))+1,"")</f>
        <v/>
      </c>
      <c r="L37" s="247"/>
      <c r="M37" s="241"/>
      <c r="N37" s="241"/>
      <c r="O37" s="47" t="str">
        <f ca="1">IF(SamplingFeatures[[#This Row],[Sampling Feature Type]]="Specimen",MAX(INDIRECT(CONCATENATE("R",ROW(SamplingFeatures[#Headers]),"C",COLUMN(),":R",ROW()-1,"C",COLUMN()),FALSE))+1,"")</f>
        <v/>
      </c>
      <c r="P37" s="247"/>
      <c r="Q37" s="241"/>
      <c r="R37" s="241"/>
    </row>
    <row r="38" spans="1:18" x14ac:dyDescent="0.25">
      <c r="A38" s="139"/>
      <c r="B38" s="10"/>
      <c r="C38" s="10"/>
      <c r="D38" s="10"/>
      <c r="E38" s="11"/>
      <c r="F38" s="44"/>
      <c r="G38" s="12"/>
      <c r="H38" s="12"/>
      <c r="I38" s="12"/>
      <c r="J38" s="47" t="str">
        <f ca="1">IF(SamplingFeatures[[#This Row],[Feature IGSN]]&lt;&gt;"",MAX(INDIRECT(CONCATENATE("R",ROW(SamplingFeatures[#Headers]),"C",COLUMN(),":R",ROW()-1,"C",COLUMN()),FALSE))+1,"")</f>
        <v/>
      </c>
      <c r="K38" s="126" t="str">
        <f ca="1">IF(SamplingFeatures[[#This Row],[Sampling Feature Type]]="Site",MAX(INDIRECT(CONCATENATE("R",ROW(SamplingFeatures[#Headers]),"C",COLUMN(),":R",ROW()-1,"C",COLUMN()),FALSE))+1,"")</f>
        <v/>
      </c>
      <c r="L38" s="247"/>
      <c r="M38" s="241"/>
      <c r="N38" s="241"/>
      <c r="O38" s="47" t="str">
        <f ca="1">IF(SamplingFeatures[[#This Row],[Sampling Feature Type]]="Specimen",MAX(INDIRECT(CONCATENATE("R",ROW(SamplingFeatures[#Headers]),"C",COLUMN(),":R",ROW()-1,"C",COLUMN()),FALSE))+1,"")</f>
        <v/>
      </c>
      <c r="P38" s="247"/>
      <c r="Q38" s="241"/>
      <c r="R38" s="241"/>
    </row>
    <row r="39" spans="1:18" x14ac:dyDescent="0.25">
      <c r="A39" s="139"/>
      <c r="B39" s="10"/>
      <c r="C39" s="10"/>
      <c r="D39" s="10"/>
      <c r="E39" s="11"/>
      <c r="F39" s="44"/>
      <c r="G39" s="12"/>
      <c r="H39" s="12"/>
      <c r="I39" s="12"/>
      <c r="J39" s="47" t="str">
        <f ca="1">IF(SamplingFeatures[[#This Row],[Feature IGSN]]&lt;&gt;"",MAX(INDIRECT(CONCATENATE("R",ROW(SamplingFeatures[#Headers]),"C",COLUMN(),":R",ROW()-1,"C",COLUMN()),FALSE))+1,"")</f>
        <v/>
      </c>
      <c r="K39" s="126" t="str">
        <f ca="1">IF(SamplingFeatures[[#This Row],[Sampling Feature Type]]="Site",MAX(INDIRECT(CONCATENATE("R",ROW(SamplingFeatures[#Headers]),"C",COLUMN(),":R",ROW()-1,"C",COLUMN()),FALSE))+1,"")</f>
        <v/>
      </c>
      <c r="L39" s="247"/>
      <c r="M39" s="241"/>
      <c r="N39" s="241"/>
      <c r="O39" s="47" t="str">
        <f ca="1">IF(SamplingFeatures[[#This Row],[Sampling Feature Type]]="Specimen",MAX(INDIRECT(CONCATENATE("R",ROW(SamplingFeatures[#Headers]),"C",COLUMN(),":R",ROW()-1,"C",COLUMN()),FALSE))+1,"")</f>
        <v/>
      </c>
      <c r="P39" s="247"/>
      <c r="Q39" s="241"/>
      <c r="R39" s="241"/>
    </row>
    <row r="40" spans="1:18" x14ac:dyDescent="0.25">
      <c r="A40" s="139"/>
      <c r="B40" s="10"/>
      <c r="C40" s="10"/>
      <c r="D40" s="10"/>
      <c r="E40" s="11"/>
      <c r="F40" s="44"/>
      <c r="G40" s="12"/>
      <c r="H40" s="12"/>
      <c r="I40" s="12"/>
      <c r="J40" s="47" t="str">
        <f ca="1">IF(SamplingFeatures[[#This Row],[Feature IGSN]]&lt;&gt;"",MAX(INDIRECT(CONCATENATE("R",ROW(SamplingFeatures[#Headers]),"C",COLUMN(),":R",ROW()-1,"C",COLUMN()),FALSE))+1,"")</f>
        <v/>
      </c>
      <c r="K40" s="126" t="str">
        <f ca="1">IF(SamplingFeatures[[#This Row],[Sampling Feature Type]]="Site",MAX(INDIRECT(CONCATENATE("R",ROW(SamplingFeatures[#Headers]),"C",COLUMN(),":R",ROW()-1,"C",COLUMN()),FALSE))+1,"")</f>
        <v/>
      </c>
      <c r="L40" s="247"/>
      <c r="M40" s="241"/>
      <c r="N40" s="241"/>
      <c r="O40" s="47" t="str">
        <f ca="1">IF(SamplingFeatures[[#This Row],[Sampling Feature Type]]="Specimen",MAX(INDIRECT(CONCATENATE("R",ROW(SamplingFeatures[#Headers]),"C",COLUMN(),":R",ROW()-1,"C",COLUMN()),FALSE))+1,"")</f>
        <v/>
      </c>
      <c r="P40" s="247"/>
      <c r="Q40" s="241"/>
      <c r="R40" s="241"/>
    </row>
    <row r="41" spans="1:18" x14ac:dyDescent="0.25">
      <c r="A41" s="139"/>
      <c r="B41" s="10"/>
      <c r="C41" s="10"/>
      <c r="D41" s="10"/>
      <c r="E41" s="11"/>
      <c r="F41" s="44"/>
      <c r="G41" s="12"/>
      <c r="H41" s="12"/>
      <c r="I41" s="12"/>
      <c r="J41" s="47" t="str">
        <f ca="1">IF(SamplingFeatures[[#This Row],[Feature IGSN]]&lt;&gt;"",MAX(INDIRECT(CONCATENATE("R",ROW(SamplingFeatures[#Headers]),"C",COLUMN(),":R",ROW()-1,"C",COLUMN()),FALSE))+1,"")</f>
        <v/>
      </c>
      <c r="K41" s="126" t="str">
        <f ca="1">IF(SamplingFeatures[[#This Row],[Sampling Feature Type]]="Site",MAX(INDIRECT(CONCATENATE("R",ROW(SamplingFeatures[#Headers]),"C",COLUMN(),":R",ROW()-1,"C",COLUMN()),FALSE))+1,"")</f>
        <v/>
      </c>
      <c r="L41" s="247"/>
      <c r="M41" s="241"/>
      <c r="N41" s="241"/>
      <c r="O41" s="47" t="str">
        <f ca="1">IF(SamplingFeatures[[#This Row],[Sampling Feature Type]]="Specimen",MAX(INDIRECT(CONCATENATE("R",ROW(SamplingFeatures[#Headers]),"C",COLUMN(),":R",ROW()-1,"C",COLUMN()),FALSE))+1,"")</f>
        <v/>
      </c>
      <c r="P41" s="247"/>
      <c r="Q41" s="241"/>
      <c r="R41" s="241"/>
    </row>
    <row r="42" spans="1:18" x14ac:dyDescent="0.25">
      <c r="A42" s="139"/>
      <c r="B42" s="10"/>
      <c r="C42" s="10"/>
      <c r="D42" s="10"/>
      <c r="E42" s="11"/>
      <c r="F42" s="44"/>
      <c r="G42" s="12"/>
      <c r="H42" s="12"/>
      <c r="I42" s="12"/>
      <c r="J42" s="47" t="str">
        <f ca="1">IF(SamplingFeatures[[#This Row],[Feature IGSN]]&lt;&gt;"",MAX(INDIRECT(CONCATENATE("R",ROW(SamplingFeatures[#Headers]),"C",COLUMN(),":R",ROW()-1,"C",COLUMN()),FALSE))+1,"")</f>
        <v/>
      </c>
      <c r="K42" s="126" t="str">
        <f ca="1">IF(SamplingFeatures[[#This Row],[Sampling Feature Type]]="Site",MAX(INDIRECT(CONCATENATE("R",ROW(SamplingFeatures[#Headers]),"C",COLUMN(),":R",ROW()-1,"C",COLUMN()),FALSE))+1,"")</f>
        <v/>
      </c>
      <c r="L42" s="247"/>
      <c r="M42" s="241"/>
      <c r="N42" s="241"/>
      <c r="O42" s="47" t="str">
        <f ca="1">IF(SamplingFeatures[[#This Row],[Sampling Feature Type]]="Specimen",MAX(INDIRECT(CONCATENATE("R",ROW(SamplingFeatures[#Headers]),"C",COLUMN(),":R",ROW()-1,"C",COLUMN()),FALSE))+1,"")</f>
        <v/>
      </c>
      <c r="P42" s="247"/>
      <c r="Q42" s="241"/>
      <c r="R42" s="241"/>
    </row>
    <row r="43" spans="1:18" x14ac:dyDescent="0.25">
      <c r="A43" s="139"/>
      <c r="B43" s="10"/>
      <c r="C43" s="10"/>
      <c r="D43" s="10"/>
      <c r="E43" s="11"/>
      <c r="F43" s="44"/>
      <c r="G43" s="12"/>
      <c r="H43" s="12"/>
      <c r="I43" s="12"/>
      <c r="J43" s="47" t="str">
        <f ca="1">IF(SamplingFeatures[[#This Row],[Feature IGSN]]&lt;&gt;"",MAX(INDIRECT(CONCATENATE("R",ROW(SamplingFeatures[#Headers]),"C",COLUMN(),":R",ROW()-1,"C",COLUMN()),FALSE))+1,"")</f>
        <v/>
      </c>
      <c r="K43" s="126" t="str">
        <f ca="1">IF(SamplingFeatures[[#This Row],[Sampling Feature Type]]="Site",MAX(INDIRECT(CONCATENATE("R",ROW(SamplingFeatures[#Headers]),"C",COLUMN(),":R",ROW()-1,"C",COLUMN()),FALSE))+1,"")</f>
        <v/>
      </c>
      <c r="L43" s="247"/>
      <c r="M43" s="241"/>
      <c r="N43" s="241"/>
      <c r="O43" s="47" t="str">
        <f ca="1">IF(SamplingFeatures[[#This Row],[Sampling Feature Type]]="Specimen",MAX(INDIRECT(CONCATENATE("R",ROW(SamplingFeatures[#Headers]),"C",COLUMN(),":R",ROW()-1,"C",COLUMN()),FALSE))+1,"")</f>
        <v/>
      </c>
      <c r="P43" s="247"/>
      <c r="Q43" s="241"/>
      <c r="R43" s="241"/>
    </row>
    <row r="44" spans="1:18" x14ac:dyDescent="0.25">
      <c r="A44" s="139"/>
      <c r="B44" s="10"/>
      <c r="C44" s="10"/>
      <c r="D44" s="10"/>
      <c r="E44" s="11"/>
      <c r="F44" s="44"/>
      <c r="G44" s="12"/>
      <c r="H44" s="12"/>
      <c r="I44" s="12"/>
      <c r="J44" s="47" t="str">
        <f ca="1">IF(SamplingFeatures[[#This Row],[Feature IGSN]]&lt;&gt;"",MAX(INDIRECT(CONCATENATE("R",ROW(SamplingFeatures[#Headers]),"C",COLUMN(),":R",ROW()-1,"C",COLUMN()),FALSE))+1,"")</f>
        <v/>
      </c>
      <c r="K44" s="126" t="str">
        <f ca="1">IF(SamplingFeatures[[#This Row],[Sampling Feature Type]]="Site",MAX(INDIRECT(CONCATENATE("R",ROW(SamplingFeatures[#Headers]),"C",COLUMN(),":R",ROW()-1,"C",COLUMN()),FALSE))+1,"")</f>
        <v/>
      </c>
      <c r="L44" s="247"/>
      <c r="M44" s="241"/>
      <c r="N44" s="241"/>
      <c r="O44" s="47" t="str">
        <f ca="1">IF(SamplingFeatures[[#This Row],[Sampling Feature Type]]="Specimen",MAX(INDIRECT(CONCATENATE("R",ROW(SamplingFeatures[#Headers]),"C",COLUMN(),":R",ROW()-1,"C",COLUMN()),FALSE))+1,"")</f>
        <v/>
      </c>
      <c r="P44" s="247"/>
      <c r="Q44" s="241"/>
      <c r="R44" s="241"/>
    </row>
    <row r="45" spans="1:18" x14ac:dyDescent="0.25">
      <c r="A45" s="139"/>
      <c r="B45" s="10"/>
      <c r="C45" s="10"/>
      <c r="D45" s="10"/>
      <c r="E45" s="11"/>
      <c r="F45" s="44"/>
      <c r="G45" s="12"/>
      <c r="H45" s="12"/>
      <c r="I45" s="12"/>
      <c r="J45" s="47" t="str">
        <f ca="1">IF(SamplingFeatures[[#This Row],[Feature IGSN]]&lt;&gt;"",MAX(INDIRECT(CONCATENATE("R",ROW(SamplingFeatures[#Headers]),"C",COLUMN(),":R",ROW()-1,"C",COLUMN()),FALSE))+1,"")</f>
        <v/>
      </c>
      <c r="K45" s="126" t="str">
        <f ca="1">IF(SamplingFeatures[[#This Row],[Sampling Feature Type]]="Site",MAX(INDIRECT(CONCATENATE("R",ROW(SamplingFeatures[#Headers]),"C",COLUMN(),":R",ROW()-1,"C",COLUMN()),FALSE))+1,"")</f>
        <v/>
      </c>
      <c r="L45" s="247"/>
      <c r="M45" s="241"/>
      <c r="N45" s="241"/>
      <c r="O45" s="47" t="str">
        <f ca="1">IF(SamplingFeatures[[#This Row],[Sampling Feature Type]]="Specimen",MAX(INDIRECT(CONCATENATE("R",ROW(SamplingFeatures[#Headers]),"C",COLUMN(),":R",ROW()-1,"C",COLUMN()),FALSE))+1,"")</f>
        <v/>
      </c>
      <c r="P45" s="247"/>
      <c r="Q45" s="241"/>
      <c r="R45" s="241"/>
    </row>
    <row r="46" spans="1:18" x14ac:dyDescent="0.25">
      <c r="A46" s="139"/>
      <c r="B46" s="10"/>
      <c r="C46" s="10"/>
      <c r="D46" s="10"/>
      <c r="E46" s="11"/>
      <c r="F46" s="44"/>
      <c r="G46" s="12"/>
      <c r="H46" s="12"/>
      <c r="I46" s="12"/>
      <c r="J46" s="47" t="str">
        <f ca="1">IF(SamplingFeatures[[#This Row],[Feature IGSN]]&lt;&gt;"",MAX(INDIRECT(CONCATENATE("R",ROW(SamplingFeatures[#Headers]),"C",COLUMN(),":R",ROW()-1,"C",COLUMN()),FALSE))+1,"")</f>
        <v/>
      </c>
      <c r="K46" s="126" t="str">
        <f ca="1">IF(SamplingFeatures[[#This Row],[Sampling Feature Type]]="Site",MAX(INDIRECT(CONCATENATE("R",ROW(SamplingFeatures[#Headers]),"C",COLUMN(),":R",ROW()-1,"C",COLUMN()),FALSE))+1,"")</f>
        <v/>
      </c>
      <c r="L46" s="247"/>
      <c r="M46" s="241"/>
      <c r="N46" s="241"/>
      <c r="O46" s="47" t="str">
        <f ca="1">IF(SamplingFeatures[[#This Row],[Sampling Feature Type]]="Specimen",MAX(INDIRECT(CONCATENATE("R",ROW(SamplingFeatures[#Headers]),"C",COLUMN(),":R",ROW()-1,"C",COLUMN()),FALSE))+1,"")</f>
        <v/>
      </c>
      <c r="P46" s="247"/>
      <c r="Q46" s="241"/>
      <c r="R46" s="241"/>
    </row>
    <row r="47" spans="1:18" x14ac:dyDescent="0.25">
      <c r="A47" s="139"/>
      <c r="B47" s="10"/>
      <c r="C47" s="10"/>
      <c r="D47" s="10"/>
      <c r="E47" s="11"/>
      <c r="F47" s="44"/>
      <c r="G47" s="12"/>
      <c r="H47" s="12"/>
      <c r="I47" s="12"/>
      <c r="J47" s="47" t="str">
        <f ca="1">IF(SamplingFeatures[[#This Row],[Feature IGSN]]&lt;&gt;"",MAX(INDIRECT(CONCATENATE("R",ROW(SamplingFeatures[#Headers]),"C",COLUMN(),":R",ROW()-1,"C",COLUMN()),FALSE))+1,"")</f>
        <v/>
      </c>
      <c r="K47" s="126" t="str">
        <f ca="1">IF(SamplingFeatures[[#This Row],[Sampling Feature Type]]="Site",MAX(INDIRECT(CONCATENATE("R",ROW(SamplingFeatures[#Headers]),"C",COLUMN(),":R",ROW()-1,"C",COLUMN()),FALSE))+1,"")</f>
        <v/>
      </c>
      <c r="L47" s="247"/>
      <c r="M47" s="241"/>
      <c r="N47" s="241"/>
      <c r="O47" s="47" t="str">
        <f ca="1">IF(SamplingFeatures[[#This Row],[Sampling Feature Type]]="Specimen",MAX(INDIRECT(CONCATENATE("R",ROW(SamplingFeatures[#Headers]),"C",COLUMN(),":R",ROW()-1,"C",COLUMN()),FALSE))+1,"")</f>
        <v/>
      </c>
      <c r="P47" s="247"/>
      <c r="Q47" s="241"/>
      <c r="R47" s="241"/>
    </row>
    <row r="48" spans="1:18" x14ac:dyDescent="0.25">
      <c r="A48" s="139"/>
      <c r="B48" s="10"/>
      <c r="C48" s="10"/>
      <c r="D48" s="10"/>
      <c r="E48" s="11"/>
      <c r="F48" s="44"/>
      <c r="G48" s="12"/>
      <c r="H48" s="12"/>
      <c r="I48" s="12"/>
      <c r="J48" s="47" t="str">
        <f ca="1">IF(SamplingFeatures[[#This Row],[Feature IGSN]]&lt;&gt;"",MAX(INDIRECT(CONCATENATE("R",ROW(SamplingFeatures[#Headers]),"C",COLUMN(),":R",ROW()-1,"C",COLUMN()),FALSE))+1,"")</f>
        <v/>
      </c>
      <c r="K48" s="126" t="str">
        <f ca="1">IF(SamplingFeatures[[#This Row],[Sampling Feature Type]]="Site",MAX(INDIRECT(CONCATENATE("R",ROW(SamplingFeatures[#Headers]),"C",COLUMN(),":R",ROW()-1,"C",COLUMN()),FALSE))+1,"")</f>
        <v/>
      </c>
      <c r="L48" s="247"/>
      <c r="M48" s="241"/>
      <c r="N48" s="241"/>
      <c r="O48" s="47" t="str">
        <f ca="1">IF(SamplingFeatures[[#This Row],[Sampling Feature Type]]="Specimen",MAX(INDIRECT(CONCATENATE("R",ROW(SamplingFeatures[#Headers]),"C",COLUMN(),":R",ROW()-1,"C",COLUMN()),FALSE))+1,"")</f>
        <v/>
      </c>
      <c r="P48" s="247"/>
      <c r="Q48" s="241"/>
      <c r="R48" s="241"/>
    </row>
    <row r="49" spans="1:18" x14ac:dyDescent="0.25">
      <c r="A49" s="139"/>
      <c r="B49" s="10"/>
      <c r="C49" s="10"/>
      <c r="D49" s="10"/>
      <c r="E49" s="11"/>
      <c r="F49" s="44"/>
      <c r="G49" s="12"/>
      <c r="H49" s="12"/>
      <c r="I49" s="12"/>
      <c r="J49" s="47" t="str">
        <f ca="1">IF(SamplingFeatures[[#This Row],[Feature IGSN]]&lt;&gt;"",MAX(INDIRECT(CONCATENATE("R",ROW(SamplingFeatures[#Headers]),"C",COLUMN(),":R",ROW()-1,"C",COLUMN()),FALSE))+1,"")</f>
        <v/>
      </c>
      <c r="K49" s="126" t="str">
        <f ca="1">IF(SamplingFeatures[[#This Row],[Sampling Feature Type]]="Site",MAX(INDIRECT(CONCATENATE("R",ROW(SamplingFeatures[#Headers]),"C",COLUMN(),":R",ROW()-1,"C",COLUMN()),FALSE))+1,"")</f>
        <v/>
      </c>
      <c r="L49" s="247"/>
      <c r="M49" s="241"/>
      <c r="N49" s="241"/>
      <c r="O49" s="47" t="str">
        <f ca="1">IF(SamplingFeatures[[#This Row],[Sampling Feature Type]]="Specimen",MAX(INDIRECT(CONCATENATE("R",ROW(SamplingFeatures[#Headers]),"C",COLUMN(),":R",ROW()-1,"C",COLUMN()),FALSE))+1,"")</f>
        <v/>
      </c>
      <c r="P49" s="247"/>
      <c r="Q49" s="241"/>
      <c r="R49" s="241"/>
    </row>
    <row r="50" spans="1:18" x14ac:dyDescent="0.25">
      <c r="A50" s="139"/>
      <c r="B50" s="10"/>
      <c r="C50" s="10"/>
      <c r="D50" s="10"/>
      <c r="E50" s="11"/>
      <c r="F50" s="44"/>
      <c r="G50" s="12"/>
      <c r="H50" s="12"/>
      <c r="I50" s="12"/>
      <c r="J50" s="47" t="str">
        <f ca="1">IF(SamplingFeatures[[#This Row],[Feature IGSN]]&lt;&gt;"",MAX(INDIRECT(CONCATENATE("R",ROW(SamplingFeatures[#Headers]),"C",COLUMN(),":R",ROW()-1,"C",COLUMN()),FALSE))+1,"")</f>
        <v/>
      </c>
      <c r="K50" s="126" t="str">
        <f ca="1">IF(SamplingFeatures[[#This Row],[Sampling Feature Type]]="Site",MAX(INDIRECT(CONCATENATE("R",ROW(SamplingFeatures[#Headers]),"C",COLUMN(),":R",ROW()-1,"C",COLUMN()),FALSE))+1,"")</f>
        <v/>
      </c>
      <c r="L50" s="247"/>
      <c r="M50" s="241"/>
      <c r="N50" s="241"/>
      <c r="O50" s="47" t="str">
        <f ca="1">IF(SamplingFeatures[[#This Row],[Sampling Feature Type]]="Specimen",MAX(INDIRECT(CONCATENATE("R",ROW(SamplingFeatures[#Headers]),"C",COLUMN(),":R",ROW()-1,"C",COLUMN()),FALSE))+1,"")</f>
        <v/>
      </c>
      <c r="P50" s="247"/>
      <c r="Q50" s="241"/>
      <c r="R50" s="241"/>
    </row>
    <row r="51" spans="1:18" x14ac:dyDescent="0.25">
      <c r="A51" s="139"/>
      <c r="B51" s="10"/>
      <c r="C51" s="10"/>
      <c r="D51" s="10"/>
      <c r="E51" s="11"/>
      <c r="F51" s="44"/>
      <c r="G51" s="12"/>
      <c r="H51" s="12"/>
      <c r="I51" s="12"/>
      <c r="J51" s="47" t="str">
        <f ca="1">IF(SamplingFeatures[[#This Row],[Feature IGSN]]&lt;&gt;"",MAX(INDIRECT(CONCATENATE("R",ROW(SamplingFeatures[#Headers]),"C",COLUMN(),":R",ROW()-1,"C",COLUMN()),FALSE))+1,"")</f>
        <v/>
      </c>
      <c r="K51" s="126" t="str">
        <f ca="1">IF(SamplingFeatures[[#This Row],[Sampling Feature Type]]="Site",MAX(INDIRECT(CONCATENATE("R",ROW(SamplingFeatures[#Headers]),"C",COLUMN(),":R",ROW()-1,"C",COLUMN()),FALSE))+1,"")</f>
        <v/>
      </c>
      <c r="L51" s="247"/>
      <c r="M51" s="241"/>
      <c r="N51" s="241"/>
      <c r="O51" s="47" t="str">
        <f ca="1">IF(SamplingFeatures[[#This Row],[Sampling Feature Type]]="Specimen",MAX(INDIRECT(CONCATENATE("R",ROW(SamplingFeatures[#Headers]),"C",COLUMN(),":R",ROW()-1,"C",COLUMN()),FALSE))+1,"")</f>
        <v/>
      </c>
      <c r="P51" s="247"/>
      <c r="Q51" s="241"/>
      <c r="R51" s="241"/>
    </row>
    <row r="52" spans="1:18" x14ac:dyDescent="0.25">
      <c r="A52" s="139"/>
      <c r="B52" s="10"/>
      <c r="C52" s="10"/>
      <c r="D52" s="10"/>
      <c r="E52" s="11"/>
      <c r="F52" s="44"/>
      <c r="G52" s="12"/>
      <c r="H52" s="12"/>
      <c r="I52" s="12"/>
      <c r="J52" s="47" t="str">
        <f ca="1">IF(SamplingFeatures[[#This Row],[Feature IGSN]]&lt;&gt;"",MAX(INDIRECT(CONCATENATE("R",ROW(SamplingFeatures[#Headers]),"C",COLUMN(),":R",ROW()-1,"C",COLUMN()),FALSE))+1,"")</f>
        <v/>
      </c>
      <c r="K52" s="126" t="str">
        <f ca="1">IF(SamplingFeatures[[#This Row],[Sampling Feature Type]]="Site",MAX(INDIRECT(CONCATENATE("R",ROW(SamplingFeatures[#Headers]),"C",COLUMN(),":R",ROW()-1,"C",COLUMN()),FALSE))+1,"")</f>
        <v/>
      </c>
      <c r="L52" s="247"/>
      <c r="M52" s="241"/>
      <c r="N52" s="241"/>
      <c r="O52" s="47" t="str">
        <f ca="1">IF(SamplingFeatures[[#This Row],[Sampling Feature Type]]="Specimen",MAX(INDIRECT(CONCATENATE("R",ROW(SamplingFeatures[#Headers]),"C",COLUMN(),":R",ROW()-1,"C",COLUMN()),FALSE))+1,"")</f>
        <v/>
      </c>
      <c r="P52" s="247"/>
      <c r="Q52" s="241"/>
      <c r="R52" s="241"/>
    </row>
    <row r="53" spans="1:18" x14ac:dyDescent="0.25">
      <c r="A53" s="139"/>
      <c r="B53" s="10"/>
      <c r="C53" s="10"/>
      <c r="D53" s="10"/>
      <c r="E53" s="11"/>
      <c r="F53" s="44"/>
      <c r="G53" s="12"/>
      <c r="H53" s="12"/>
      <c r="I53" s="12"/>
      <c r="J53" s="47" t="str">
        <f ca="1">IF(SamplingFeatures[[#This Row],[Feature IGSN]]&lt;&gt;"",MAX(INDIRECT(CONCATENATE("R",ROW(SamplingFeatures[#Headers]),"C",COLUMN(),":R",ROW()-1,"C",COLUMN()),FALSE))+1,"")</f>
        <v/>
      </c>
      <c r="K53" s="126" t="str">
        <f ca="1">IF(SamplingFeatures[[#This Row],[Sampling Feature Type]]="Site",MAX(INDIRECT(CONCATENATE("R",ROW(SamplingFeatures[#Headers]),"C",COLUMN(),":R",ROW()-1,"C",COLUMN()),FALSE))+1,"")</f>
        <v/>
      </c>
      <c r="L53" s="247"/>
      <c r="M53" s="241"/>
      <c r="N53" s="241"/>
      <c r="O53" s="47" t="str">
        <f ca="1">IF(SamplingFeatures[[#This Row],[Sampling Feature Type]]="Specimen",MAX(INDIRECT(CONCATENATE("R",ROW(SamplingFeatures[#Headers]),"C",COLUMN(),":R",ROW()-1,"C",COLUMN()),FALSE))+1,"")</f>
        <v/>
      </c>
      <c r="P53" s="247"/>
      <c r="Q53" s="241"/>
      <c r="R53" s="241"/>
    </row>
    <row r="54" spans="1:18" x14ac:dyDescent="0.25">
      <c r="A54" s="139"/>
      <c r="B54" s="10"/>
      <c r="C54" s="10"/>
      <c r="D54" s="10"/>
      <c r="E54" s="11"/>
      <c r="F54" s="44"/>
      <c r="G54" s="12"/>
      <c r="H54" s="12"/>
      <c r="I54" s="12"/>
      <c r="J54" s="47" t="str">
        <f ca="1">IF(SamplingFeatures[[#This Row],[Feature IGSN]]&lt;&gt;"",MAX(INDIRECT(CONCATENATE("R",ROW(SamplingFeatures[#Headers]),"C",COLUMN(),":R",ROW()-1,"C",COLUMN()),FALSE))+1,"")</f>
        <v/>
      </c>
      <c r="K54" s="126" t="str">
        <f ca="1">IF(SamplingFeatures[[#This Row],[Sampling Feature Type]]="Site",MAX(INDIRECT(CONCATENATE("R",ROW(SamplingFeatures[#Headers]),"C",COLUMN(),":R",ROW()-1,"C",COLUMN()),FALSE))+1,"")</f>
        <v/>
      </c>
      <c r="L54" s="247"/>
      <c r="M54" s="241"/>
      <c r="N54" s="241"/>
      <c r="O54" s="47" t="str">
        <f ca="1">IF(SamplingFeatures[[#This Row],[Sampling Feature Type]]="Specimen",MAX(INDIRECT(CONCATENATE("R",ROW(SamplingFeatures[#Headers]),"C",COLUMN(),":R",ROW()-1,"C",COLUMN()),FALSE))+1,"")</f>
        <v/>
      </c>
      <c r="P54" s="247"/>
      <c r="Q54" s="241"/>
      <c r="R54" s="241"/>
    </row>
    <row r="55" spans="1:18" x14ac:dyDescent="0.25">
      <c r="A55" s="139"/>
      <c r="B55" s="10"/>
      <c r="C55" s="10"/>
      <c r="D55" s="10"/>
      <c r="E55" s="11"/>
      <c r="F55" s="44"/>
      <c r="G55" s="12"/>
      <c r="H55" s="12"/>
      <c r="I55" s="12"/>
      <c r="J55" s="47" t="str">
        <f ca="1">IF(SamplingFeatures[[#This Row],[Feature IGSN]]&lt;&gt;"",MAX(INDIRECT(CONCATENATE("R",ROW(SamplingFeatures[#Headers]),"C",COLUMN(),":R",ROW()-1,"C",COLUMN()),FALSE))+1,"")</f>
        <v/>
      </c>
      <c r="K55" s="126" t="str">
        <f ca="1">IF(SamplingFeatures[[#This Row],[Sampling Feature Type]]="Site",MAX(INDIRECT(CONCATENATE("R",ROW(SamplingFeatures[#Headers]),"C",COLUMN(),":R",ROW()-1,"C",COLUMN()),FALSE))+1,"")</f>
        <v/>
      </c>
      <c r="L55" s="247"/>
      <c r="M55" s="241"/>
      <c r="N55" s="241"/>
      <c r="O55" s="47" t="str">
        <f ca="1">IF(SamplingFeatures[[#This Row],[Sampling Feature Type]]="Specimen",MAX(INDIRECT(CONCATENATE("R",ROW(SamplingFeatures[#Headers]),"C",COLUMN(),":R",ROW()-1,"C",COLUMN()),FALSE))+1,"")</f>
        <v/>
      </c>
      <c r="P55" s="247"/>
      <c r="Q55" s="241"/>
      <c r="R55" s="241"/>
    </row>
    <row r="56" spans="1:18" x14ac:dyDescent="0.25">
      <c r="A56" s="139"/>
      <c r="B56" s="10"/>
      <c r="C56" s="10"/>
      <c r="D56" s="10"/>
      <c r="E56" s="11"/>
      <c r="F56" s="44"/>
      <c r="G56" s="12"/>
      <c r="H56" s="12"/>
      <c r="I56" s="12"/>
      <c r="J56" s="47" t="str">
        <f ca="1">IF(SamplingFeatures[[#This Row],[Feature IGSN]]&lt;&gt;"",MAX(INDIRECT(CONCATENATE("R",ROW(SamplingFeatures[#Headers]),"C",COLUMN(),":R",ROW()-1,"C",COLUMN()),FALSE))+1,"")</f>
        <v/>
      </c>
      <c r="K56" s="126" t="str">
        <f ca="1">IF(SamplingFeatures[[#This Row],[Sampling Feature Type]]="Site",MAX(INDIRECT(CONCATENATE("R",ROW(SamplingFeatures[#Headers]),"C",COLUMN(),":R",ROW()-1,"C",COLUMN()),FALSE))+1,"")</f>
        <v/>
      </c>
      <c r="L56" s="247"/>
      <c r="M56" s="241"/>
      <c r="N56" s="241"/>
      <c r="O56" s="47" t="str">
        <f ca="1">IF(SamplingFeatures[[#This Row],[Sampling Feature Type]]="Specimen",MAX(INDIRECT(CONCATENATE("R",ROW(SamplingFeatures[#Headers]),"C",COLUMN(),":R",ROW()-1,"C",COLUMN()),FALSE))+1,"")</f>
        <v/>
      </c>
      <c r="P56" s="247"/>
      <c r="Q56" s="241"/>
      <c r="R56" s="241"/>
    </row>
    <row r="57" spans="1:18" x14ac:dyDescent="0.25">
      <c r="A57" s="139"/>
      <c r="B57" s="10"/>
      <c r="C57" s="10"/>
      <c r="D57" s="10"/>
      <c r="E57" s="11"/>
      <c r="F57" s="44"/>
      <c r="G57" s="12"/>
      <c r="H57" s="12"/>
      <c r="I57" s="12"/>
      <c r="J57" s="47" t="str">
        <f ca="1">IF(SamplingFeatures[[#This Row],[Feature IGSN]]&lt;&gt;"",MAX(INDIRECT(CONCATENATE("R",ROW(SamplingFeatures[#Headers]),"C",COLUMN(),":R",ROW()-1,"C",COLUMN()),FALSE))+1,"")</f>
        <v/>
      </c>
      <c r="K57" s="126" t="str">
        <f ca="1">IF(SamplingFeatures[[#This Row],[Sampling Feature Type]]="Site",MAX(INDIRECT(CONCATENATE("R",ROW(SamplingFeatures[#Headers]),"C",COLUMN(),":R",ROW()-1,"C",COLUMN()),FALSE))+1,"")</f>
        <v/>
      </c>
      <c r="L57" s="247"/>
      <c r="M57" s="241"/>
      <c r="N57" s="241"/>
      <c r="O57" s="47" t="str">
        <f ca="1">IF(SamplingFeatures[[#This Row],[Sampling Feature Type]]="Specimen",MAX(INDIRECT(CONCATENATE("R",ROW(SamplingFeatures[#Headers]),"C",COLUMN(),":R",ROW()-1,"C",COLUMN()),FALSE))+1,"")</f>
        <v/>
      </c>
      <c r="P57" s="247"/>
      <c r="Q57" s="241"/>
      <c r="R57" s="241"/>
    </row>
    <row r="58" spans="1:18" x14ac:dyDescent="0.25">
      <c r="A58" s="139"/>
      <c r="B58" s="10"/>
      <c r="C58" s="10"/>
      <c r="D58" s="10"/>
      <c r="E58" s="11"/>
      <c r="F58" s="44"/>
      <c r="G58" s="12"/>
      <c r="H58" s="12"/>
      <c r="I58" s="12"/>
      <c r="J58" s="47" t="str">
        <f ca="1">IF(SamplingFeatures[[#This Row],[Feature IGSN]]&lt;&gt;"",MAX(INDIRECT(CONCATENATE("R",ROW(SamplingFeatures[#Headers]),"C",COLUMN(),":R",ROW()-1,"C",COLUMN()),FALSE))+1,"")</f>
        <v/>
      </c>
      <c r="K58" s="126" t="str">
        <f ca="1">IF(SamplingFeatures[[#This Row],[Sampling Feature Type]]="Site",MAX(INDIRECT(CONCATENATE("R",ROW(SamplingFeatures[#Headers]),"C",COLUMN(),":R",ROW()-1,"C",COLUMN()),FALSE))+1,"")</f>
        <v/>
      </c>
      <c r="L58" s="247"/>
      <c r="M58" s="241"/>
      <c r="N58" s="241"/>
      <c r="O58" s="47" t="str">
        <f ca="1">IF(SamplingFeatures[[#This Row],[Sampling Feature Type]]="Specimen",MAX(INDIRECT(CONCATENATE("R",ROW(SamplingFeatures[#Headers]),"C",COLUMN(),":R",ROW()-1,"C",COLUMN()),FALSE))+1,"")</f>
        <v/>
      </c>
      <c r="P58" s="247"/>
      <c r="Q58" s="241"/>
      <c r="R58" s="241"/>
    </row>
    <row r="59" spans="1:18" x14ac:dyDescent="0.25">
      <c r="A59" s="139"/>
      <c r="B59" s="10"/>
      <c r="C59" s="10"/>
      <c r="D59" s="10"/>
      <c r="E59" s="11"/>
      <c r="F59" s="44"/>
      <c r="G59" s="12"/>
      <c r="H59" s="12"/>
      <c r="I59" s="12"/>
      <c r="J59" s="47" t="str">
        <f ca="1">IF(SamplingFeatures[[#This Row],[Feature IGSN]]&lt;&gt;"",MAX(INDIRECT(CONCATENATE("R",ROW(SamplingFeatures[#Headers]),"C",COLUMN(),":R",ROW()-1,"C",COLUMN()),FALSE))+1,"")</f>
        <v/>
      </c>
      <c r="K59" s="126" t="str">
        <f ca="1">IF(SamplingFeatures[[#This Row],[Sampling Feature Type]]="Site",MAX(INDIRECT(CONCATENATE("R",ROW(SamplingFeatures[#Headers]),"C",COLUMN(),":R",ROW()-1,"C",COLUMN()),FALSE))+1,"")</f>
        <v/>
      </c>
      <c r="L59" s="247"/>
      <c r="M59" s="241"/>
      <c r="N59" s="241"/>
      <c r="O59" s="47" t="str">
        <f ca="1">IF(SamplingFeatures[[#This Row],[Sampling Feature Type]]="Specimen",MAX(INDIRECT(CONCATENATE("R",ROW(SamplingFeatures[#Headers]),"C",COLUMN(),":R",ROW()-1,"C",COLUMN()),FALSE))+1,"")</f>
        <v/>
      </c>
      <c r="P59" s="247"/>
      <c r="Q59" s="241"/>
      <c r="R59" s="241"/>
    </row>
    <row r="60" spans="1:18" x14ac:dyDescent="0.25">
      <c r="A60" s="139"/>
      <c r="B60" s="10"/>
      <c r="C60" s="10"/>
      <c r="D60" s="10"/>
      <c r="E60" s="11"/>
      <c r="F60" s="44"/>
      <c r="G60" s="12"/>
      <c r="H60" s="12"/>
      <c r="I60" s="12"/>
      <c r="J60" s="47" t="str">
        <f ca="1">IF(SamplingFeatures[[#This Row],[Feature IGSN]]&lt;&gt;"",MAX(INDIRECT(CONCATENATE("R",ROW(SamplingFeatures[#Headers]),"C",COLUMN(),":R",ROW()-1,"C",COLUMN()),FALSE))+1,"")</f>
        <v/>
      </c>
      <c r="K60" s="126" t="str">
        <f ca="1">IF(SamplingFeatures[[#This Row],[Sampling Feature Type]]="Site",MAX(INDIRECT(CONCATENATE("R",ROW(SamplingFeatures[#Headers]),"C",COLUMN(),":R",ROW()-1,"C",COLUMN()),FALSE))+1,"")</f>
        <v/>
      </c>
      <c r="L60" s="247"/>
      <c r="M60" s="241"/>
      <c r="N60" s="241"/>
      <c r="O60" s="47" t="str">
        <f ca="1">IF(SamplingFeatures[[#This Row],[Sampling Feature Type]]="Specimen",MAX(INDIRECT(CONCATENATE("R",ROW(SamplingFeatures[#Headers]),"C",COLUMN(),":R",ROW()-1,"C",COLUMN()),FALSE))+1,"")</f>
        <v/>
      </c>
      <c r="P60" s="247"/>
      <c r="Q60" s="241"/>
      <c r="R60" s="241"/>
    </row>
    <row r="61" spans="1:18" x14ac:dyDescent="0.25">
      <c r="A61" s="139"/>
      <c r="B61" s="10"/>
      <c r="C61" s="10"/>
      <c r="D61" s="18"/>
      <c r="E61" s="11"/>
      <c r="F61" s="44"/>
      <c r="G61" s="12"/>
      <c r="H61" s="12"/>
      <c r="I61" s="12"/>
      <c r="J61" s="47" t="str">
        <f ca="1">IF(SamplingFeatures[[#This Row],[Feature IGSN]]&lt;&gt;"",MAX(INDIRECT(CONCATENATE("R",ROW(SamplingFeatures[#Headers]),"C",COLUMN(),":R",ROW()-1,"C",COLUMN()),FALSE))+1,"")</f>
        <v/>
      </c>
      <c r="K61" s="126" t="str">
        <f ca="1">IF(SamplingFeatures[[#This Row],[Sampling Feature Type]]="Site",MAX(INDIRECT(CONCATENATE("R",ROW(SamplingFeatures[#Headers]),"C",COLUMN(),":R",ROW()-1,"C",COLUMN()),FALSE))+1,"")</f>
        <v/>
      </c>
      <c r="L61" s="247"/>
      <c r="M61" s="241"/>
      <c r="N61" s="241"/>
      <c r="O61" s="47" t="str">
        <f ca="1">IF(SamplingFeatures[[#This Row],[Sampling Feature Type]]="Specimen",MAX(INDIRECT(CONCATENATE("R",ROW(SamplingFeatures[#Headers]),"C",COLUMN(),":R",ROW()-1,"C",COLUMN()),FALSE))+1,"")</f>
        <v/>
      </c>
      <c r="P61" s="247"/>
      <c r="Q61" s="241"/>
      <c r="R61" s="241"/>
    </row>
    <row r="62" spans="1:18" ht="15.75" thickBot="1" x14ac:dyDescent="0.3">
      <c r="A62" s="140"/>
      <c r="B62" s="14"/>
      <c r="C62" s="14"/>
      <c r="D62" s="10"/>
      <c r="E62" s="15"/>
      <c r="F62" s="45"/>
      <c r="G62" s="16"/>
      <c r="H62" s="16"/>
      <c r="I62" s="16"/>
      <c r="J62" s="49" t="str">
        <f ca="1">IF(SamplingFeatures[[#This Row],[Feature IGSN]]&lt;&gt;"",MAX(INDIRECT(CONCATENATE("R",ROW(SamplingFeatures[#Headers]),"C",COLUMN(),":R",ROW()-1,"C",COLUMN()),FALSE))+1,"")</f>
        <v/>
      </c>
      <c r="K62" s="251" t="str">
        <f ca="1">IF(SamplingFeatures[[#This Row],[Sampling Feature Type]]="Site",MAX(INDIRECT(CONCATENATE("R",ROW(SamplingFeatures[#Headers]),"C",COLUMN(),":R",ROW()-1,"C",COLUMN()),FALSE))+1,"")</f>
        <v/>
      </c>
      <c r="L62" s="248"/>
      <c r="M62" s="243"/>
      <c r="N62" s="243"/>
      <c r="O62" s="253" t="str">
        <f ca="1">IF(SamplingFeatures[[#This Row],[Sampling Feature Type]]="Specimen",MAX(INDIRECT(CONCATENATE("R",ROW(SamplingFeatures[#Headers]),"C",COLUMN(),":R",ROW()-1,"C",COLUMN()),FALSE))+1,"")</f>
        <v/>
      </c>
      <c r="P62" s="248"/>
      <c r="Q62" s="243"/>
      <c r="R62" s="243"/>
    </row>
  </sheetData>
  <sheetProtection formatColumns="0" formatRows="0" insertRows="0" insertHyperlinks="0" deleteRows="0"/>
  <mergeCells count="3">
    <mergeCell ref="A8:B8"/>
    <mergeCell ref="K11:N11"/>
    <mergeCell ref="O11:R11"/>
  </mergeCells>
  <conditionalFormatting sqref="B9">
    <cfRule type="expression" dxfId="55" priority="22">
      <formula>AND(COUNTIF(ElevationDatumCV,$B$9)=0,$B$9&lt;&gt;"")</formula>
    </cfRule>
  </conditionalFormatting>
  <conditionalFormatting sqref="B10">
    <cfRule type="expression" dxfId="54" priority="21">
      <formula>AND(COUNTIF(LatLonDatumNames,$B$10)=0,$B$10&lt;&gt;"")</formula>
    </cfRule>
  </conditionalFormatting>
  <conditionalFormatting sqref="B13:B62">
    <cfRule type="expression" dxfId="53" priority="20">
      <formula>AND(COUNTIF(SamplingFeatureTypeCV,$B13)=0,$B13&lt;&gt;"")</formula>
    </cfRule>
  </conditionalFormatting>
  <conditionalFormatting sqref="C13:C62">
    <cfRule type="expression" dxfId="52" priority="19">
      <formula>AND(COUNTIF(SamplingFeatureGeotypeCV,$C13)=0,$C13&lt;&gt;"")</formula>
    </cfRule>
  </conditionalFormatting>
  <conditionalFormatting sqref="B13:D62">
    <cfRule type="expression" dxfId="51" priority="18">
      <formula>AND(COUNTA($A13:$I13)&gt;0,B13="")</formula>
    </cfRule>
  </conditionalFormatting>
  <conditionalFormatting sqref="A14:I60 A61:C62 E61:I62 D62">
    <cfRule type="expression" dxfId="50" priority="17">
      <formula>AND(COUNTA($A13:$I13)=0,A14&lt;&gt;"")</formula>
    </cfRule>
  </conditionalFormatting>
  <conditionalFormatting sqref="H13:H62">
    <cfRule type="expression" dxfId="49" priority="16">
      <formula>ISTEXT($H13)</formula>
    </cfRule>
  </conditionalFormatting>
  <conditionalFormatting sqref="M13:N62">
    <cfRule type="expression" dxfId="48" priority="12">
      <formula>ISTEXT(M13)</formula>
    </cfRule>
  </conditionalFormatting>
  <conditionalFormatting sqref="L13:L62">
    <cfRule type="expression" dxfId="47" priority="11">
      <formula>AND(COUNTIF(SiteTypeCV,$L13)=0,$L13&lt;&gt;"")</formula>
    </cfRule>
  </conditionalFormatting>
  <conditionalFormatting sqref="L13:N62">
    <cfRule type="expression" dxfId="46" priority="9">
      <formula>AND($B13&lt;&gt;"Site",L13&lt;&gt;"")</formula>
    </cfRule>
    <cfRule type="expression" dxfId="45" priority="10">
      <formula>AND($B13="Site",L13="")</formula>
    </cfRule>
  </conditionalFormatting>
  <conditionalFormatting sqref="P13:P62">
    <cfRule type="expression" dxfId="44" priority="6">
      <formula>AND(COUNTIF(SpecimenTypeCV,$P13)=0,$P13&lt;&gt;"")</formula>
    </cfRule>
  </conditionalFormatting>
  <conditionalFormatting sqref="Q13:Q62">
    <cfRule type="expression" dxfId="43" priority="5">
      <formula>AND(COUNTIF(SampledMediumCV,$Q13)=0,$Q13&lt;&gt;"")</formula>
    </cfRule>
  </conditionalFormatting>
  <conditionalFormatting sqref="R13:R62">
    <cfRule type="expression" dxfId="42" priority="4">
      <formula>AND(COUNTIF(Boolean,$R13)=0,$R13&lt;&gt;"")</formula>
    </cfRule>
  </conditionalFormatting>
  <conditionalFormatting sqref="P13:R62">
    <cfRule type="expression" dxfId="41" priority="50">
      <formula>AND($B13&lt;&gt;"Specimen",P13&lt;&gt;"")</formula>
    </cfRule>
    <cfRule type="expression" dxfId="40" priority="51">
      <formula>AND($B13="Specimen",P13="")</formula>
    </cfRule>
  </conditionalFormatting>
  <conditionalFormatting sqref="D13:D60">
    <cfRule type="duplicateValues" dxfId="39" priority="146"/>
  </conditionalFormatting>
  <conditionalFormatting sqref="I13:I62">
    <cfRule type="duplicateValues" dxfId="38" priority="160"/>
  </conditionalFormatting>
  <conditionalFormatting sqref="A13:A62">
    <cfRule type="duplicateValues" dxfId="37" priority="161"/>
  </conditionalFormatting>
  <conditionalFormatting sqref="D61:D62">
    <cfRule type="duplicateValues" dxfId="36"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6" customFormat="1" x14ac:dyDescent="0.25">
      <c r="A1" s="26" t="s">
        <v>1472</v>
      </c>
    </row>
    <row r="2" spans="1:8" s="26" customFormat="1" x14ac:dyDescent="0.25">
      <c r="A2" s="26" t="s">
        <v>1402</v>
      </c>
    </row>
    <row r="3" spans="1:8" s="26" customFormat="1" x14ac:dyDescent="0.25">
      <c r="A3" s="26" t="s">
        <v>1403</v>
      </c>
    </row>
    <row r="4" spans="1:8" s="26" customFormat="1" x14ac:dyDescent="0.25">
      <c r="A4" s="26" t="s">
        <v>1474</v>
      </c>
    </row>
    <row r="5" spans="1:8" s="26" customFormat="1" x14ac:dyDescent="0.25">
      <c r="A5" s="26" t="s">
        <v>1473</v>
      </c>
    </row>
    <row r="6" spans="1:8" s="26" customFormat="1" x14ac:dyDescent="0.25"/>
    <row r="7" spans="1:8" s="26" customFormat="1" ht="15.75" thickBot="1" x14ac:dyDescent="0.3">
      <c r="A7" s="189" t="s">
        <v>1463</v>
      </c>
      <c r="B7" s="190" t="s">
        <v>227</v>
      </c>
      <c r="C7" s="190" t="s">
        <v>228</v>
      </c>
      <c r="D7" s="190" t="s">
        <v>229</v>
      </c>
      <c r="E7" s="190" t="s">
        <v>230</v>
      </c>
      <c r="F7" s="190" t="s">
        <v>231</v>
      </c>
      <c r="G7" s="190" t="s">
        <v>232</v>
      </c>
      <c r="H7" s="191" t="s">
        <v>233</v>
      </c>
    </row>
    <row r="8" spans="1:8" ht="15.75" thickTop="1" x14ac:dyDescent="0.25">
      <c r="A8" s="180"/>
      <c r="B8" s="181"/>
      <c r="C8" s="181"/>
      <c r="D8" s="181"/>
      <c r="E8" s="182"/>
      <c r="F8" s="182"/>
      <c r="G8" s="182"/>
      <c r="H8" s="183"/>
    </row>
    <row r="9" spans="1:8" x14ac:dyDescent="0.25">
      <c r="A9" s="184"/>
      <c r="B9" s="181"/>
      <c r="C9" s="181"/>
      <c r="D9" s="181"/>
      <c r="E9" s="182"/>
      <c r="F9" s="182"/>
      <c r="G9" s="182"/>
      <c r="H9" s="183"/>
    </row>
    <row r="10" spans="1:8" x14ac:dyDescent="0.25">
      <c r="A10" s="184"/>
      <c r="B10" s="181"/>
      <c r="C10" s="181"/>
      <c r="D10" s="181"/>
      <c r="E10" s="182"/>
      <c r="F10" s="182"/>
      <c r="G10" s="182"/>
      <c r="H10" s="183"/>
    </row>
    <row r="11" spans="1:8" x14ac:dyDescent="0.25">
      <c r="A11" s="184"/>
      <c r="B11" s="181"/>
      <c r="C11" s="181"/>
      <c r="D11" s="181"/>
      <c r="E11" s="182"/>
      <c r="F11" s="182"/>
      <c r="G11" s="182"/>
      <c r="H11" s="183"/>
    </row>
    <row r="12" spans="1:8" x14ac:dyDescent="0.25">
      <c r="A12" s="184"/>
      <c r="B12" s="181"/>
      <c r="C12" s="181"/>
      <c r="D12" s="181"/>
      <c r="E12" s="182"/>
      <c r="F12" s="182"/>
      <c r="G12" s="182"/>
      <c r="H12" s="183"/>
    </row>
    <row r="13" spans="1:8" x14ac:dyDescent="0.25">
      <c r="A13" s="184"/>
      <c r="B13" s="181"/>
      <c r="C13" s="181"/>
      <c r="D13" s="181"/>
      <c r="E13" s="182"/>
      <c r="F13" s="182"/>
      <c r="G13" s="182"/>
      <c r="H13" s="183"/>
    </row>
    <row r="14" spans="1:8" x14ac:dyDescent="0.25">
      <c r="A14" s="184"/>
      <c r="B14" s="181"/>
      <c r="C14" s="181"/>
      <c r="D14" s="181"/>
      <c r="E14" s="182"/>
      <c r="F14" s="182"/>
      <c r="G14" s="182"/>
      <c r="H14" s="183"/>
    </row>
    <row r="15" spans="1:8" x14ac:dyDescent="0.25">
      <c r="A15" s="184"/>
      <c r="B15" s="181"/>
      <c r="C15" s="181"/>
      <c r="D15" s="181"/>
      <c r="E15" s="182"/>
      <c r="F15" s="182"/>
      <c r="G15" s="182"/>
      <c r="H15" s="183"/>
    </row>
    <row r="16" spans="1:8" x14ac:dyDescent="0.25">
      <c r="A16" s="184"/>
      <c r="B16" s="181"/>
      <c r="C16" s="181"/>
      <c r="D16" s="181"/>
      <c r="E16" s="182"/>
      <c r="F16" s="182"/>
      <c r="G16" s="182"/>
      <c r="H16" s="183"/>
    </row>
    <row r="17" spans="1:8" x14ac:dyDescent="0.25">
      <c r="A17" s="184"/>
      <c r="B17" s="181"/>
      <c r="C17" s="181"/>
      <c r="D17" s="181"/>
      <c r="E17" s="182"/>
      <c r="F17" s="182"/>
      <c r="G17" s="182"/>
      <c r="H17" s="183"/>
    </row>
    <row r="18" spans="1:8" x14ac:dyDescent="0.25">
      <c r="A18" s="184"/>
      <c r="B18" s="181"/>
      <c r="C18" s="181"/>
      <c r="D18" s="181"/>
      <c r="E18" s="182"/>
      <c r="F18" s="182"/>
      <c r="G18" s="182"/>
      <c r="H18" s="183"/>
    </row>
    <row r="19" spans="1:8" x14ac:dyDescent="0.25">
      <c r="A19" s="184"/>
      <c r="B19" s="181"/>
      <c r="C19" s="181"/>
      <c r="D19" s="181"/>
      <c r="E19" s="182"/>
      <c r="F19" s="182"/>
      <c r="G19" s="182"/>
      <c r="H19" s="183"/>
    </row>
    <row r="20" spans="1:8" x14ac:dyDescent="0.25">
      <c r="A20" s="184"/>
      <c r="B20" s="181"/>
      <c r="C20" s="181"/>
      <c r="D20" s="181"/>
      <c r="E20" s="182"/>
      <c r="F20" s="182"/>
      <c r="G20" s="182"/>
      <c r="H20" s="183"/>
    </row>
    <row r="21" spans="1:8" x14ac:dyDescent="0.25">
      <c r="A21" s="184"/>
      <c r="B21" s="181"/>
      <c r="C21" s="181"/>
      <c r="D21" s="181"/>
      <c r="E21" s="182"/>
      <c r="F21" s="182"/>
      <c r="G21" s="182"/>
      <c r="H21" s="183"/>
    </row>
    <row r="22" spans="1:8" x14ac:dyDescent="0.25">
      <c r="A22" s="184"/>
      <c r="B22" s="181"/>
      <c r="C22" s="181"/>
      <c r="D22" s="181"/>
      <c r="E22" s="182"/>
      <c r="F22" s="182"/>
      <c r="G22" s="182"/>
      <c r="H22" s="183"/>
    </row>
    <row r="23" spans="1:8" x14ac:dyDescent="0.25">
      <c r="A23" s="184"/>
      <c r="B23" s="181"/>
      <c r="C23" s="181"/>
      <c r="D23" s="181"/>
      <c r="E23" s="182"/>
      <c r="F23" s="182"/>
      <c r="G23" s="182"/>
      <c r="H23" s="183"/>
    </row>
    <row r="24" spans="1:8" x14ac:dyDescent="0.25">
      <c r="A24" s="184"/>
      <c r="B24" s="181"/>
      <c r="C24" s="181"/>
      <c r="D24" s="181"/>
      <c r="E24" s="182"/>
      <c r="F24" s="182"/>
      <c r="G24" s="182"/>
      <c r="H24" s="183"/>
    </row>
    <row r="25" spans="1:8" x14ac:dyDescent="0.25">
      <c r="A25" s="184"/>
      <c r="B25" s="181"/>
      <c r="C25" s="181"/>
      <c r="D25" s="181"/>
      <c r="E25" s="182"/>
      <c r="F25" s="182"/>
      <c r="G25" s="182"/>
      <c r="H25" s="183"/>
    </row>
    <row r="26" spans="1:8" x14ac:dyDescent="0.25">
      <c r="A26" s="184"/>
      <c r="B26" s="181"/>
      <c r="C26" s="181"/>
      <c r="D26" s="181"/>
      <c r="E26" s="182"/>
      <c r="F26" s="182"/>
      <c r="G26" s="182"/>
      <c r="H26" s="183"/>
    </row>
    <row r="27" spans="1:8" x14ac:dyDescent="0.25">
      <c r="A27" s="184"/>
      <c r="B27" s="181"/>
      <c r="C27" s="181"/>
      <c r="D27" s="181"/>
      <c r="E27" s="182"/>
      <c r="F27" s="182"/>
      <c r="G27" s="182"/>
      <c r="H27" s="183"/>
    </row>
    <row r="28" spans="1:8" x14ac:dyDescent="0.25">
      <c r="A28" s="184"/>
      <c r="B28" s="181"/>
      <c r="C28" s="181"/>
      <c r="D28" s="181"/>
      <c r="E28" s="182"/>
      <c r="F28" s="182"/>
      <c r="G28" s="182"/>
      <c r="H28" s="183"/>
    </row>
    <row r="29" spans="1:8" x14ac:dyDescent="0.25">
      <c r="A29" s="184"/>
      <c r="B29" s="181"/>
      <c r="C29" s="181"/>
      <c r="D29" s="181"/>
      <c r="E29" s="182"/>
      <c r="F29" s="182"/>
      <c r="G29" s="182"/>
      <c r="H29" s="183"/>
    </row>
    <row r="30" spans="1:8" x14ac:dyDescent="0.25">
      <c r="A30" s="184"/>
      <c r="B30" s="181"/>
      <c r="C30" s="181"/>
      <c r="D30" s="181"/>
      <c r="E30" s="182"/>
      <c r="F30" s="182"/>
      <c r="G30" s="182"/>
      <c r="H30" s="183"/>
    </row>
    <row r="31" spans="1:8" x14ac:dyDescent="0.25">
      <c r="A31" s="184"/>
      <c r="B31" s="181"/>
      <c r="C31" s="181"/>
      <c r="D31" s="181"/>
      <c r="E31" s="182"/>
      <c r="F31" s="182"/>
      <c r="G31" s="182"/>
      <c r="H31" s="183"/>
    </row>
    <row r="32" spans="1:8" x14ac:dyDescent="0.25">
      <c r="A32" s="184"/>
      <c r="B32" s="181"/>
      <c r="C32" s="181"/>
      <c r="D32" s="181"/>
      <c r="E32" s="182"/>
      <c r="F32" s="182"/>
      <c r="G32" s="182"/>
      <c r="H32" s="183"/>
    </row>
    <row r="33" spans="1:8" x14ac:dyDescent="0.25">
      <c r="A33" s="184"/>
      <c r="B33" s="181"/>
      <c r="C33" s="181"/>
      <c r="D33" s="181"/>
      <c r="E33" s="182"/>
      <c r="F33" s="182"/>
      <c r="G33" s="182"/>
      <c r="H33" s="183"/>
    </row>
    <row r="34" spans="1:8" x14ac:dyDescent="0.25">
      <c r="A34" s="184"/>
      <c r="B34" s="181"/>
      <c r="C34" s="181"/>
      <c r="D34" s="181"/>
      <c r="E34" s="182"/>
      <c r="F34" s="182"/>
      <c r="G34" s="182"/>
      <c r="H34" s="183"/>
    </row>
    <row r="35" spans="1:8" x14ac:dyDescent="0.25">
      <c r="A35" s="184"/>
      <c r="B35" s="181"/>
      <c r="C35" s="181"/>
      <c r="D35" s="181"/>
      <c r="E35" s="182"/>
      <c r="F35" s="182"/>
      <c r="G35" s="182"/>
      <c r="H35" s="183"/>
    </row>
    <row r="36" spans="1:8" x14ac:dyDescent="0.25">
      <c r="A36" s="184"/>
      <c r="B36" s="181"/>
      <c r="C36" s="181"/>
      <c r="D36" s="181"/>
      <c r="E36" s="182"/>
      <c r="F36" s="182"/>
      <c r="G36" s="182"/>
      <c r="H36" s="183"/>
    </row>
    <row r="37" spans="1:8" x14ac:dyDescent="0.25">
      <c r="A37" s="184"/>
      <c r="B37" s="181"/>
      <c r="C37" s="181"/>
      <c r="D37" s="181"/>
      <c r="E37" s="182"/>
      <c r="F37" s="182"/>
      <c r="G37" s="182"/>
      <c r="H37" s="183"/>
    </row>
    <row r="38" spans="1:8" x14ac:dyDescent="0.25">
      <c r="A38" s="184"/>
      <c r="B38" s="181"/>
      <c r="C38" s="181"/>
      <c r="D38" s="181"/>
      <c r="E38" s="182"/>
      <c r="F38" s="182"/>
      <c r="G38" s="182"/>
      <c r="H38" s="183"/>
    </row>
    <row r="39" spans="1:8" x14ac:dyDescent="0.25">
      <c r="A39" s="185"/>
      <c r="B39" s="186"/>
      <c r="C39" s="186"/>
      <c r="D39" s="186"/>
      <c r="E39" s="187"/>
      <c r="F39" s="187"/>
      <c r="G39" s="187"/>
      <c r="H39" s="188"/>
    </row>
  </sheetData>
  <sheetProtection formatColumns="0" formatRows="0" insertRows="0" insertHyperlinks="0" deleteRows="0"/>
  <conditionalFormatting sqref="A8:D39">
    <cfRule type="expression" dxfId="35" priority="8">
      <formula>AND(COUNTA($A8:$H8)&gt;0,A8="")</formula>
    </cfRule>
  </conditionalFormatting>
  <conditionalFormatting sqref="B8:B39">
    <cfRule type="expression" dxfId="34" priority="3">
      <formula>AND(COUNTIF(SpatialOffsetTypeCV,$B8)=0,$B8&lt;&gt;"")</formula>
    </cfRule>
  </conditionalFormatting>
  <conditionalFormatting sqref="C8:C39 E8:E39 G8:G39">
    <cfRule type="expression" dxfId="33" priority="5">
      <formula>ISTEXT(C8)</formula>
    </cfRule>
  </conditionalFormatting>
  <conditionalFormatting sqref="A9:H39">
    <cfRule type="expression" dxfId="32" priority="2">
      <formula>AND(COUNTA($A8:$H8)=0,A9&lt;&gt;"")</formula>
    </cfRule>
  </conditionalFormatting>
  <conditionalFormatting sqref="A8:A39">
    <cfRule type="duplicateValues" dxfId="31"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7" x14ac:dyDescent="0.25">
      <c r="A1" s="26" t="s">
        <v>1413</v>
      </c>
    </row>
    <row r="2" spans="1:7" x14ac:dyDescent="0.25">
      <c r="A2" s="26" t="s">
        <v>1464</v>
      </c>
    </row>
    <row r="3" spans="1:7" ht="15.75" thickBot="1" x14ac:dyDescent="0.3">
      <c r="A3" s="6" t="s">
        <v>1402</v>
      </c>
    </row>
    <row r="4" spans="1:7" ht="15.75" thickBot="1" x14ac:dyDescent="0.3">
      <c r="A4" s="26" t="s">
        <v>1403</v>
      </c>
      <c r="E4" s="27" t="s">
        <v>1197</v>
      </c>
      <c r="F4" s="28">
        <f>COUNTA(RelatedFeatures[First Sampling Feature Code])</f>
        <v>0</v>
      </c>
    </row>
    <row r="5" spans="1:7" x14ac:dyDescent="0.25">
      <c r="A5" s="26" t="s">
        <v>1414</v>
      </c>
      <c r="E5" s="150"/>
      <c r="F5" s="150"/>
    </row>
    <row r="6" spans="1:7" ht="15.75" thickBot="1" x14ac:dyDescent="0.3">
      <c r="E6"/>
      <c r="F6"/>
      <c r="G6"/>
    </row>
    <row r="7" spans="1:7" x14ac:dyDescent="0.25">
      <c r="A7" s="220" t="s">
        <v>242</v>
      </c>
      <c r="B7" s="221"/>
      <c r="C7" s="221"/>
      <c r="D7" s="222"/>
      <c r="E7"/>
      <c r="F7"/>
      <c r="G7"/>
    </row>
    <row r="8" spans="1:7" ht="15.75" thickBot="1" x14ac:dyDescent="0.3">
      <c r="A8" s="70" t="s">
        <v>239</v>
      </c>
      <c r="B8" s="54" t="s">
        <v>240</v>
      </c>
      <c r="C8" s="54" t="s">
        <v>241</v>
      </c>
      <c r="D8" s="71" t="s">
        <v>1463</v>
      </c>
      <c r="E8"/>
      <c r="F8"/>
      <c r="G8"/>
    </row>
    <row r="9" spans="1:7" ht="15.75" thickTop="1" x14ac:dyDescent="0.25">
      <c r="A9" s="63"/>
      <c r="B9" s="64"/>
      <c r="C9" s="64"/>
      <c r="D9" s="66"/>
      <c r="E9"/>
      <c r="F9"/>
      <c r="G9"/>
    </row>
    <row r="10" spans="1:7" x14ac:dyDescent="0.25">
      <c r="A10" s="63"/>
      <c r="B10" s="64"/>
      <c r="C10" s="64"/>
      <c r="D10" s="66"/>
    </row>
    <row r="11" spans="1:7" x14ac:dyDescent="0.25">
      <c r="A11" s="63"/>
      <c r="B11" s="64"/>
      <c r="C11" s="64"/>
      <c r="D11" s="66"/>
    </row>
    <row r="12" spans="1:7" x14ac:dyDescent="0.25">
      <c r="A12" s="63"/>
      <c r="B12" s="64"/>
      <c r="C12" s="64"/>
      <c r="D12" s="66"/>
    </row>
    <row r="13" spans="1:7" x14ac:dyDescent="0.25">
      <c r="A13" s="63"/>
      <c r="B13" s="64"/>
      <c r="C13" s="64"/>
      <c r="D13" s="66"/>
    </row>
    <row r="14" spans="1:7" x14ac:dyDescent="0.25">
      <c r="A14" s="63"/>
      <c r="B14" s="64"/>
      <c r="C14" s="64"/>
      <c r="D14" s="66"/>
    </row>
    <row r="15" spans="1:7" x14ac:dyDescent="0.25">
      <c r="A15" s="63"/>
      <c r="B15" s="64"/>
      <c r="C15" s="64"/>
      <c r="D15" s="66"/>
    </row>
    <row r="16" spans="1:7" x14ac:dyDescent="0.25">
      <c r="A16" s="63"/>
      <c r="B16" s="64"/>
      <c r="C16" s="64"/>
      <c r="D16" s="66"/>
    </row>
    <row r="17" spans="1:4" x14ac:dyDescent="0.25">
      <c r="A17" s="63"/>
      <c r="B17" s="64"/>
      <c r="C17" s="64"/>
      <c r="D17" s="66"/>
    </row>
    <row r="18" spans="1:4" x14ac:dyDescent="0.25">
      <c r="A18" s="63"/>
      <c r="B18" s="64"/>
      <c r="C18" s="64"/>
      <c r="D18" s="66"/>
    </row>
    <row r="19" spans="1:4" x14ac:dyDescent="0.25">
      <c r="A19" s="63"/>
      <c r="B19" s="64"/>
      <c r="C19" s="64"/>
      <c r="D19" s="66"/>
    </row>
    <row r="20" spans="1:4" x14ac:dyDescent="0.25">
      <c r="A20" s="63"/>
      <c r="B20" s="64"/>
      <c r="C20" s="64"/>
      <c r="D20" s="66"/>
    </row>
    <row r="21" spans="1:4" x14ac:dyDescent="0.25">
      <c r="A21" s="63"/>
      <c r="B21" s="64"/>
      <c r="C21" s="64"/>
      <c r="D21" s="66"/>
    </row>
    <row r="22" spans="1:4" x14ac:dyDescent="0.25">
      <c r="A22" s="63"/>
      <c r="B22" s="64"/>
      <c r="C22" s="64"/>
      <c r="D22" s="66"/>
    </row>
    <row r="23" spans="1:4" x14ac:dyDescent="0.25">
      <c r="A23" s="63"/>
      <c r="B23" s="64"/>
      <c r="C23" s="64"/>
      <c r="D23" s="66"/>
    </row>
    <row r="24" spans="1:4" x14ac:dyDescent="0.25">
      <c r="A24" s="63"/>
      <c r="B24" s="64"/>
      <c r="C24" s="64"/>
      <c r="D24" s="66"/>
    </row>
    <row r="25" spans="1:4" x14ac:dyDescent="0.25">
      <c r="A25" s="63"/>
      <c r="B25" s="64"/>
      <c r="C25" s="64"/>
      <c r="D25" s="66"/>
    </row>
    <row r="26" spans="1:4" x14ac:dyDescent="0.25">
      <c r="A26" s="63"/>
      <c r="B26" s="64"/>
      <c r="C26" s="64"/>
      <c r="D26" s="66"/>
    </row>
    <row r="27" spans="1:4" x14ac:dyDescent="0.25">
      <c r="A27" s="63"/>
      <c r="B27" s="64"/>
      <c r="C27" s="64"/>
      <c r="D27" s="66"/>
    </row>
    <row r="28" spans="1:4" x14ac:dyDescent="0.25">
      <c r="A28" s="63"/>
      <c r="B28" s="64"/>
      <c r="C28" s="64"/>
      <c r="D28" s="66"/>
    </row>
    <row r="29" spans="1:4" x14ac:dyDescent="0.25">
      <c r="A29" s="63"/>
      <c r="B29" s="64"/>
      <c r="C29" s="64"/>
      <c r="D29" s="66"/>
    </row>
    <row r="30" spans="1:4" x14ac:dyDescent="0.25">
      <c r="A30" s="63"/>
      <c r="B30" s="64"/>
      <c r="C30" s="64"/>
      <c r="D30" s="66"/>
    </row>
    <row r="31" spans="1:4" x14ac:dyDescent="0.25">
      <c r="A31" s="63"/>
      <c r="B31" s="64"/>
      <c r="C31" s="64"/>
      <c r="D31" s="66"/>
    </row>
    <row r="32" spans="1:4" x14ac:dyDescent="0.25">
      <c r="A32" s="63"/>
      <c r="B32" s="64"/>
      <c r="C32" s="64"/>
      <c r="D32" s="66"/>
    </row>
    <row r="33" spans="1:4" x14ac:dyDescent="0.25">
      <c r="A33" s="63"/>
      <c r="B33" s="64"/>
      <c r="C33" s="64"/>
      <c r="D33" s="66"/>
    </row>
    <row r="34" spans="1:4" x14ac:dyDescent="0.25">
      <c r="A34" s="63"/>
      <c r="B34" s="64"/>
      <c r="C34" s="64"/>
      <c r="D34" s="66"/>
    </row>
    <row r="35" spans="1:4" x14ac:dyDescent="0.25">
      <c r="A35" s="63"/>
      <c r="B35" s="64"/>
      <c r="C35" s="64"/>
      <c r="D35" s="66"/>
    </row>
    <row r="36" spans="1:4" x14ac:dyDescent="0.25">
      <c r="A36" s="63"/>
      <c r="B36" s="64"/>
      <c r="C36" s="64"/>
      <c r="D36" s="66"/>
    </row>
    <row r="37" spans="1:4" x14ac:dyDescent="0.25">
      <c r="A37" s="63"/>
      <c r="B37" s="64"/>
      <c r="C37" s="64"/>
      <c r="D37" s="66"/>
    </row>
    <row r="38" spans="1:4" x14ac:dyDescent="0.25">
      <c r="A38" s="63"/>
      <c r="B38" s="64"/>
      <c r="C38" s="64"/>
      <c r="D38" s="66"/>
    </row>
    <row r="39" spans="1:4" x14ac:dyDescent="0.25">
      <c r="A39" s="63"/>
      <c r="B39" s="64"/>
      <c r="C39" s="64"/>
      <c r="D39" s="66"/>
    </row>
    <row r="40" spans="1:4" ht="15.75" thickBot="1" x14ac:dyDescent="0.3">
      <c r="A40" s="67"/>
      <c r="B40" s="68"/>
      <c r="C40" s="68"/>
      <c r="D40" s="69"/>
    </row>
  </sheetData>
  <sheetProtection formatColumns="0" formatRows="0" insertRows="0" insertHyperlinks="0" deleteRows="0"/>
  <mergeCells count="1">
    <mergeCell ref="A7:D7"/>
  </mergeCells>
  <conditionalFormatting sqref="A9:A40 C9:C40">
    <cfRule type="expression" dxfId="30" priority="7">
      <formula>AND(COUNTIF(FeatureCodes,$A9)=0,$A9&lt;&gt;"")</formula>
    </cfRule>
  </conditionalFormatting>
  <conditionalFormatting sqref="B9:B40">
    <cfRule type="expression" dxfId="29" priority="6">
      <formula>AND(COUNTIF(RelationshipTypeCV,$B9)=0,$B9&lt;&gt;"")</formula>
    </cfRule>
  </conditionalFormatting>
  <conditionalFormatting sqref="D9:D40">
    <cfRule type="expression" dxfId="28" priority="4">
      <formula>AND(COUNTIF(SpatialOffsetTypeCV,$D9)=0,$D9&lt;&gt;"")</formula>
    </cfRule>
  </conditionalFormatting>
  <conditionalFormatting sqref="D9:D40">
    <cfRule type="expression" dxfId="27" priority="42">
      <formula>AND(COUNTA($D9:$D9)&gt;0,D9="")</formula>
    </cfRule>
  </conditionalFormatting>
  <conditionalFormatting sqref="A9:C40">
    <cfRule type="expression" dxfId="26" priority="43">
      <formula>AND(COUNTA($A9:$D9)&gt;0,A9="")</formula>
    </cfRule>
  </conditionalFormatting>
  <conditionalFormatting sqref="A10:D40">
    <cfRule type="expression" dxfId="25"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1415</v>
      </c>
    </row>
    <row r="2" spans="1:6" x14ac:dyDescent="0.25">
      <c r="A2" s="6" t="s">
        <v>1402</v>
      </c>
    </row>
    <row r="3" spans="1:6" x14ac:dyDescent="0.25">
      <c r="A3" s="26" t="s">
        <v>1403</v>
      </c>
    </row>
    <row r="4" spans="1:6" x14ac:dyDescent="0.25">
      <c r="A4" s="26" t="s">
        <v>1416</v>
      </c>
    </row>
    <row r="5" spans="1:6" ht="15.75" thickBot="1" x14ac:dyDescent="0.3">
      <c r="A5" s="6" t="s">
        <v>1417</v>
      </c>
    </row>
    <row r="6" spans="1:6" ht="15.75" thickBot="1" x14ac:dyDescent="0.3">
      <c r="A6" s="26" t="s">
        <v>276</v>
      </c>
      <c r="E6" s="27" t="s">
        <v>1202</v>
      </c>
      <c r="F6" s="28">
        <f>COUNTA(MethodCodes)</f>
        <v>7</v>
      </c>
    </row>
    <row r="7" spans="1:6" ht="15.75" thickBot="1" x14ac:dyDescent="0.3"/>
    <row r="8" spans="1:6" x14ac:dyDescent="0.25">
      <c r="A8" s="223" t="s">
        <v>249</v>
      </c>
      <c r="B8" s="224"/>
      <c r="C8" s="224"/>
      <c r="D8" s="224"/>
      <c r="E8" s="224"/>
      <c r="F8" s="225"/>
    </row>
    <row r="9" spans="1:6" ht="15.75" thickBot="1" x14ac:dyDescent="0.3">
      <c r="A9" s="59" t="s">
        <v>246</v>
      </c>
      <c r="B9" s="54" t="s">
        <v>139</v>
      </c>
      <c r="C9" s="54" t="s">
        <v>138</v>
      </c>
      <c r="D9" s="61" t="s">
        <v>140</v>
      </c>
      <c r="E9" s="61" t="s">
        <v>247</v>
      </c>
      <c r="F9" s="57" t="s">
        <v>19</v>
      </c>
    </row>
    <row r="10" spans="1:6" ht="30.75" thickTop="1" x14ac:dyDescent="0.25">
      <c r="A10" s="72" t="s">
        <v>267</v>
      </c>
      <c r="B10" s="64" t="s">
        <v>1315</v>
      </c>
      <c r="C10" s="73" t="s">
        <v>1315</v>
      </c>
      <c r="D10" s="74" t="s">
        <v>1345</v>
      </c>
      <c r="E10" s="75"/>
      <c r="F10" s="76" t="s">
        <v>1284</v>
      </c>
    </row>
    <row r="11" spans="1:6" x14ac:dyDescent="0.25">
      <c r="A11" s="72" t="s">
        <v>267</v>
      </c>
      <c r="B11" s="64" t="s">
        <v>1346</v>
      </c>
      <c r="C11" s="73" t="s">
        <v>1347</v>
      </c>
      <c r="D11" s="74" t="s">
        <v>1348</v>
      </c>
      <c r="E11" s="75"/>
      <c r="F11" s="76" t="s">
        <v>1284</v>
      </c>
    </row>
    <row r="12" spans="1:6" x14ac:dyDescent="0.25">
      <c r="A12" s="72" t="s">
        <v>267</v>
      </c>
      <c r="B12" s="64" t="s">
        <v>1349</v>
      </c>
      <c r="C12" s="73" t="s">
        <v>1350</v>
      </c>
      <c r="D12" s="74" t="s">
        <v>1351</v>
      </c>
      <c r="E12" s="75"/>
      <c r="F12" s="76" t="s">
        <v>1284</v>
      </c>
    </row>
    <row r="13" spans="1:6" x14ac:dyDescent="0.25">
      <c r="A13" s="72" t="s">
        <v>267</v>
      </c>
      <c r="B13" s="64" t="s">
        <v>1352</v>
      </c>
      <c r="C13" s="73" t="s">
        <v>1352</v>
      </c>
      <c r="D13" s="74" t="s">
        <v>1353</v>
      </c>
      <c r="E13" s="75"/>
      <c r="F13" s="76" t="s">
        <v>1284</v>
      </c>
    </row>
    <row r="14" spans="1:6" x14ac:dyDescent="0.25">
      <c r="A14" s="72" t="s">
        <v>267</v>
      </c>
      <c r="B14" s="64" t="s">
        <v>1355</v>
      </c>
      <c r="C14" s="64" t="s">
        <v>1355</v>
      </c>
      <c r="D14" s="74" t="s">
        <v>1354</v>
      </c>
      <c r="E14" s="75"/>
      <c r="F14" s="76" t="s">
        <v>1284</v>
      </c>
    </row>
    <row r="15" spans="1:6" x14ac:dyDescent="0.25">
      <c r="A15" s="72" t="s">
        <v>268</v>
      </c>
      <c r="B15" s="64" t="s">
        <v>1523</v>
      </c>
      <c r="C15" s="64" t="s">
        <v>1525</v>
      </c>
      <c r="D15" s="74" t="s">
        <v>1527</v>
      </c>
      <c r="E15" s="65"/>
      <c r="F15" s="76"/>
    </row>
    <row r="16" spans="1:6" ht="30" x14ac:dyDescent="0.25">
      <c r="A16" s="72" t="s">
        <v>268</v>
      </c>
      <c r="B16" s="64" t="s">
        <v>1524</v>
      </c>
      <c r="C16" s="73" t="s">
        <v>1526</v>
      </c>
      <c r="D16" s="74" t="s">
        <v>1528</v>
      </c>
      <c r="E16" s="65"/>
      <c r="F16" s="76"/>
    </row>
    <row r="17" spans="1:6" x14ac:dyDescent="0.25">
      <c r="A17" s="72"/>
      <c r="B17" s="64"/>
      <c r="C17" s="73"/>
      <c r="D17" s="74"/>
      <c r="E17" s="65"/>
      <c r="F17" s="76"/>
    </row>
    <row r="18" spans="1:6" x14ac:dyDescent="0.25">
      <c r="A18" s="72"/>
      <c r="B18" s="64"/>
      <c r="C18" s="73"/>
      <c r="D18" s="74"/>
      <c r="E18" s="65"/>
      <c r="F18" s="76"/>
    </row>
    <row r="19" spans="1:6" x14ac:dyDescent="0.25">
      <c r="A19" s="72"/>
      <c r="B19" s="64"/>
      <c r="C19" s="73"/>
      <c r="D19" s="74"/>
      <c r="E19" s="65"/>
      <c r="F19" s="76"/>
    </row>
    <row r="20" spans="1:6" x14ac:dyDescent="0.25">
      <c r="A20" s="72"/>
      <c r="B20" s="64"/>
      <c r="C20" s="73"/>
      <c r="D20" s="74"/>
      <c r="E20" s="65"/>
      <c r="F20" s="76"/>
    </row>
    <row r="21" spans="1:6" x14ac:dyDescent="0.25">
      <c r="A21" s="72"/>
      <c r="B21" s="64"/>
      <c r="C21" s="73"/>
      <c r="D21" s="74"/>
      <c r="E21" s="65"/>
      <c r="F21" s="76"/>
    </row>
    <row r="22" spans="1:6" x14ac:dyDescent="0.25">
      <c r="A22" s="72"/>
      <c r="B22" s="64"/>
      <c r="C22" s="73"/>
      <c r="D22" s="74"/>
      <c r="E22" s="65"/>
      <c r="F22" s="76"/>
    </row>
    <row r="23" spans="1:6" x14ac:dyDescent="0.25">
      <c r="A23" s="72"/>
      <c r="B23" s="64"/>
      <c r="C23" s="73"/>
      <c r="D23" s="74"/>
      <c r="E23" s="65"/>
      <c r="F23" s="76"/>
    </row>
    <row r="24" spans="1:6" x14ac:dyDescent="0.25">
      <c r="A24" s="72"/>
      <c r="B24" s="64"/>
      <c r="C24" s="73"/>
      <c r="D24" s="74"/>
      <c r="E24" s="65"/>
      <c r="F24" s="76"/>
    </row>
    <row r="25" spans="1:6" x14ac:dyDescent="0.25">
      <c r="A25" s="72"/>
      <c r="B25" s="64"/>
      <c r="C25" s="73"/>
      <c r="D25" s="74"/>
      <c r="E25" s="65"/>
      <c r="F25" s="76"/>
    </row>
    <row r="26" spans="1:6" x14ac:dyDescent="0.25">
      <c r="A26" s="72"/>
      <c r="B26" s="64"/>
      <c r="C26" s="73"/>
      <c r="D26" s="74"/>
      <c r="E26" s="65"/>
      <c r="F26" s="76"/>
    </row>
    <row r="27" spans="1:6" x14ac:dyDescent="0.25">
      <c r="A27" s="72"/>
      <c r="B27" s="64"/>
      <c r="C27" s="73"/>
      <c r="D27" s="74"/>
      <c r="E27" s="65"/>
      <c r="F27" s="76"/>
    </row>
    <row r="28" spans="1:6" x14ac:dyDescent="0.25">
      <c r="A28" s="72"/>
      <c r="B28" s="64"/>
      <c r="C28" s="73"/>
      <c r="D28" s="74"/>
      <c r="E28" s="65"/>
      <c r="F28" s="76"/>
    </row>
    <row r="29" spans="1:6" x14ac:dyDescent="0.25">
      <c r="A29" s="72"/>
      <c r="B29" s="64"/>
      <c r="C29" s="73"/>
      <c r="D29" s="74"/>
      <c r="E29" s="65"/>
      <c r="F29" s="76"/>
    </row>
    <row r="30" spans="1:6" x14ac:dyDescent="0.25">
      <c r="A30" s="72"/>
      <c r="B30" s="64"/>
      <c r="C30" s="73"/>
      <c r="D30" s="74"/>
      <c r="E30" s="65"/>
      <c r="F30" s="76"/>
    </row>
  </sheetData>
  <sheetProtection formatColumns="0" formatRows="0" insertRows="0" insertHyperlinks="0" deleteRows="0"/>
  <mergeCells count="1">
    <mergeCell ref="A8:F8"/>
  </mergeCells>
  <conditionalFormatting sqref="A10:A30">
    <cfRule type="expression" dxfId="24" priority="4">
      <formula>AND(COUNTIF(MethodTypeCV,A10)=0,A10&lt;&gt;"")</formula>
    </cfRule>
  </conditionalFormatting>
  <conditionalFormatting sqref="A10:C30">
    <cfRule type="expression" dxfId="23" priority="3">
      <formula>AND(COUNTA($A10:$F10)&gt;0,A10="")</formula>
    </cfRule>
  </conditionalFormatting>
  <conditionalFormatting sqref="A11:F30">
    <cfRule type="expression" dxfId="22" priority="2">
      <formula>AND(COUNTA($A10:$F10)=0,A11&lt;&gt;"")</formula>
    </cfRule>
  </conditionalFormatting>
  <conditionalFormatting sqref="B10:B30">
    <cfRule type="duplicateValues" dxfId="21"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K7" sqref="K7"/>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1418</v>
      </c>
    </row>
    <row r="2" spans="1:6" x14ac:dyDescent="0.25">
      <c r="A2" s="6" t="s">
        <v>1402</v>
      </c>
    </row>
    <row r="3" spans="1:6" x14ac:dyDescent="0.25">
      <c r="A3" s="26" t="s">
        <v>1403</v>
      </c>
    </row>
    <row r="4" spans="1:6" ht="15.75" thickBot="1" x14ac:dyDescent="0.3">
      <c r="A4" s="26" t="s">
        <v>1419</v>
      </c>
    </row>
    <row r="5" spans="1:6" ht="15.75" thickBot="1" x14ac:dyDescent="0.3">
      <c r="A5" s="26" t="s">
        <v>280</v>
      </c>
      <c r="E5" s="27" t="s">
        <v>1203</v>
      </c>
      <c r="F5" s="28">
        <f>COUNTA(VariableCodes)</f>
        <v>6</v>
      </c>
    </row>
    <row r="6" spans="1:6" ht="15.75" thickBot="1" x14ac:dyDescent="0.3"/>
    <row r="7" spans="1:6" x14ac:dyDescent="0.25">
      <c r="A7" s="223" t="s">
        <v>285</v>
      </c>
      <c r="B7" s="224"/>
      <c r="C7" s="224"/>
      <c r="D7" s="224"/>
      <c r="E7" s="224"/>
      <c r="F7" s="225"/>
    </row>
    <row r="8" spans="1:6" ht="15.75" thickBot="1" x14ac:dyDescent="0.3">
      <c r="A8" s="59" t="s">
        <v>281</v>
      </c>
      <c r="B8" s="54" t="s">
        <v>137</v>
      </c>
      <c r="C8" s="54" t="s">
        <v>136</v>
      </c>
      <c r="D8" s="61" t="s">
        <v>282</v>
      </c>
      <c r="E8" s="61" t="s">
        <v>283</v>
      </c>
      <c r="F8" s="60" t="s">
        <v>284</v>
      </c>
    </row>
    <row r="9" spans="1:6" ht="15.75" thickTop="1" x14ac:dyDescent="0.25">
      <c r="A9" s="72" t="s">
        <v>287</v>
      </c>
      <c r="B9" s="64" t="s">
        <v>1356</v>
      </c>
      <c r="C9" s="64" t="s">
        <v>832</v>
      </c>
      <c r="D9" s="65"/>
      <c r="E9" s="65"/>
      <c r="F9" s="77" t="s">
        <v>1360</v>
      </c>
    </row>
    <row r="10" spans="1:6" x14ac:dyDescent="0.25">
      <c r="A10" s="72" t="s">
        <v>287</v>
      </c>
      <c r="B10" s="64" t="s">
        <v>1357</v>
      </c>
      <c r="C10" s="64" t="s">
        <v>950</v>
      </c>
      <c r="D10" s="65"/>
      <c r="E10" s="65"/>
      <c r="F10" s="77" t="s">
        <v>1360</v>
      </c>
    </row>
    <row r="11" spans="1:6" x14ac:dyDescent="0.25">
      <c r="A11" s="72" t="s">
        <v>8</v>
      </c>
      <c r="B11" s="64" t="s">
        <v>1304</v>
      </c>
      <c r="C11" s="64" t="s">
        <v>507</v>
      </c>
      <c r="D11" s="65"/>
      <c r="E11" s="65"/>
      <c r="F11" s="77" t="s">
        <v>1360</v>
      </c>
    </row>
    <row r="12" spans="1:6" x14ac:dyDescent="0.25">
      <c r="A12" s="72" t="s">
        <v>8</v>
      </c>
      <c r="B12" s="64" t="s">
        <v>1358</v>
      </c>
      <c r="C12" s="64" t="s">
        <v>397</v>
      </c>
      <c r="D12" s="65"/>
      <c r="E12" s="65"/>
      <c r="F12" s="77" t="s">
        <v>1360</v>
      </c>
    </row>
    <row r="13" spans="1:6" x14ac:dyDescent="0.25">
      <c r="A13" s="72" t="s">
        <v>8</v>
      </c>
      <c r="B13" s="64" t="s">
        <v>1359</v>
      </c>
      <c r="C13" s="64" t="s">
        <v>784</v>
      </c>
      <c r="D13" s="65"/>
      <c r="E13" s="65"/>
      <c r="F13" s="77" t="s">
        <v>1360</v>
      </c>
    </row>
    <row r="14" spans="1:6" x14ac:dyDescent="0.25">
      <c r="A14" s="72" t="s">
        <v>8</v>
      </c>
      <c r="B14" s="64" t="s">
        <v>1307</v>
      </c>
      <c r="C14" s="64" t="s">
        <v>491</v>
      </c>
      <c r="D14" s="65"/>
      <c r="E14" s="65"/>
      <c r="F14" s="77" t="s">
        <v>1360</v>
      </c>
    </row>
    <row r="15" spans="1:6" x14ac:dyDescent="0.25">
      <c r="A15" s="72"/>
      <c r="B15" s="64"/>
      <c r="C15" s="64"/>
      <c r="D15" s="65"/>
      <c r="E15" s="65"/>
      <c r="F15" s="77"/>
    </row>
    <row r="16" spans="1:6" x14ac:dyDescent="0.25">
      <c r="A16" s="72"/>
      <c r="B16" s="64"/>
      <c r="C16" s="64"/>
      <c r="D16" s="65"/>
      <c r="E16" s="65"/>
      <c r="F16" s="77"/>
    </row>
    <row r="17" spans="1:6" x14ac:dyDescent="0.25">
      <c r="A17" s="72"/>
      <c r="B17" s="64"/>
      <c r="C17" s="64"/>
      <c r="D17" s="65"/>
      <c r="E17" s="65"/>
      <c r="F17" s="77"/>
    </row>
    <row r="18" spans="1:6" x14ac:dyDescent="0.25">
      <c r="A18" s="72"/>
      <c r="B18" s="64"/>
      <c r="C18" s="64"/>
      <c r="D18" s="65"/>
      <c r="E18" s="65"/>
      <c r="F18" s="77"/>
    </row>
    <row r="19" spans="1:6" x14ac:dyDescent="0.25">
      <c r="A19" s="72"/>
      <c r="B19" s="64"/>
      <c r="C19" s="64"/>
      <c r="D19" s="65"/>
      <c r="E19" s="65"/>
      <c r="F19" s="77"/>
    </row>
    <row r="20" spans="1:6" x14ac:dyDescent="0.25">
      <c r="A20" s="72"/>
      <c r="B20" s="64"/>
      <c r="C20" s="64"/>
      <c r="D20" s="65"/>
      <c r="E20" s="65"/>
      <c r="F20" s="77"/>
    </row>
    <row r="21" spans="1:6" x14ac:dyDescent="0.25">
      <c r="A21" s="72"/>
      <c r="B21" s="64"/>
      <c r="C21" s="64"/>
      <c r="D21" s="65"/>
      <c r="E21" s="65"/>
      <c r="F21" s="77"/>
    </row>
    <row r="22" spans="1:6" x14ac:dyDescent="0.25">
      <c r="A22" s="72"/>
      <c r="B22" s="64"/>
      <c r="C22" s="64"/>
      <c r="D22" s="65"/>
      <c r="E22" s="65"/>
      <c r="F22" s="77"/>
    </row>
    <row r="23" spans="1:6" x14ac:dyDescent="0.25">
      <c r="A23" s="72"/>
      <c r="B23" s="64"/>
      <c r="C23" s="64"/>
      <c r="D23" s="65"/>
      <c r="E23" s="65"/>
      <c r="F23" s="77"/>
    </row>
    <row r="24" spans="1:6" x14ac:dyDescent="0.25">
      <c r="A24" s="72"/>
      <c r="B24" s="64"/>
      <c r="C24" s="64"/>
      <c r="D24" s="65"/>
      <c r="E24" s="65"/>
      <c r="F24" s="77"/>
    </row>
    <row r="25" spans="1:6" x14ac:dyDescent="0.25">
      <c r="A25" s="72"/>
      <c r="B25" s="64"/>
      <c r="C25" s="64"/>
      <c r="D25" s="65"/>
      <c r="E25" s="65"/>
      <c r="F25" s="77"/>
    </row>
    <row r="26" spans="1:6" x14ac:dyDescent="0.25">
      <c r="A26" s="72"/>
      <c r="B26" s="64"/>
      <c r="C26" s="64"/>
      <c r="D26" s="65"/>
      <c r="E26" s="65"/>
      <c r="F26" s="77"/>
    </row>
    <row r="27" spans="1:6" x14ac:dyDescent="0.25">
      <c r="A27" s="72"/>
      <c r="B27" s="64"/>
      <c r="C27" s="64"/>
      <c r="D27" s="65"/>
      <c r="E27" s="65"/>
      <c r="F27" s="77"/>
    </row>
  </sheetData>
  <sheetProtection formatColumns="0" formatRows="0" insertRows="0" insertHyperlinks="0" deleteRows="0"/>
  <mergeCells count="1">
    <mergeCell ref="A7:F7"/>
  </mergeCells>
  <conditionalFormatting sqref="A9:A27">
    <cfRule type="expression" dxfId="20" priority="5">
      <formula>AND(COUNTIF(VariableTypeCV,$A11)=0,$A11&lt;&gt;"")</formula>
    </cfRule>
  </conditionalFormatting>
  <conditionalFormatting sqref="C9:C27">
    <cfRule type="expression" dxfId="19" priority="4">
      <formula>AND(COUNTIF(VariableNameCV,$C11)=0,$C11&lt;&gt;"")</formula>
    </cfRule>
  </conditionalFormatting>
  <conditionalFormatting sqref="A9:C27 F9:F27">
    <cfRule type="expression" dxfId="18" priority="3">
      <formula>AND(COUNTA($A11:$F11)&gt;0,$A11="")</formula>
    </cfRule>
  </conditionalFormatting>
  <conditionalFormatting sqref="A10:F27">
    <cfRule type="expression" dxfId="17" priority="2">
      <formula>AND(COUNTA($A11:$F11)=0,A12&lt;&gt;"")</formula>
    </cfRule>
  </conditionalFormatting>
  <conditionalFormatting sqref="E9:E27">
    <cfRule type="expression" dxfId="16"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6" customWidth="1"/>
    <col min="2" max="2" width="29.7109375" style="6" customWidth="1"/>
    <col min="3" max="3" width="64" style="78" customWidth="1"/>
    <col min="4" max="4" width="8" style="6" bestFit="1" customWidth="1"/>
    <col min="5" max="16384" width="9.140625" style="6"/>
  </cols>
  <sheetData>
    <row r="1" spans="1:5" x14ac:dyDescent="0.25">
      <c r="A1" s="26" t="s">
        <v>1420</v>
      </c>
    </row>
    <row r="2" spans="1:5" x14ac:dyDescent="0.25">
      <c r="A2" s="6" t="s">
        <v>1402</v>
      </c>
    </row>
    <row r="3" spans="1:5" x14ac:dyDescent="0.25">
      <c r="A3" s="26" t="s">
        <v>1403</v>
      </c>
    </row>
    <row r="4" spans="1:5" x14ac:dyDescent="0.25">
      <c r="A4" s="26" t="s">
        <v>1421</v>
      </c>
    </row>
    <row r="5" spans="1:5" x14ac:dyDescent="0.25">
      <c r="A5" s="26" t="s">
        <v>1174</v>
      </c>
    </row>
    <row r="6" spans="1:5" ht="15.75" thickBot="1" x14ac:dyDescent="0.3">
      <c r="A6" s="26" t="s">
        <v>1423</v>
      </c>
    </row>
    <row r="7" spans="1:5" ht="15.75" thickBot="1" x14ac:dyDescent="0.3">
      <c r="A7" s="26" t="s">
        <v>1422</v>
      </c>
      <c r="D7" s="27" t="s">
        <v>1204</v>
      </c>
      <c r="E7" s="28">
        <f>COUNTA(ProcessingLevelCodes)</f>
        <v>5</v>
      </c>
    </row>
    <row r="8" spans="1:5" ht="15.75" thickBot="1" x14ac:dyDescent="0.3"/>
    <row r="9" spans="1:5" x14ac:dyDescent="0.25">
      <c r="A9" s="220" t="s">
        <v>1177</v>
      </c>
      <c r="B9" s="221"/>
      <c r="C9" s="222"/>
    </row>
    <row r="10" spans="1:5" ht="15.75" thickBot="1" x14ac:dyDescent="0.3">
      <c r="A10" s="59" t="s">
        <v>1175</v>
      </c>
      <c r="B10" s="54" t="s">
        <v>1176</v>
      </c>
      <c r="C10" s="83" t="s">
        <v>1178</v>
      </c>
    </row>
    <row r="11" spans="1:5" ht="90.75" thickTop="1" x14ac:dyDescent="0.25">
      <c r="A11" s="79">
        <v>0</v>
      </c>
      <c r="B11" s="80" t="s">
        <v>1222</v>
      </c>
      <c r="C11" s="81" t="s">
        <v>1223</v>
      </c>
    </row>
    <row r="12" spans="1:5" ht="75" x14ac:dyDescent="0.25">
      <c r="A12" s="72">
        <v>1</v>
      </c>
      <c r="B12" s="65" t="s">
        <v>1224</v>
      </c>
      <c r="C12" s="82" t="s">
        <v>1280</v>
      </c>
    </row>
    <row r="13" spans="1:5" ht="60" x14ac:dyDescent="0.25">
      <c r="A13" s="72">
        <v>2</v>
      </c>
      <c r="B13" s="65" t="s">
        <v>1276</v>
      </c>
      <c r="C13" s="82" t="s">
        <v>1279</v>
      </c>
    </row>
    <row r="14" spans="1:5" ht="60" x14ac:dyDescent="0.25">
      <c r="A14" s="72">
        <v>3</v>
      </c>
      <c r="B14" s="65" t="s">
        <v>1277</v>
      </c>
      <c r="C14" s="82" t="s">
        <v>1281</v>
      </c>
    </row>
    <row r="15" spans="1:5" ht="75" x14ac:dyDescent="0.25">
      <c r="A15" s="72">
        <v>4</v>
      </c>
      <c r="B15" s="65" t="s">
        <v>1278</v>
      </c>
      <c r="C15" s="82" t="s">
        <v>1282</v>
      </c>
    </row>
    <row r="16" spans="1:5" x14ac:dyDescent="0.25">
      <c r="A16" s="72"/>
      <c r="B16" s="65"/>
      <c r="C16" s="82"/>
    </row>
    <row r="17" spans="1:3" x14ac:dyDescent="0.25">
      <c r="A17" s="72"/>
      <c r="B17" s="65"/>
      <c r="C17" s="82"/>
    </row>
    <row r="18" spans="1:3" x14ac:dyDescent="0.25">
      <c r="A18" s="72"/>
      <c r="B18" s="65"/>
      <c r="C18" s="82"/>
    </row>
    <row r="19" spans="1:3" x14ac:dyDescent="0.25">
      <c r="A19" s="72"/>
      <c r="B19" s="65"/>
      <c r="C19" s="82"/>
    </row>
    <row r="20" spans="1:3" x14ac:dyDescent="0.25">
      <c r="A20" s="72"/>
      <c r="B20" s="65"/>
      <c r="C20" s="82"/>
    </row>
    <row r="21" spans="1:3" x14ac:dyDescent="0.25">
      <c r="A21" s="72"/>
      <c r="B21" s="65"/>
      <c r="C21" s="82"/>
    </row>
    <row r="22" spans="1:3" x14ac:dyDescent="0.25">
      <c r="A22" s="72"/>
      <c r="B22" s="65"/>
      <c r="C22" s="82"/>
    </row>
    <row r="23" spans="1:3" x14ac:dyDescent="0.25">
      <c r="A23" s="72"/>
      <c r="B23" s="65"/>
      <c r="C23" s="82"/>
    </row>
    <row r="24" spans="1:3" x14ac:dyDescent="0.25">
      <c r="A24" s="72"/>
      <c r="B24" s="65"/>
      <c r="C24" s="82"/>
    </row>
    <row r="25" spans="1:3" x14ac:dyDescent="0.25">
      <c r="A25" s="72"/>
      <c r="B25" s="65"/>
      <c r="C25" s="82"/>
    </row>
    <row r="26" spans="1:3" x14ac:dyDescent="0.25">
      <c r="A26" s="72"/>
      <c r="B26" s="65"/>
      <c r="C26" s="82"/>
    </row>
    <row r="27" spans="1:3" x14ac:dyDescent="0.25">
      <c r="A27" s="72"/>
      <c r="B27" s="65"/>
      <c r="C27" s="82"/>
    </row>
    <row r="28" spans="1:3" x14ac:dyDescent="0.25">
      <c r="A28" s="72"/>
      <c r="B28" s="65"/>
      <c r="C28" s="82"/>
    </row>
  </sheetData>
  <sheetProtection formatColumns="0" formatRows="0" insertRows="0" insertHyperlinks="0" deleteRows="0"/>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1365</v>
      </c>
      <c r="C1" s="78"/>
    </row>
    <row r="2" spans="1:5" s="6" customFormat="1" x14ac:dyDescent="0.25">
      <c r="A2" s="26" t="s">
        <v>1366</v>
      </c>
      <c r="C2" s="78"/>
    </row>
    <row r="3" spans="1:5" s="6" customFormat="1" ht="15.75" thickBot="1" x14ac:dyDescent="0.3">
      <c r="A3" s="26" t="s">
        <v>1493</v>
      </c>
      <c r="C3" s="78"/>
    </row>
    <row r="4" spans="1:5" s="6" customFormat="1" ht="15.75" thickBot="1" x14ac:dyDescent="0.3">
      <c r="A4" s="26" t="s">
        <v>1367</v>
      </c>
      <c r="C4" s="78"/>
      <c r="D4" s="27" t="s">
        <v>1368</v>
      </c>
      <c r="E4" s="28">
        <f>COUNTA(TaxClassifiers)</f>
        <v>0</v>
      </c>
    </row>
    <row r="5" spans="1:5" ht="15.75" thickBot="1" x14ac:dyDescent="0.3"/>
    <row r="6" spans="1:5" x14ac:dyDescent="0.25">
      <c r="A6" s="226" t="s">
        <v>1373</v>
      </c>
      <c r="B6" s="227"/>
      <c r="C6" s="227"/>
      <c r="D6" s="228"/>
    </row>
    <row r="7" spans="1:5" ht="15.75" thickBot="1" x14ac:dyDescent="0.3">
      <c r="A7" s="87" t="s">
        <v>1369</v>
      </c>
      <c r="B7" s="88" t="s">
        <v>1370</v>
      </c>
      <c r="C7" s="145" t="s">
        <v>1371</v>
      </c>
      <c r="D7" s="146" t="s">
        <v>1372</v>
      </c>
    </row>
    <row r="8" spans="1:5" ht="15.75" thickTop="1" x14ac:dyDescent="0.25">
      <c r="A8" s="17"/>
      <c r="B8" s="18"/>
      <c r="C8" s="19"/>
      <c r="D8" s="43"/>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formatColumns="0" formatRows="0" insertRows="0" insertHyperlinks="0" deleteRows="0"/>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topLeftCell="E1" zoomScale="115" zoomScaleNormal="115" zoomScalePageLayoutView="150" workbookViewId="0">
      <selection activeCell="D6" sqref="D6"/>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39" customWidth="1"/>
    <col min="30" max="30" width="12.85546875" style="6" customWidth="1"/>
    <col min="31" max="56" width="12.140625" style="6" customWidth="1"/>
    <col min="57" max="16384" width="8.85546875" style="6"/>
  </cols>
  <sheetData>
    <row r="1" spans="1:29" s="26" customFormat="1" x14ac:dyDescent="0.25">
      <c r="A1" s="26" t="s">
        <v>135</v>
      </c>
      <c r="AC1" s="173"/>
    </row>
    <row r="2" spans="1:29" s="26" customFormat="1" ht="15.75" thickBot="1" x14ac:dyDescent="0.3">
      <c r="A2" s="26" t="s">
        <v>7410</v>
      </c>
      <c r="AC2" s="173"/>
    </row>
    <row r="3" spans="1:29" s="26" customFormat="1" ht="15.75" thickBot="1" x14ac:dyDescent="0.3">
      <c r="A3" s="26" t="s">
        <v>1193</v>
      </c>
      <c r="N3" s="164"/>
      <c r="U3" s="85" t="s">
        <v>1195</v>
      </c>
      <c r="V3" s="28">
        <f ca="1">MAX(DataColumns[Col'#])</f>
        <v>16</v>
      </c>
      <c r="AC3" s="173"/>
    </row>
    <row r="4" spans="1:29" s="26" customFormat="1" ht="15.75" thickBot="1" x14ac:dyDescent="0.3">
      <c r="A4" s="26" t="s">
        <v>1221</v>
      </c>
      <c r="N4" s="164"/>
      <c r="U4" s="85" t="s">
        <v>1397</v>
      </c>
      <c r="V4" s="28">
        <f ca="1">INDEX(DataColumns[Col'#],MATCH("SpecimenCode",DataColumns[ColumnType],0))</f>
        <v>3</v>
      </c>
      <c r="AC4" s="173"/>
    </row>
    <row r="5" spans="1:29" s="26" customFormat="1" ht="15.75" thickBot="1" x14ac:dyDescent="0.3">
      <c r="A5" s="26" t="s">
        <v>1194</v>
      </c>
      <c r="N5" s="164"/>
      <c r="U5" s="85" t="s">
        <v>1396</v>
      </c>
      <c r="V5" s="28">
        <f ca="1">COUNTA(INDIRECT(CONCATENATE("'Data Values'!R2C",SpecimenColumnNumber,":R96129C",SpecimenColumnNumber),FALSE))</f>
        <v>277</v>
      </c>
      <c r="AC5" s="173"/>
    </row>
    <row r="6" spans="1:29" s="26" customFormat="1" ht="15.75" thickBot="1" x14ac:dyDescent="0.3">
      <c r="A6" s="26" t="s">
        <v>1556</v>
      </c>
      <c r="N6" s="164"/>
      <c r="U6" s="85" t="s">
        <v>1400</v>
      </c>
      <c r="V6" s="28">
        <f>COUNTIF(DataColumns[ColumnType],"ResultValue")</f>
        <v>6</v>
      </c>
      <c r="AC6" s="173"/>
    </row>
    <row r="7" spans="1:29" s="26" customFormat="1" x14ac:dyDescent="0.25">
      <c r="A7" s="26" t="s">
        <v>7401</v>
      </c>
      <c r="N7" s="164"/>
      <c r="AC7" s="173"/>
    </row>
    <row r="8" spans="1:29" s="26" customFormat="1" x14ac:dyDescent="0.25">
      <c r="A8" s="26" t="s">
        <v>1383</v>
      </c>
      <c r="N8" s="164"/>
      <c r="AC8" s="173"/>
    </row>
    <row r="9" spans="1:29" s="26" customFormat="1" ht="15.75" thickBot="1" x14ac:dyDescent="0.3">
      <c r="AC9" s="173"/>
    </row>
    <row r="10" spans="1:29" s="26" customFormat="1" x14ac:dyDescent="0.25">
      <c r="A10" s="229" t="s">
        <v>1458</v>
      </c>
      <c r="B10" s="230"/>
      <c r="C10" s="230"/>
      <c r="D10" s="231"/>
      <c r="E10" s="229" t="s">
        <v>1459</v>
      </c>
      <c r="F10" s="230"/>
      <c r="G10" s="230"/>
      <c r="H10" s="230"/>
      <c r="I10" s="230"/>
      <c r="J10" s="230"/>
      <c r="K10" s="230"/>
      <c r="L10" s="230"/>
      <c r="M10" s="231"/>
      <c r="N10" s="229" t="s">
        <v>1460</v>
      </c>
      <c r="O10" s="230"/>
      <c r="P10" s="230"/>
      <c r="Q10" s="230"/>
      <c r="R10" s="230"/>
      <c r="S10" s="230"/>
      <c r="T10" s="230"/>
      <c r="U10" s="230"/>
      <c r="V10" s="230"/>
      <c r="W10" s="230"/>
      <c r="X10" s="230"/>
      <c r="Y10" s="230"/>
      <c r="Z10" s="230"/>
      <c r="AA10" s="230"/>
      <c r="AB10" s="230"/>
      <c r="AC10" s="231"/>
    </row>
    <row r="11" spans="1:29" s="170" customFormat="1" ht="12.75" x14ac:dyDescent="0.2">
      <c r="A11" s="165"/>
      <c r="B11" s="166" t="s">
        <v>1382</v>
      </c>
      <c r="C11" s="166" t="s">
        <v>1382</v>
      </c>
      <c r="D11" s="167" t="s">
        <v>1382</v>
      </c>
      <c r="E11" s="165">
        <f ca="1">IF(ISERROR(MATCH(INDIRECT(CONCATENATE("R",ROW()+1,"C",COLUMN()),FALSE),DataColumns[ColumnType],0)),INDEX(SpecimenColumnFinder[REQUIRED],MATCH(INDIRECT(CONCATENATE("R",ROW()+1,"C",COLUMN()),FALSE),SpecimenColumnFinder[DataType],0)),2)</f>
        <v>2</v>
      </c>
      <c r="F11" s="166" t="str">
        <f ca="1">IF(ISERROR(MATCH(INDIRECT(CONCATENATE("R",ROW()+1,"C",COLUMN()),FALSE),DataColumns[ColumnType],0)),INDEX(SpecimenColumnFinder[REQUIRED],MATCH(INDIRECT(CONCATENATE("R",ROW()+1,"C",COLUMN()),FALSE),SpecimenColumnFinder[DataType],0)),2)</f>
        <v>Optional</v>
      </c>
      <c r="G11" s="166">
        <f ca="1">IF(ISERROR(MATCH(INDIRECT(CONCATENATE("R",ROW()+1,"C",COLUMN()),FALSE),DataColumns[ColumnType],0)),INDEX(SpecimenColumnFinder[REQUIRED],MATCH(INDIRECT(CONCATENATE("R",ROW()+1,"C",COLUMN()),FALSE),SpecimenColumnFinder[DataType],0)),2)</f>
        <v>2</v>
      </c>
      <c r="H11" s="166">
        <f ca="1">IF(ISERROR(MATCH(INDIRECT(CONCATENATE("R",ROW()+1,"C",COLUMN()),FALSE),DataColumns[ColumnType],0)),INDEX(SpecimenColumnFinder[REQUIRED],MATCH(INDIRECT(CONCATENATE("R",ROW()+1,"C",COLUMN()),FALSE),SpecimenColumnFinder[DataType],0)),2)</f>
        <v>2</v>
      </c>
      <c r="I11" s="166">
        <f ca="1">IF(ISERROR(MATCH(INDIRECT(CONCATENATE("R",ROW()+1,"C",COLUMN()),FALSE),DataColumns[ColumnType],0)),INDEX(SpecimenColumnFinder[REQUIRED],MATCH(INDIRECT(CONCATENATE("R",ROW()+1,"C",COLUMN()),FALSE),SpecimenColumnFinder[DataType],0)),2)</f>
        <v>2</v>
      </c>
      <c r="J11" s="166" t="str">
        <f ca="1">IF(ISERROR(MATCH(INDIRECT(CONCATENATE("R",ROW()+1,"C",COLUMN()),FALSE),DataColumns[ColumnType],0)),INDEX(SpecimenColumnFinder[REQUIRED],MATCH(INDIRECT(CONCATENATE("R",ROW()+1,"C",COLUMN()),FALSE),SpecimenColumnFinder[DataType],0)),2)</f>
        <v>REQUIRED</v>
      </c>
      <c r="K11" s="166">
        <f ca="1">IF(ISERROR(MATCH(INDIRECT(CONCATENATE("R",ROW()+1,"C",COLUMN()),FALSE),DataColumns[ColumnType],0)),INDEX(SpecimenColumnFinder[REQUIRED],MATCH(INDIRECT(CONCATENATE("R",ROW()+1,"C",COLUMN()),FALSE),SpecimenColumnFinder[DataType],0)),2)</f>
        <v>2</v>
      </c>
      <c r="L11" s="166" t="str">
        <f ca="1">IF(ISERROR(MATCH(INDIRECT(CONCATENATE("R",ROW()+1,"C",COLUMN()),FALSE),DataColumns[ColumnType],0)),INDEX(SpecimenColumnFinder[REQUIRED],MATCH(INDIRECT(CONCATENATE("R",ROW()+1,"C",COLUMN()),FALSE),SpecimenColumnFinder[DataType],0)),2)</f>
        <v>REQUIRED</v>
      </c>
      <c r="M11" s="167" t="str">
        <f ca="1">IF(ISERROR(MATCH(INDIRECT(CONCATENATE("R",ROW()+1,"C",COLUMN()),FALSE),DataColumns[ColumnType],0)),INDEX(SpecimenColumnFinder[REQUIRED],MATCH(INDIRECT(CONCATENATE("R",ROW()+1,"C",COLUMN()),FALSE),SpecimenColumnFinder[DataType],0)),2)</f>
        <v>Optional</v>
      </c>
      <c r="N11" s="165" t="str">
        <f ca="1">IF(ISERROR(MATCH(INDIRECT(CONCATENATE("R",ROW()+1,"C",COLUMN()),FALSE),DataColumns[ColumnType],0)),INDEX(ResultColumnFinder[REQUIRED],MATCH(INDIRECT(CONCATENATE("R",ROW()+1,"C",COLUMN()),FALSE),ResultColumnFinder[DataType],0)),2)</f>
        <v>REQUIRED</v>
      </c>
      <c r="O11" s="166" t="str">
        <f ca="1">IF(ISERROR(MATCH(INDIRECT(CONCATENATE("R",ROW()+1,"C",COLUMN()),FALSE),DataColumns[ColumnType],0)),INDEX(ResultColumnFinder[REQUIRED],MATCH(INDIRECT(CONCATENATE("R",ROW()+1,"C",COLUMN()),FALSE),ResultColumnFinder[DataType],0)),2)</f>
        <v>REQUIRED</v>
      </c>
      <c r="P11" s="166" t="str">
        <f ca="1">IF(ISERROR(MATCH(INDIRECT(CONCATENATE("R",ROW()+1,"C",COLUMN()),FALSE),DataColumns[ColumnType],0)),INDEX(ResultColumnFinder[REQUIRED],MATCH(INDIRECT(CONCATENATE("R",ROW()+1,"C",COLUMN()),FALSE),ResultColumnFinder[DataType],0)),2)</f>
        <v>REQUIRED</v>
      </c>
      <c r="Q11" s="166" t="str">
        <f ca="1">IF(ISERROR(MATCH(INDIRECT(CONCATENATE("R",ROW()+1,"C",COLUMN()),FALSE),DataColumns[ColumnType],0)),INDEX(ResultColumnFinder[REQUIRED],MATCH(INDIRECT(CONCATENATE("R",ROW()+1,"C",COLUMN()),FALSE),ResultColumnFinder[DataType],0)),2)</f>
        <v>REQUIRED</v>
      </c>
      <c r="R11" s="166" t="str">
        <f ca="1">IF(ISERROR(MATCH(INDIRECT(CONCATENATE("R",ROW()+1,"C",COLUMN()),FALSE),DataColumns[ColumnType],0)),INDEX(ResultColumnFinder[REQUIRED],MATCH(INDIRECT(CONCATENATE("R",ROW()+1,"C",COLUMN()),FALSE),ResultColumnFinder[DataType],0)),2)</f>
        <v>Optional</v>
      </c>
      <c r="S11" s="166">
        <f ca="1">IF(ISERROR(MATCH(INDIRECT(CONCATENATE("R",ROW()+1,"C",COLUMN()),FALSE),DataColumns[ColumnType],0)),INDEX(ResultColumnFinder[REQUIRED],MATCH(INDIRECT(CONCATENATE("R",ROW()+1,"C",COLUMN()),FALSE),ResultColumnFinder[DataType],0)),2)</f>
        <v>2</v>
      </c>
      <c r="T11" s="166" t="str">
        <f ca="1">IF(ISERROR(MATCH(INDIRECT(CONCATENATE("R",ROW()+1,"C",COLUMN()),FALSE),DataColumns[ColumnType],0)),INDEX(ResultColumnFinder[REQUIRED],MATCH(INDIRECT(CONCATENATE("R",ROW()+1,"C",COLUMN()),FALSE),ResultColumnFinder[DataType],0)),2)</f>
        <v>REQUIRED</v>
      </c>
      <c r="U11" s="166">
        <f ca="1">IF(ISERROR(MATCH(INDIRECT(CONCATENATE("R",ROW()+1,"C",COLUMN()),FALSE),DataColumns[ColumnType],0)),INDEX(ResultColumnFinder[REQUIRED],MATCH(INDIRECT(CONCATENATE("R",ROW()+1,"C",COLUMN()),FALSE),ResultColumnFinder[DataType],0)),2)</f>
        <v>2</v>
      </c>
      <c r="V11" s="166" t="str">
        <f ca="1">IF(ISERROR(MATCH(INDIRECT(CONCATENATE("R",ROW()+1,"C",COLUMN()),FALSE),DataColumns[ColumnType],0)),INDEX(ResultColumnFinder[REQUIRED],MATCH(INDIRECT(CONCATENATE("R",ROW()+1,"C",COLUMN()),FALSE),ResultColumnFinder[DataType],0)),2)</f>
        <v>REQUIRED</v>
      </c>
      <c r="W11" s="166" t="str">
        <f ca="1">IF(ISERROR(MATCH(INDIRECT(CONCATENATE("R",ROW()+1,"C",COLUMN()),FALSE),DataColumns[ColumnType],0)),INDEX(ResultColumnFinder[REQUIRED],MATCH(INDIRECT(CONCATENATE("R",ROW()+1,"C",COLUMN()),FALSE),ResultColumnFinder[DataType],0)),2)</f>
        <v>REQUIRED</v>
      </c>
      <c r="X11" s="166" t="str">
        <f ca="1">IF(ISERROR(MATCH(INDIRECT(CONCATENATE("R",ROW()+1,"C",COLUMN()),FALSE),DataColumns[ColumnType],0)),INDEX(ResultColumnFinder[REQUIRED],MATCH(INDIRECT(CONCATENATE("R",ROW()+1,"C",COLUMN()),FALSE),ResultColumnFinder[DataType],0)),2)</f>
        <v>Optional</v>
      </c>
      <c r="Y11" s="168" t="str">
        <f ca="1">IF(ISERROR(MATCH(INDIRECT(CONCATENATE("R",ROW()+1,"C",COLUMN()),FALSE),DataColumns[ColumnType],0)),INDEX(ResultColumnFinder[REQUIRED],MATCH(INDIRECT(CONCATENATE("R",ROW()+1,"C",COLUMN()),FALSE),ResultColumnFinder[DataType],0)),2)</f>
        <v>REQUIRED</v>
      </c>
      <c r="Z11" s="169" t="str">
        <f ca="1">IF(ISERROR(MATCH(INDIRECT(CONCATENATE("R",ROW()+1,"C",COLUMN()),FALSE),DataColumns[ColumnType],0)),INDEX(ResultColumnFinder[REQUIRED],MATCH(INDIRECT(CONCATENATE("R",ROW()+1,"C",COLUMN()),FALSE),ResultColumnFinder[DataType],0)),2)</f>
        <v>REQUIRED</v>
      </c>
      <c r="AA11" s="169" t="str">
        <f ca="1">IF(ISERROR(MATCH(INDIRECT(CONCATENATE("R",ROW()+1,"C",COLUMN()),FALSE),DataColumns[ColumnType],0)),INDEX(ResultColumnFinder[REQUIRED],MATCH(INDIRECT(CONCATENATE("R",ROW()+1,"C",COLUMN()),FALSE),ResultColumnFinder[DataType],0)),2)</f>
        <v>REQUIRED</v>
      </c>
      <c r="AB11" s="168">
        <v>3</v>
      </c>
      <c r="AC11" s="174">
        <v>3</v>
      </c>
    </row>
    <row r="12" spans="1:29" s="26" customFormat="1" ht="15.75" thickBot="1" x14ac:dyDescent="0.3">
      <c r="A12" s="84" t="s">
        <v>1452</v>
      </c>
      <c r="B12" s="59" t="s">
        <v>1453</v>
      </c>
      <c r="C12" s="59" t="s">
        <v>1454</v>
      </c>
      <c r="D12" s="154" t="s">
        <v>1457</v>
      </c>
      <c r="E12" s="70" t="s">
        <v>1476</v>
      </c>
      <c r="F12" s="59" t="s">
        <v>198</v>
      </c>
      <c r="G12" s="59" t="s">
        <v>1427</v>
      </c>
      <c r="H12" s="54" t="s">
        <v>1461</v>
      </c>
      <c r="I12" s="54" t="s">
        <v>1521</v>
      </c>
      <c r="J12" s="54" t="s">
        <v>1384</v>
      </c>
      <c r="K12" s="60" t="s">
        <v>196</v>
      </c>
      <c r="L12" s="54" t="s">
        <v>1456</v>
      </c>
      <c r="M12" s="142" t="s">
        <v>1477</v>
      </c>
      <c r="N12" s="70" t="s">
        <v>1138</v>
      </c>
      <c r="O12" s="59" t="s">
        <v>1450</v>
      </c>
      <c r="P12" s="54" t="s">
        <v>1449</v>
      </c>
      <c r="Q12" s="54" t="s">
        <v>201</v>
      </c>
      <c r="R12" s="54" t="s">
        <v>1462</v>
      </c>
      <c r="S12" s="54" t="s">
        <v>1429</v>
      </c>
      <c r="T12" s="54" t="s">
        <v>1522</v>
      </c>
      <c r="U12" s="54" t="s">
        <v>1364</v>
      </c>
      <c r="V12" s="54" t="s">
        <v>1143</v>
      </c>
      <c r="W12" s="54" t="s">
        <v>1144</v>
      </c>
      <c r="X12" s="54" t="s">
        <v>1381</v>
      </c>
      <c r="Y12" s="54" t="s">
        <v>1362</v>
      </c>
      <c r="Z12" s="54" t="s">
        <v>1363</v>
      </c>
      <c r="AA12" s="54" t="s">
        <v>1154</v>
      </c>
      <c r="AB12" s="176" t="s">
        <v>1496</v>
      </c>
      <c r="AC12" s="175" t="s">
        <v>1499</v>
      </c>
    </row>
    <row r="13" spans="1:29" ht="15.75" thickTop="1" x14ac:dyDescent="0.25">
      <c r="A13" s="46">
        <f ca="1">IF(COUNTA(DataColumns[[#This Row],[ColumnLabel]:[QualityCodeCV]])&gt;0,IF(MAX(INDIRECT(CONCATENATE("R",ROW(DataColumns[#Headers]),"C",COLUMN(),":R",ROW()-1,"C",COLUMN()),FALSE))=0,1,MAX(INDIRECT(CONCATENATE("R",ROW(DataColumns[#Headers]),"C",COLUMN(),":R",ROW()-1,"C",COLUMN()),FALSE))+1),"")</f>
        <v>1</v>
      </c>
      <c r="B13" s="132" t="s">
        <v>1300</v>
      </c>
      <c r="C13" s="7" t="s">
        <v>1426</v>
      </c>
      <c r="D13" s="155"/>
      <c r="E13" s="160"/>
      <c r="F13" s="171"/>
      <c r="G13" s="152"/>
      <c r="H13" s="7"/>
      <c r="I13" s="7"/>
      <c r="J13" s="7"/>
      <c r="K13" s="158"/>
      <c r="L13" s="7"/>
      <c r="M13" s="163"/>
      <c r="N13" s="132"/>
      <c r="O13" s="152"/>
      <c r="P13" s="7"/>
      <c r="Q13" s="7"/>
      <c r="R13" s="147"/>
      <c r="S13" s="147"/>
      <c r="T13" s="7"/>
      <c r="U13" s="7"/>
      <c r="V13" s="7"/>
      <c r="W13" s="7"/>
      <c r="X13" s="147"/>
      <c r="Y13" s="7"/>
      <c r="Z13" s="7"/>
      <c r="AA13" s="7"/>
      <c r="AB13" s="177" t="str">
        <f ca="1">IF(DataColumns[[#This Row],[ColumnType]]="ResultValue",IF(MAX(INDIRECT(CONCATENATE("R",ROW(DataColumns[#Headers]),"C",COLUMN(),":R",ROW()-1,"C",COLUMN()),FALSE))=0,1,MAX(INDIRECT(CONCATENATE("R",ROW(DataColumns[#Headers]),"C",COLUMN(),":R",ROW()-1,"C",COLUMN()),FALSE))+1),"")</f>
        <v/>
      </c>
      <c r="AC13" s="125" t="str">
        <f>IF(DataColumns[[#This Row],[ColumnType]]="ResultValue",CONCATENATE(DataColumns[[#This Row],[ColumnType]],DataColumns[[#This Row],[ColumnLabel]]),CONCATENATE(DataColumns[[#This Row],[ColumnType]],DataColumns[[#This Row],[AppliesToColumn]]))</f>
        <v>CollectionDateTime</v>
      </c>
    </row>
    <row r="14" spans="1:29" x14ac:dyDescent="0.25">
      <c r="A14" s="47">
        <f ca="1">IF(COUNTA(DataColumns[[#This Row],[ColumnLabel]:[QualityCodeCV]])&gt;0,IF(MAX(INDIRECT(CONCATENATE("R",ROW(DataColumns[#Headers]),"C",COLUMN(),":R",ROW()-1,"C",COLUMN()),FALSE))=0,1,MAX(INDIRECT(CONCATENATE("R",ROW(DataColumns[#Headers]),"C",COLUMN(),":R",ROW()-1,"C",COLUMN()),FALSE))+1),"")</f>
        <v>2</v>
      </c>
      <c r="B14" s="105" t="s">
        <v>1169</v>
      </c>
      <c r="C14" s="10" t="s">
        <v>1427</v>
      </c>
      <c r="D14" s="156"/>
      <c r="E14" s="161"/>
      <c r="F14" s="139"/>
      <c r="G14" s="9"/>
      <c r="H14" s="10"/>
      <c r="I14" s="10"/>
      <c r="J14" s="10"/>
      <c r="K14" s="34"/>
      <c r="L14" s="10"/>
      <c r="M14" s="133"/>
      <c r="N14" s="105"/>
      <c r="O14" s="9"/>
      <c r="P14" s="10"/>
      <c r="Q14" s="10"/>
      <c r="R14" s="21"/>
      <c r="S14" s="21"/>
      <c r="T14" s="10"/>
      <c r="U14" s="10"/>
      <c r="V14" s="10"/>
      <c r="W14" s="10"/>
      <c r="X14" s="21"/>
      <c r="Y14" s="10"/>
      <c r="Z14" s="10"/>
      <c r="AA14" s="10"/>
      <c r="AB14" s="178" t="str">
        <f ca="1">IF(DataColumns[[#This Row],[ColumnType]]="ResultValue",IF(MAX(INDIRECT(CONCATENATE("R",ROW(DataColumns[#Headers]),"C",COLUMN(),":R",ROW()-1,"C",COLUMN()),FALSE))=0,1,MAX(INDIRECT(CONCATENATE("R",ROW(DataColumns[#Headers]),"C",COLUMN(),":R",ROW()-1,"C",COLUMN()),FALSE))+1),"")</f>
        <v/>
      </c>
      <c r="AC14" s="126" t="str">
        <f>IF(DataColumns[[#This Row],[ColumnType]]="ResultValue",CONCATENATE(DataColumns[[#This Row],[ColumnType]],DataColumns[[#This Row],[ColumnLabel]]),CONCATENATE(DataColumns[[#This Row],[ColumnType]],DataColumns[[#This Row],[AppliesToColumn]]))</f>
        <v>CollectionDateTimeUTCOffset</v>
      </c>
    </row>
    <row r="15" spans="1:29" x14ac:dyDescent="0.25">
      <c r="A15" s="47">
        <f ca="1">IF(COUNTA(DataColumns[[#This Row],[ColumnLabel]:[QualityCodeCV]])&gt;0,IF(MAX(INDIRECT(CONCATENATE("R",ROW(DataColumns[#Headers]),"C",COLUMN(),":R",ROW()-1,"C",COLUMN()),FALSE))=0,1,MAX(INDIRECT(CONCATENATE("R",ROW(DataColumns[#Headers]),"C",COLUMN(),":R",ROW()-1,"C",COLUMN()),FALSE))+1),"")</f>
        <v>3</v>
      </c>
      <c r="B15" s="105" t="s">
        <v>1301</v>
      </c>
      <c r="C15" s="10" t="s">
        <v>1539</v>
      </c>
      <c r="D15" s="156"/>
      <c r="E15" s="161"/>
      <c r="F15" s="139"/>
      <c r="G15" s="9"/>
      <c r="H15" s="10"/>
      <c r="I15" s="10"/>
      <c r="J15" s="10" t="s">
        <v>203</v>
      </c>
      <c r="K15" s="34"/>
      <c r="L15" s="10" t="b">
        <v>1</v>
      </c>
      <c r="M15" s="133"/>
      <c r="N15" s="105"/>
      <c r="O15" s="9"/>
      <c r="P15" s="10"/>
      <c r="Q15" s="10"/>
      <c r="R15" s="21"/>
      <c r="S15" s="21"/>
      <c r="T15" s="10"/>
      <c r="U15" s="10"/>
      <c r="V15" s="10"/>
      <c r="W15" s="10"/>
      <c r="X15" s="21"/>
      <c r="Y15" s="10"/>
      <c r="Z15" s="10"/>
      <c r="AA15" s="10"/>
      <c r="AB15" s="178" t="str">
        <f ca="1">IF(DataColumns[[#This Row],[ColumnType]]="ResultValue",IF(MAX(INDIRECT(CONCATENATE("R",ROW(DataColumns[#Headers]),"C",COLUMN(),":R",ROW()-1,"C",COLUMN()),FALSE))=0,1,MAX(INDIRECT(CONCATENATE("R",ROW(DataColumns[#Headers]),"C",COLUMN(),":R",ROW()-1,"C",COLUMN()),FALSE))+1),"")</f>
        <v/>
      </c>
      <c r="AC15" s="126" t="str">
        <f>IF(DataColumns[[#This Row],[ColumnType]]="ResultValue",CONCATENATE(DataColumns[[#This Row],[ColumnType]],DataColumns[[#This Row],[ColumnLabel]]),CONCATENATE(DataColumns[[#This Row],[ColumnType]],DataColumns[[#This Row],[AppliesToColumn]]))</f>
        <v>SpecimenCode</v>
      </c>
    </row>
    <row r="16" spans="1:29" x14ac:dyDescent="0.25">
      <c r="A16" s="47">
        <f ca="1">IF(COUNTA(DataColumns[[#This Row],[ColumnLabel]:[QualityCodeCV]])&gt;0,IF(MAX(INDIRECT(CONCATENATE("R",ROW(DataColumns[#Headers]),"C",COLUMN(),":R",ROW()-1,"C",COLUMN()),FALSE))=0,1,MAX(INDIRECT(CONCATENATE("R",ROW(DataColumns[#Headers]),"C",COLUMN(),":R",ROW()-1,"C",COLUMN()),FALSE))+1),"")</f>
        <v>4</v>
      </c>
      <c r="B16" s="105" t="s">
        <v>1302</v>
      </c>
      <c r="C16" s="10" t="s">
        <v>1476</v>
      </c>
      <c r="D16" s="156"/>
      <c r="E16" s="161"/>
      <c r="F16" s="139"/>
      <c r="G16" s="9"/>
      <c r="H16" s="10"/>
      <c r="I16" s="10"/>
      <c r="J16" s="10"/>
      <c r="K16" s="34"/>
      <c r="L16" s="10"/>
      <c r="M16" s="133"/>
      <c r="N16" s="105"/>
      <c r="O16" s="9"/>
      <c r="P16" s="10"/>
      <c r="Q16" s="10"/>
      <c r="R16" s="21"/>
      <c r="S16" s="21"/>
      <c r="T16" s="10"/>
      <c r="U16" s="10"/>
      <c r="V16" s="10"/>
      <c r="W16" s="10"/>
      <c r="X16" s="21"/>
      <c r="Y16" s="10"/>
      <c r="Z16" s="10"/>
      <c r="AA16" s="10"/>
      <c r="AB16" s="178" t="str">
        <f ca="1">IF(DataColumns[[#This Row],[ColumnType]]="ResultValue",IF(MAX(INDIRECT(CONCATENATE("R",ROW(DataColumns[#Headers]),"C",COLUMN(),":R",ROW()-1,"C",COLUMN()),FALSE))=0,1,MAX(INDIRECT(CONCATENATE("R",ROW(DataColumns[#Headers]),"C",COLUMN(),":R",ROW()-1,"C",COLUMN()),FALSE))+1),"")</f>
        <v/>
      </c>
      <c r="AC16" s="126" t="str">
        <f>IF(DataColumns[[#This Row],[ColumnType]]="ResultValue",CONCATENATE(DataColumns[[#This Row],[ColumnType]],DataColumns[[#This Row],[ColumnLabel]]),CONCATENATE(DataColumns[[#This Row],[ColumnType]],DataColumns[[#This Row],[AppliesToColumn]]))</f>
        <v>ParentSamplingFeatureCode</v>
      </c>
    </row>
    <row r="17" spans="1:29" x14ac:dyDescent="0.25">
      <c r="A17" s="47">
        <f ca="1">IF(COUNTA(DataColumns[[#This Row],[ColumnLabel]:[QualityCodeCV]])&gt;0,IF(MAX(INDIRECT(CONCATENATE("R",ROW(DataColumns[#Headers]),"C",COLUMN(),":R",ROW()-1,"C",COLUMN()),FALSE))=0,1,MAX(INDIRECT(CONCATENATE("R",ROW(DataColumns[#Headers]),"C",COLUMN(),":R",ROW()-1,"C",COLUMN()),FALSE))+1),"")</f>
        <v>5</v>
      </c>
      <c r="B17" s="105" t="s">
        <v>1529</v>
      </c>
      <c r="C17" s="10" t="s">
        <v>196</v>
      </c>
      <c r="D17" s="156"/>
      <c r="E17" s="161"/>
      <c r="F17" s="139"/>
      <c r="G17" s="9"/>
      <c r="H17" s="10"/>
      <c r="I17" s="10"/>
      <c r="J17" s="10"/>
      <c r="K17" s="34"/>
      <c r="L17" s="10"/>
      <c r="M17" s="133"/>
      <c r="N17" s="105"/>
      <c r="O17" s="9"/>
      <c r="P17" s="10"/>
      <c r="Q17" s="10"/>
      <c r="R17" s="21"/>
      <c r="S17" s="21"/>
      <c r="T17" s="10"/>
      <c r="U17" s="10"/>
      <c r="V17" s="10"/>
      <c r="W17" s="10"/>
      <c r="X17" s="21"/>
      <c r="Y17" s="10"/>
      <c r="Z17" s="10"/>
      <c r="AA17" s="10"/>
      <c r="AB17" s="178" t="str">
        <f ca="1">IF(DataColumns[[#This Row],[ColumnType]]="ResultValue",IF(MAX(INDIRECT(CONCATENATE("R",ROW(DataColumns[#Headers]),"C",COLUMN(),":R",ROW()-1,"C",COLUMN()),FALSE))=0,1,MAX(INDIRECT(CONCATENATE("R",ROW(DataColumns[#Headers]),"C",COLUMN(),":R",ROW()-1,"C",COLUMN()),FALSE))+1),"")</f>
        <v/>
      </c>
      <c r="AC17" s="126" t="str">
        <f>IF(DataColumns[[#This Row],[ColumnType]]="ResultValue",CONCATENATE(DataColumns[[#This Row],[ColumnType]],DataColumns[[#This Row],[ColumnLabel]]),CONCATENATE(DataColumns[[#This Row],[ColumnType]],DataColumns[[#This Row],[AppliesToColumn]]))</f>
        <v>SpecimenTypeCV</v>
      </c>
    </row>
    <row r="18" spans="1:29" x14ac:dyDescent="0.25">
      <c r="A18" s="47">
        <f ca="1">IF(COUNTA(DataColumns[[#This Row],[ColumnLabel]:[QualityCodeCV]])&gt;0,IF(MAX(INDIRECT(CONCATENATE("R",ROW(DataColumns[#Headers]),"C",COLUMN(),":R",ROW()-1,"C",COLUMN()),FALSE))=0,1,MAX(INDIRECT(CONCATENATE("R",ROW(DataColumns[#Headers]),"C",COLUMN(),":R",ROW()-1,"C",COLUMN()),FALSE))+1),"")</f>
        <v>6</v>
      </c>
      <c r="B18" s="105" t="s">
        <v>1530</v>
      </c>
      <c r="C18" s="10" t="s">
        <v>1521</v>
      </c>
      <c r="D18" s="156"/>
      <c r="E18" s="161"/>
      <c r="F18" s="139"/>
      <c r="G18" s="9"/>
      <c r="H18" s="10"/>
      <c r="I18" s="10"/>
      <c r="J18" s="10"/>
      <c r="K18" s="34"/>
      <c r="L18" s="10"/>
      <c r="M18" s="133"/>
      <c r="N18" s="105"/>
      <c r="O18" s="9"/>
      <c r="P18" s="10"/>
      <c r="Q18" s="10"/>
      <c r="R18" s="21"/>
      <c r="S18" s="21"/>
      <c r="T18" s="10"/>
      <c r="U18" s="10"/>
      <c r="V18" s="10"/>
      <c r="W18" s="10"/>
      <c r="X18" s="21"/>
      <c r="Y18" s="10"/>
      <c r="Z18" s="10"/>
      <c r="AA18" s="10"/>
      <c r="AB18" s="178" t="str">
        <f ca="1">IF(DataColumns[[#This Row],[ColumnType]]="ResultValue",IF(MAX(INDIRECT(CONCATENATE("R",ROW(DataColumns[#Headers]),"C",COLUMN(),":R",ROW()-1,"C",COLUMN()),FALSE))=0,1,MAX(INDIRECT(CONCATENATE("R",ROW(DataColumns[#Headers]),"C",COLUMN(),":R",ROW()-1,"C",COLUMN()),FALSE))+1),"")</f>
        <v/>
      </c>
      <c r="AC18" s="126" t="str">
        <f>IF(DataColumns[[#This Row],[ColumnType]]="ResultValue",CONCATENATE(DataColumns[[#This Row],[ColumnType]],DataColumns[[#This Row],[ColumnLabel]]),CONCATENATE(DataColumns[[#This Row],[ColumnType]],DataColumns[[#This Row],[AppliesToColumn]]))</f>
        <v>CollectionMethodCode</v>
      </c>
    </row>
    <row r="19" spans="1:29" x14ac:dyDescent="0.25">
      <c r="A19" s="47">
        <f ca="1">IF(COUNTA(DataColumns[[#This Row],[ColumnLabel]:[QualityCodeCV]])&gt;0,IF(MAX(INDIRECT(CONCATENATE("R",ROW(DataColumns[#Headers]),"C",COLUMN(),":R",ROW()-1,"C",COLUMN()),FALSE))=0,1,MAX(INDIRECT(CONCATENATE("R",ROW(DataColumns[#Headers]),"C",COLUMN(),":R",ROW()-1,"C",COLUMN()),FALSE))+1),"")</f>
        <v>7</v>
      </c>
      <c r="B19" s="105" t="s">
        <v>1391</v>
      </c>
      <c r="C19" s="10" t="s">
        <v>1461</v>
      </c>
      <c r="D19" s="156"/>
      <c r="E19" s="161"/>
      <c r="F19" s="139"/>
      <c r="G19" s="9"/>
      <c r="H19" s="10"/>
      <c r="I19" s="10"/>
      <c r="J19" s="10"/>
      <c r="K19" s="34"/>
      <c r="L19" s="10"/>
      <c r="M19" s="133"/>
      <c r="N19" s="105"/>
      <c r="O19" s="9"/>
      <c r="P19" s="10"/>
      <c r="Q19" s="10"/>
      <c r="R19" s="21"/>
      <c r="S19" s="21"/>
      <c r="T19" s="10"/>
      <c r="U19" s="10"/>
      <c r="V19" s="10"/>
      <c r="W19" s="10"/>
      <c r="X19" s="21"/>
      <c r="Y19" s="10"/>
      <c r="Z19" s="10"/>
      <c r="AA19" s="10"/>
      <c r="AB19" s="178" t="str">
        <f ca="1">IF(DataColumns[[#This Row],[ColumnType]]="ResultValue",IF(MAX(INDIRECT(CONCATENATE("R",ROW(DataColumns[#Headers]),"C",COLUMN(),":R",ROW()-1,"C",COLUMN()),FALSE))=0,1,MAX(INDIRECT(CONCATENATE("R",ROW(DataColumns[#Headers]),"C",COLUMN(),":R",ROW()-1,"C",COLUMN()),FALSE))+1),"")</f>
        <v/>
      </c>
      <c r="AC19" s="126" t="str">
        <f>IF(DataColumns[[#This Row],[ColumnType]]="ResultValue",CONCATENATE(DataColumns[[#This Row],[ColumnType]],DataColumns[[#This Row],[ColumnLabel]]),CONCATENATE(DataColumns[[#This Row],[ColumnType]],DataColumns[[#This Row],[AppliesToColumn]]))</f>
        <v>SpecimenCollector</v>
      </c>
    </row>
    <row r="20" spans="1:29" x14ac:dyDescent="0.25">
      <c r="A20" s="47">
        <f ca="1">IF(COUNTA(DataColumns[[#This Row],[ColumnLabel]:[QualityCodeCV]])&gt;0,IF(MAX(INDIRECT(CONCATENATE("R",ROW(DataColumns[#Headers]),"C",COLUMN(),":R",ROW()-1,"C",COLUMN()),FALSE))=0,1,MAX(INDIRECT(CONCATENATE("R",ROW(DataColumns[#Headers]),"C",COLUMN(),":R",ROW()-1,"C",COLUMN()),FALSE))+1),"")</f>
        <v>8</v>
      </c>
      <c r="B20" s="105" t="s">
        <v>832</v>
      </c>
      <c r="C20" s="10" t="s">
        <v>1513</v>
      </c>
      <c r="D20" s="156"/>
      <c r="E20" s="161"/>
      <c r="F20" s="139"/>
      <c r="G20" s="9"/>
      <c r="H20" s="10"/>
      <c r="I20" s="10"/>
      <c r="J20" s="10"/>
      <c r="K20" s="34"/>
      <c r="L20" s="10"/>
      <c r="M20" s="133"/>
      <c r="N20" s="105" t="s">
        <v>1139</v>
      </c>
      <c r="O20" s="9" t="s">
        <v>1356</v>
      </c>
      <c r="P20" s="10" t="s">
        <v>832</v>
      </c>
      <c r="Q20" s="10" t="s">
        <v>203</v>
      </c>
      <c r="R20" s="21"/>
      <c r="S20" s="21"/>
      <c r="T20" s="10" t="s">
        <v>1315</v>
      </c>
      <c r="U20" s="10">
        <v>1</v>
      </c>
      <c r="V20" s="10" t="s">
        <v>1147</v>
      </c>
      <c r="W20" s="10" t="s">
        <v>1151</v>
      </c>
      <c r="X20" s="21"/>
      <c r="Y20" s="10">
        <v>0</v>
      </c>
      <c r="Z20" s="10" t="s">
        <v>1395</v>
      </c>
      <c r="AA20" s="10" t="s">
        <v>1155</v>
      </c>
      <c r="AB20" s="178">
        <f ca="1">IF(DataColumns[[#This Row],[ColumnType]]="ResultValue",IF(MAX(INDIRECT(CONCATENATE("R",ROW(DataColumns[#Headers]),"C",COLUMN(),":R",ROW()-1,"C",COLUMN()),FALSE))=0,1,MAX(INDIRECT(CONCATENATE("R",ROW(DataColumns[#Headers]),"C",COLUMN(),":R",ROW()-1,"C",COLUMN()),FALSE))+1),"")</f>
        <v>1</v>
      </c>
      <c r="AC20" s="126" t="str">
        <f>IF(DataColumns[[#This Row],[ColumnType]]="ResultValue",CONCATENATE(DataColumns[[#This Row],[ColumnType]],DataColumns[[#This Row],[ColumnLabel]]),CONCATENATE(DataColumns[[#This Row],[ColumnType]],DataColumns[[#This Row],[AppliesToColumn]]))</f>
        <v>ResultValuepH</v>
      </c>
    </row>
    <row r="21" spans="1:29" x14ac:dyDescent="0.25">
      <c r="A21" s="47">
        <f ca="1">IF(COUNTA(DataColumns[[#This Row],[ColumnLabel]:[QualityCodeCV]])&gt;0,IF(MAX(INDIRECT(CONCATENATE("R",ROW(DataColumns[#Headers]),"C",COLUMN(),":R",ROW()-1,"C",COLUMN()),FALSE))=0,1,MAX(INDIRECT(CONCATENATE("R",ROW(DataColumns[#Headers]),"C",COLUMN(),":R",ROW()-1,"C",COLUMN()),FALSE))+1),"")</f>
        <v>9</v>
      </c>
      <c r="B21" s="105" t="s">
        <v>1303</v>
      </c>
      <c r="C21" s="10" t="s">
        <v>1513</v>
      </c>
      <c r="D21" s="156"/>
      <c r="E21" s="161"/>
      <c r="F21" s="139"/>
      <c r="G21" s="9"/>
      <c r="H21" s="10"/>
      <c r="I21" s="10"/>
      <c r="J21" s="10"/>
      <c r="K21" s="34"/>
      <c r="L21" s="10"/>
      <c r="M21" s="133"/>
      <c r="N21" s="105" t="s">
        <v>1139</v>
      </c>
      <c r="O21" s="9" t="s">
        <v>1357</v>
      </c>
      <c r="P21" s="10" t="s">
        <v>1392</v>
      </c>
      <c r="Q21" s="10" t="s">
        <v>203</v>
      </c>
      <c r="R21" s="21"/>
      <c r="S21" s="21"/>
      <c r="T21" s="10" t="s">
        <v>1315</v>
      </c>
      <c r="U21" s="10">
        <v>1</v>
      </c>
      <c r="V21" s="10" t="s">
        <v>1147</v>
      </c>
      <c r="W21" s="10" t="s">
        <v>1151</v>
      </c>
      <c r="X21" s="21"/>
      <c r="Y21" s="10">
        <v>0</v>
      </c>
      <c r="Z21" s="10" t="s">
        <v>1395</v>
      </c>
      <c r="AA21" s="10" t="s">
        <v>1155</v>
      </c>
      <c r="AB21" s="178">
        <f ca="1">IF(DataColumns[[#This Row],[ColumnType]]="ResultValue",IF(MAX(INDIRECT(CONCATENATE("R",ROW(DataColumns[#Headers]),"C",COLUMN(),":R",ROW()-1,"C",COLUMN()),FALSE))=0,1,MAX(INDIRECT(CONCATENATE("R",ROW(DataColumns[#Headers]),"C",COLUMN(),":R",ROW()-1,"C",COLUMN()),FALSE))+1),"")</f>
        <v>2</v>
      </c>
      <c r="AC21" s="126" t="str">
        <f>IF(DataColumns[[#This Row],[ColumnType]]="ResultValue",CONCATENATE(DataColumns[[#This Row],[ColumnType]],DataColumns[[#This Row],[ColumnLabel]]),CONCATENATE(DataColumns[[#This Row],[ColumnType]],DataColumns[[#This Row],[AppliesToColumn]]))</f>
        <v>ResultValueconductivity</v>
      </c>
    </row>
    <row r="22" spans="1:29" x14ac:dyDescent="0.25">
      <c r="A22" s="47">
        <f ca="1">IF(COUNTA(DataColumns[[#This Row],[ColumnLabel]:[QualityCodeCV]])&gt;0,IF(MAX(INDIRECT(CONCATENATE("R",ROW(DataColumns[#Headers]),"C",COLUMN(),":R",ROW()-1,"C",COLUMN()),FALSE))=0,1,MAX(INDIRECT(CONCATENATE("R",ROW(DataColumns[#Headers]),"C",COLUMN(),":R",ROW()-1,"C",COLUMN()),FALSE))+1),"")</f>
        <v>10</v>
      </c>
      <c r="B22" s="105" t="s">
        <v>1304</v>
      </c>
      <c r="C22" s="10" t="s">
        <v>1513</v>
      </c>
      <c r="D22" s="156"/>
      <c r="E22" s="161"/>
      <c r="F22" s="139"/>
      <c r="G22" s="9"/>
      <c r="H22" s="10"/>
      <c r="I22" s="10"/>
      <c r="J22" s="10"/>
      <c r="K22" s="34"/>
      <c r="L22" s="10"/>
      <c r="M22" s="133"/>
      <c r="N22" s="105" t="s">
        <v>1139</v>
      </c>
      <c r="O22" s="9" t="s">
        <v>1304</v>
      </c>
      <c r="P22" s="10" t="s">
        <v>1393</v>
      </c>
      <c r="Q22" s="10" t="s">
        <v>203</v>
      </c>
      <c r="R22" s="21"/>
      <c r="S22" s="21"/>
      <c r="T22" s="10" t="s">
        <v>1346</v>
      </c>
      <c r="U22" s="10">
        <v>1</v>
      </c>
      <c r="V22" s="10" t="s">
        <v>1147</v>
      </c>
      <c r="W22" s="10" t="s">
        <v>1151</v>
      </c>
      <c r="X22" s="21"/>
      <c r="Y22" s="10">
        <v>0</v>
      </c>
      <c r="Z22" s="10" t="s">
        <v>1395</v>
      </c>
      <c r="AA22" s="10" t="s">
        <v>1155</v>
      </c>
      <c r="AB22" s="178">
        <f ca="1">IF(DataColumns[[#This Row],[ColumnType]]="ResultValue",IF(MAX(INDIRECT(CONCATENATE("R",ROW(DataColumns[#Headers]),"C",COLUMN(),":R",ROW()-1,"C",COLUMN()),FALSE))=0,1,MAX(INDIRECT(CONCATENATE("R",ROW(DataColumns[#Headers]),"C",COLUMN(),":R",ROW()-1,"C",COLUMN()),FALSE))+1),"")</f>
        <v>3</v>
      </c>
      <c r="AC22" s="126" t="str">
        <f>IF(DataColumns[[#This Row],[ColumnType]]="ResultValue",CONCATENATE(DataColumns[[#This Row],[ColumnType]],DataColumns[[#This Row],[ColumnLabel]]),CONCATENATE(DataColumns[[#This Row],[ColumnType]],DataColumns[[#This Row],[AppliesToColumn]]))</f>
        <v>ResultValuemndoc</v>
      </c>
    </row>
    <row r="23" spans="1:29" x14ac:dyDescent="0.25">
      <c r="A23" s="47">
        <f ca="1">IF(COUNTA(DataColumns[[#This Row],[ColumnLabel]:[QualityCodeCV]])&gt;0,IF(MAX(INDIRECT(CONCATENATE("R",ROW(DataColumns[#Headers]),"C",COLUMN(),":R",ROW()-1,"C",COLUMN()),FALSE))=0,1,MAX(INDIRECT(CONCATENATE("R",ROW(DataColumns[#Headers]),"C",COLUMN(),":R",ROW()-1,"C",COLUMN()),FALSE))+1),"")</f>
        <v>11</v>
      </c>
      <c r="B23" s="105" t="s">
        <v>1305</v>
      </c>
      <c r="C23" s="10" t="s">
        <v>1513</v>
      </c>
      <c r="D23" s="156"/>
      <c r="E23" s="161"/>
      <c r="F23" s="139"/>
      <c r="G23" s="9"/>
      <c r="H23" s="10"/>
      <c r="I23" s="10"/>
      <c r="J23" s="10"/>
      <c r="K23" s="34"/>
      <c r="L23" s="10"/>
      <c r="M23" s="133"/>
      <c r="N23" s="105" t="s">
        <v>1139</v>
      </c>
      <c r="O23" s="9" t="s">
        <v>1358</v>
      </c>
      <c r="P23" s="10" t="s">
        <v>1394</v>
      </c>
      <c r="Q23" s="10" t="s">
        <v>203</v>
      </c>
      <c r="R23" s="21"/>
      <c r="S23" s="21"/>
      <c r="T23" s="10" t="s">
        <v>1349</v>
      </c>
      <c r="U23" s="10">
        <v>1</v>
      </c>
      <c r="V23" s="10" t="s">
        <v>1147</v>
      </c>
      <c r="W23" s="10" t="s">
        <v>1151</v>
      </c>
      <c r="X23" s="21"/>
      <c r="Y23" s="10">
        <v>0</v>
      </c>
      <c r="Z23" s="10" t="s">
        <v>1395</v>
      </c>
      <c r="AA23" s="10" t="s">
        <v>1155</v>
      </c>
      <c r="AB23" s="178">
        <f ca="1">IF(DataColumns[[#This Row],[ColumnType]]="ResultValue",IF(MAX(INDIRECT(CONCATENATE("R",ROW(DataColumns[#Headers]),"C",COLUMN(),":R",ROW()-1,"C",COLUMN()),FALSE))=0,1,MAX(INDIRECT(CONCATENATE("R",ROW(DataColumns[#Headers]),"C",COLUMN(),":R",ROW()-1,"C",COLUMN()),FALSE))+1),"")</f>
        <v>4</v>
      </c>
      <c r="AC23" s="126" t="str">
        <f>IF(DataColumns[[#This Row],[ColumnType]]="ResultValue",CONCATENATE(DataColumns[[#This Row],[ColumnType]],DataColumns[[#This Row],[ColumnLabel]]),CONCATENATE(DataColumns[[#This Row],[ColumnType]],DataColumns[[#This Row],[AppliesToColumn]]))</f>
        <v>ResultValuealknewgran_ueql</v>
      </c>
    </row>
    <row r="24" spans="1:29" x14ac:dyDescent="0.25">
      <c r="A24" s="47">
        <f ca="1">IF(COUNTA(DataColumns[[#This Row],[ColumnLabel]:[QualityCodeCV]])&gt;0,IF(MAX(INDIRECT(CONCATENATE("R",ROW(DataColumns[#Headers]),"C",COLUMN(),":R",ROW()-1,"C",COLUMN()),FALSE))=0,1,MAX(INDIRECT(CONCATENATE("R",ROW(DataColumns[#Headers]),"C",COLUMN(),":R",ROW()-1,"C",COLUMN()),FALSE))+1),"")</f>
        <v>12</v>
      </c>
      <c r="B24" s="105" t="s">
        <v>1306</v>
      </c>
      <c r="C24" s="10" t="s">
        <v>1513</v>
      </c>
      <c r="D24" s="156"/>
      <c r="E24" s="161"/>
      <c r="F24" s="139"/>
      <c r="G24" s="9"/>
      <c r="H24" s="10"/>
      <c r="I24" s="10"/>
      <c r="J24" s="10"/>
      <c r="K24" s="34"/>
      <c r="L24" s="10"/>
      <c r="M24" s="133"/>
      <c r="N24" s="105" t="s">
        <v>1139</v>
      </c>
      <c r="O24" s="9" t="s">
        <v>1359</v>
      </c>
      <c r="P24" s="10" t="s">
        <v>1393</v>
      </c>
      <c r="Q24" s="10" t="s">
        <v>203</v>
      </c>
      <c r="R24" s="21"/>
      <c r="S24" s="21"/>
      <c r="T24" s="10" t="s">
        <v>1352</v>
      </c>
      <c r="U24" s="10">
        <v>1</v>
      </c>
      <c r="V24" s="10" t="s">
        <v>1147</v>
      </c>
      <c r="W24" s="10" t="s">
        <v>1151</v>
      </c>
      <c r="X24" s="21"/>
      <c r="Y24" s="10">
        <v>0</v>
      </c>
      <c r="Z24" s="10" t="s">
        <v>1395</v>
      </c>
      <c r="AA24" s="10" t="s">
        <v>1155</v>
      </c>
      <c r="AB24" s="178">
        <f ca="1">IF(DataColumns[[#This Row],[ColumnType]]="ResultValue",IF(MAX(INDIRECT(CONCATENATE("R",ROW(DataColumns[#Headers]),"C",COLUMN(),":R",ROW()-1,"C",COLUMN()),FALSE))=0,1,MAX(INDIRECT(CONCATENATE("R",ROW(DataColumns[#Headers]),"C",COLUMN(),":R",ROW()-1,"C",COLUMN()),FALSE))+1),"")</f>
        <v>5</v>
      </c>
      <c r="AC24" s="126" t="str">
        <f>IF(DataColumns[[#This Row],[ColumnType]]="ResultValue",CONCATENATE(DataColumns[[#This Row],[ColumnType]],DataColumns[[#This Row],[ColumnLabel]]),CONCATENATE(DataColumns[[#This Row],[ColumnType]],DataColumns[[#This Row],[AppliesToColumn]]))</f>
        <v>ResultValueDionex_Nitrate_N_ppm</v>
      </c>
    </row>
    <row r="25" spans="1:29" x14ac:dyDescent="0.25">
      <c r="A25" s="47">
        <f ca="1">IF(COUNTA(DataColumns[[#This Row],[ColumnLabel]:[QualityCodeCV]])&gt;0,IF(MAX(INDIRECT(CONCATENATE("R",ROW(DataColumns[#Headers]),"C",COLUMN(),":R",ROW()-1,"C",COLUMN()),FALSE))=0,1,MAX(INDIRECT(CONCATENATE("R",ROW(DataColumns[#Headers]),"C",COLUMN(),":R",ROW()-1,"C",COLUMN()),FALSE))+1),"")</f>
        <v>13</v>
      </c>
      <c r="B25" s="105" t="s">
        <v>1307</v>
      </c>
      <c r="C25" s="10" t="s">
        <v>1513</v>
      </c>
      <c r="D25" s="156"/>
      <c r="E25" s="161"/>
      <c r="F25" s="139"/>
      <c r="G25" s="9"/>
      <c r="H25" s="10"/>
      <c r="I25" s="10"/>
      <c r="J25" s="10"/>
      <c r="K25" s="34"/>
      <c r="L25" s="10"/>
      <c r="M25" s="133"/>
      <c r="N25" s="105" t="s">
        <v>1139</v>
      </c>
      <c r="O25" s="9" t="s">
        <v>1307</v>
      </c>
      <c r="P25" s="10" t="s">
        <v>1393</v>
      </c>
      <c r="Q25" s="10" t="s">
        <v>203</v>
      </c>
      <c r="R25" s="21"/>
      <c r="S25" s="21"/>
      <c r="T25" s="10" t="s">
        <v>1355</v>
      </c>
      <c r="U25" s="10">
        <v>1</v>
      </c>
      <c r="V25" s="10" t="s">
        <v>1147</v>
      </c>
      <c r="W25" s="10" t="s">
        <v>1151</v>
      </c>
      <c r="X25" s="21"/>
      <c r="Y25" s="10">
        <v>0</v>
      </c>
      <c r="Z25" s="10" t="s">
        <v>1395</v>
      </c>
      <c r="AA25" s="10" t="s">
        <v>1155</v>
      </c>
      <c r="AB25" s="178">
        <f ca="1">IF(DataColumns[[#This Row],[ColumnType]]="ResultValue",IF(MAX(INDIRECT(CONCATENATE("R",ROW(DataColumns[#Headers]),"C",COLUMN(),":R",ROW()-1,"C",COLUMN()),FALSE))=0,1,MAX(INDIRECT(CONCATENATE("R",ROW(DataColumns[#Headers]),"C",COLUMN(),":R",ROW()-1,"C",COLUMN()),FALSE))+1),"")</f>
        <v>6</v>
      </c>
      <c r="AC25" s="126" t="str">
        <f>IF(DataColumns[[#This Row],[ColumnType]]="ResultValue",CONCATENATE(DataColumns[[#This Row],[ColumnType]],DataColumns[[#This Row],[ColumnLabel]]),CONCATENATE(DataColumns[[#This Row],[ColumnType]],DataColumns[[#This Row],[AppliesToColumn]]))</f>
        <v>ResultValueicp_ca</v>
      </c>
    </row>
    <row r="26" spans="1:29" x14ac:dyDescent="0.25">
      <c r="A26" s="47">
        <f ca="1">IF(COUNTA(DataColumns[[#This Row],[ColumnLabel]:[QualityCodeCV]])&gt;0,IF(MAX(INDIRECT(CONCATENATE("R",ROW(DataColumns[#Headers]),"C",COLUMN(),":R",ROW()-1,"C",COLUMN()),FALSE))=0,1,MAX(INDIRECT(CONCATENATE("R",ROW(DataColumns[#Headers]),"C",COLUMN(),":R",ROW()-1,"C",COLUMN()),FALSE))+1),"")</f>
        <v>14</v>
      </c>
      <c r="B26" s="105" t="s">
        <v>1446</v>
      </c>
      <c r="C26" s="10" t="s">
        <v>1428</v>
      </c>
      <c r="D26" s="156" t="s">
        <v>832</v>
      </c>
      <c r="E26" s="161"/>
      <c r="F26" s="139"/>
      <c r="G26" s="9"/>
      <c r="H26" s="10"/>
      <c r="I26" s="10"/>
      <c r="J26" s="10"/>
      <c r="K26" s="34"/>
      <c r="L26" s="10"/>
      <c r="M26" s="133"/>
      <c r="N26" s="105"/>
      <c r="O26" s="9"/>
      <c r="P26" s="10"/>
      <c r="Q26" s="10"/>
      <c r="R26" s="21"/>
      <c r="S26" s="21"/>
      <c r="T26" s="10"/>
      <c r="U26" s="10"/>
      <c r="V26" s="10"/>
      <c r="W26" s="10"/>
      <c r="X26" s="21"/>
      <c r="Y26" s="10"/>
      <c r="Z26" s="10"/>
      <c r="AA26" s="10"/>
      <c r="AB26" s="178" t="str">
        <f ca="1">IF(DataColumns[[#This Row],[ColumnType]]="ResultValue",IF(MAX(INDIRECT(CONCATENATE("R",ROW(DataColumns[#Headers]),"C",COLUMN(),":R",ROW()-1,"C",COLUMN()),FALSE))=0,1,MAX(INDIRECT(CONCATENATE("R",ROW(DataColumns[#Headers]),"C",COLUMN(),":R",ROW()-1,"C",COLUMN()),FALSE))+1),"")</f>
        <v/>
      </c>
      <c r="AC26" s="126" t="str">
        <f>IF(DataColumns[[#This Row],[ColumnType]]="ResultValue",CONCATENATE(DataColumns[[#This Row],[ColumnType]],DataColumns[[#This Row],[ColumnLabel]]),CONCATENATE(DataColumns[[#This Row],[ColumnType]],DataColumns[[#This Row],[AppliesToColumn]]))</f>
        <v>AnalysisDateTimepH</v>
      </c>
    </row>
    <row r="27" spans="1:29" x14ac:dyDescent="0.25">
      <c r="A27" s="47">
        <f ca="1">IF(COUNTA(DataColumns[[#This Row],[ColumnLabel]:[QualityCodeCV]])&gt;0,IF(MAX(INDIRECT(CONCATENATE("R",ROW(DataColumns[#Headers]),"C",COLUMN(),":R",ROW()-1,"C",COLUMN()),FALSE))=0,1,MAX(INDIRECT(CONCATENATE("R",ROW(DataColumns[#Headers]),"C",COLUMN(),":R",ROW()-1,"C",COLUMN()),FALSE))+1),"")</f>
        <v>15</v>
      </c>
      <c r="B27" s="105" t="s">
        <v>1448</v>
      </c>
      <c r="C27" s="10" t="s">
        <v>1429</v>
      </c>
      <c r="D27" s="156" t="s">
        <v>832</v>
      </c>
      <c r="E27" s="161"/>
      <c r="F27" s="139"/>
      <c r="G27" s="9"/>
      <c r="H27" s="10"/>
      <c r="I27" s="10"/>
      <c r="J27" s="10"/>
      <c r="K27" s="34"/>
      <c r="L27" s="10"/>
      <c r="M27" s="133"/>
      <c r="N27" s="105"/>
      <c r="O27" s="9"/>
      <c r="P27" s="10"/>
      <c r="Q27" s="10"/>
      <c r="R27" s="21"/>
      <c r="S27" s="21"/>
      <c r="T27" s="10"/>
      <c r="U27" s="10"/>
      <c r="V27" s="10"/>
      <c r="W27" s="10"/>
      <c r="X27" s="21"/>
      <c r="Y27" s="10"/>
      <c r="Z27" s="10"/>
      <c r="AA27" s="10"/>
      <c r="AB27" s="178" t="str">
        <f ca="1">IF(DataColumns[[#This Row],[ColumnType]]="ResultValue",IF(MAX(INDIRECT(CONCATENATE("R",ROW(DataColumns[#Headers]),"C",COLUMN(),":R",ROW()-1,"C",COLUMN()),FALSE))=0,1,MAX(INDIRECT(CONCATENATE("R",ROW(DataColumns[#Headers]),"C",COLUMN(),":R",ROW()-1,"C",COLUMN()),FALSE))+1),"")</f>
        <v/>
      </c>
      <c r="AC27" s="126" t="str">
        <f>IF(DataColumns[[#This Row],[ColumnType]]="ResultValue",CONCATENATE(DataColumns[[#This Row],[ColumnType]],DataColumns[[#This Row],[ColumnLabel]]),CONCATENATE(DataColumns[[#This Row],[ColumnType]],DataColumns[[#This Row],[AppliesToColumn]]))</f>
        <v>AnalysisDateTimeUTCOffsetpH</v>
      </c>
    </row>
    <row r="28" spans="1:29" x14ac:dyDescent="0.25">
      <c r="A28" s="47">
        <f ca="1">IF(COUNTA(DataColumns[[#This Row],[ColumnLabel]:[QualityCodeCV]])&gt;0,IF(MAX(INDIRECT(CONCATENATE("R",ROW(DataColumns[#Headers]),"C",COLUMN(),":R",ROW()-1,"C",COLUMN()),FALSE))=0,1,MAX(INDIRECT(CONCATENATE("R",ROW(DataColumns[#Headers]),"C",COLUMN(),":R",ROW()-1,"C",COLUMN()),FALSE))+1),"")</f>
        <v>16</v>
      </c>
      <c r="B28" s="105" t="s">
        <v>1485</v>
      </c>
      <c r="C28" s="10" t="s">
        <v>1364</v>
      </c>
      <c r="D28" s="156" t="s">
        <v>832</v>
      </c>
      <c r="E28" s="161"/>
      <c r="F28" s="139"/>
      <c r="G28" s="9"/>
      <c r="H28" s="10"/>
      <c r="I28" s="10"/>
      <c r="J28" s="10"/>
      <c r="K28" s="34"/>
      <c r="L28" s="10"/>
      <c r="M28" s="133"/>
      <c r="N28" s="105"/>
      <c r="O28" s="9"/>
      <c r="P28" s="10"/>
      <c r="Q28" s="10"/>
      <c r="R28" s="21"/>
      <c r="S28" s="21"/>
      <c r="T28" s="10"/>
      <c r="U28" s="10"/>
      <c r="V28" s="10"/>
      <c r="W28" s="10"/>
      <c r="X28" s="21"/>
      <c r="Y28" s="10"/>
      <c r="Z28" s="10"/>
      <c r="AA28" s="10"/>
      <c r="AB28" s="178" t="str">
        <f ca="1">IF(DataColumns[[#This Row],[ColumnType]]="ResultValue",IF(MAX(INDIRECT(CONCATENATE("R",ROW(DataColumns[#Headers]),"C",COLUMN(),":R",ROW()-1,"C",COLUMN()),FALSE))=0,1,MAX(INDIRECT(CONCATENATE("R",ROW(DataColumns[#Headers]),"C",COLUMN(),":R",ROW()-1,"C",COLUMN()),FALSE))+1),"")</f>
        <v/>
      </c>
      <c r="AC28" s="126" t="str">
        <f>IF(DataColumns[[#This Row],[ColumnType]]="ResultValue",CONCATENATE(DataColumns[[#This Row],[ColumnType]],DataColumns[[#This Row],[ColumnLabel]]),CONCATENATE(DataColumns[[#This Row],[ColumnType]],DataColumns[[#This Row],[AppliesToColumn]]))</f>
        <v>ProcessingLevelCodepH</v>
      </c>
    </row>
    <row r="29" spans="1:29" x14ac:dyDescent="0.25">
      <c r="A29" s="47" t="str">
        <f ca="1">IF(COUNTA(DataColumns[[#This Row],[ColumnLabel]:[QualityCodeCV]])&gt;0,IF(MAX(INDIRECT(CONCATENATE("R",ROW(DataColumns[#Headers]),"C",COLUMN(),":R",ROW()-1,"C",COLUMN()),FALSE))=0,1,MAX(INDIRECT(CONCATENATE("R",ROW(DataColumns[#Headers]),"C",COLUMN(),":R",ROW()-1,"C",COLUMN()),FALSE))+1),"")</f>
        <v/>
      </c>
      <c r="B29" s="105"/>
      <c r="C29" s="10"/>
      <c r="D29" s="156"/>
      <c r="E29" s="161"/>
      <c r="F29" s="139"/>
      <c r="G29" s="9"/>
      <c r="H29" s="10"/>
      <c r="I29" s="10"/>
      <c r="J29" s="10"/>
      <c r="K29" s="34"/>
      <c r="L29" s="10"/>
      <c r="M29" s="133"/>
      <c r="N29" s="105"/>
      <c r="O29" s="9"/>
      <c r="P29" s="10"/>
      <c r="Q29" s="10"/>
      <c r="R29" s="21"/>
      <c r="S29" s="21"/>
      <c r="T29" s="10"/>
      <c r="U29" s="10"/>
      <c r="V29" s="10"/>
      <c r="W29" s="10"/>
      <c r="X29" s="21"/>
      <c r="Y29" s="10"/>
      <c r="Z29" s="10"/>
      <c r="AA29" s="10"/>
      <c r="AB29" s="178" t="str">
        <f ca="1">IF(DataColumns[[#This Row],[ColumnType]]="ResultValue",IF(MAX(INDIRECT(CONCATENATE("R",ROW(DataColumns[#Headers]),"C",COLUMN(),":R",ROW()-1,"C",COLUMN()),FALSE))=0,1,MAX(INDIRECT(CONCATENATE("R",ROW(DataColumns[#Headers]),"C",COLUMN(),":R",ROW()-1,"C",COLUMN()),FALSE))+1),"")</f>
        <v/>
      </c>
      <c r="AC29" s="126" t="str">
        <f>IF(DataColumns[[#This Row],[ColumnType]]="ResultValue",CONCATENATE(DataColumns[[#This Row],[ColumnType]],DataColumns[[#This Row],[ColumnLabel]]),CONCATENATE(DataColumns[[#This Row],[ColumnType]],DataColumns[[#This Row],[AppliesToColumn]]))</f>
        <v/>
      </c>
    </row>
    <row r="30" spans="1:29" x14ac:dyDescent="0.25">
      <c r="A30" s="47" t="str">
        <f ca="1">IF(COUNTA(DataColumns[[#This Row],[ColumnLabel]:[QualityCodeCV]])&gt;0,IF(MAX(INDIRECT(CONCATENATE("R",ROW(DataColumns[#Headers]),"C",COLUMN(),":R",ROW()-1,"C",COLUMN()),FALSE))=0,1,MAX(INDIRECT(CONCATENATE("R",ROW(DataColumns[#Headers]),"C",COLUMN(),":R",ROW()-1,"C",COLUMN()),FALSE))+1),"")</f>
        <v/>
      </c>
      <c r="B30" s="105"/>
      <c r="C30" s="10"/>
      <c r="D30" s="156"/>
      <c r="E30" s="161"/>
      <c r="F30" s="139"/>
      <c r="G30" s="9"/>
      <c r="H30" s="10"/>
      <c r="I30" s="10"/>
      <c r="J30" s="10"/>
      <c r="K30" s="34"/>
      <c r="L30" s="10"/>
      <c r="M30" s="133"/>
      <c r="N30" s="105"/>
      <c r="O30" s="9"/>
      <c r="P30" s="10"/>
      <c r="Q30" s="10"/>
      <c r="R30" s="21"/>
      <c r="S30" s="21"/>
      <c r="T30" s="10"/>
      <c r="U30" s="10"/>
      <c r="V30" s="10"/>
      <c r="W30" s="10"/>
      <c r="X30" s="21"/>
      <c r="Y30" s="10"/>
      <c r="Z30" s="10"/>
      <c r="AA30" s="10"/>
      <c r="AB30" s="178" t="str">
        <f ca="1">IF(DataColumns[[#This Row],[ColumnType]]="ResultValue",IF(MAX(INDIRECT(CONCATENATE("R",ROW(DataColumns[#Headers]),"C",COLUMN(),":R",ROW()-1,"C",COLUMN()),FALSE))=0,1,MAX(INDIRECT(CONCATENATE("R",ROW(DataColumns[#Headers]),"C",COLUMN(),":R",ROW()-1,"C",COLUMN()),FALSE))+1),"")</f>
        <v/>
      </c>
      <c r="AC30" s="126" t="str">
        <f>IF(DataColumns[[#This Row],[ColumnType]]="ResultValue",CONCATENATE(DataColumns[[#This Row],[ColumnType]],DataColumns[[#This Row],[ColumnLabel]]),CONCATENATE(DataColumns[[#This Row],[ColumnType]],DataColumns[[#This Row],[AppliesToColumn]]))</f>
        <v/>
      </c>
    </row>
    <row r="31" spans="1:29" x14ac:dyDescent="0.25">
      <c r="A31" s="47" t="str">
        <f ca="1">IF(COUNTA(DataColumns[[#This Row],[ColumnLabel]:[QualityCodeCV]])&gt;0,IF(MAX(INDIRECT(CONCATENATE("R",ROW(DataColumns[#Headers]),"C",COLUMN(),":R",ROW()-1,"C",COLUMN()),FALSE))=0,1,MAX(INDIRECT(CONCATENATE("R",ROW(DataColumns[#Headers]),"C",COLUMN(),":R",ROW()-1,"C",COLUMN()),FALSE))+1),"")</f>
        <v/>
      </c>
      <c r="B31" s="105"/>
      <c r="C31" s="10"/>
      <c r="D31" s="156"/>
      <c r="E31" s="161"/>
      <c r="F31" s="139"/>
      <c r="G31" s="9"/>
      <c r="H31" s="10"/>
      <c r="I31" s="10"/>
      <c r="J31" s="10"/>
      <c r="K31" s="34"/>
      <c r="L31" s="10"/>
      <c r="M31" s="133"/>
      <c r="N31" s="105"/>
      <c r="O31" s="9"/>
      <c r="P31" s="10"/>
      <c r="Q31" s="10"/>
      <c r="R31" s="21"/>
      <c r="S31" s="21"/>
      <c r="T31" s="10"/>
      <c r="U31" s="10"/>
      <c r="V31" s="10"/>
      <c r="W31" s="10"/>
      <c r="X31" s="21"/>
      <c r="Y31" s="10"/>
      <c r="Z31" s="10"/>
      <c r="AA31" s="10"/>
      <c r="AB31" s="178" t="str">
        <f ca="1">IF(DataColumns[[#This Row],[ColumnType]]="ResultValue",IF(MAX(INDIRECT(CONCATENATE("R",ROW(DataColumns[#Headers]),"C",COLUMN(),":R",ROW()-1,"C",COLUMN()),FALSE))=0,1,MAX(INDIRECT(CONCATENATE("R",ROW(DataColumns[#Headers]),"C",COLUMN(),":R",ROW()-1,"C",COLUMN()),FALSE))+1),"")</f>
        <v/>
      </c>
      <c r="AC31" s="126" t="str">
        <f>IF(DataColumns[[#This Row],[ColumnType]]="ResultValue",CONCATENATE(DataColumns[[#This Row],[ColumnType]],DataColumns[[#This Row],[ColumnLabel]]),CONCATENATE(DataColumns[[#This Row],[ColumnType]],DataColumns[[#This Row],[AppliesToColumn]]))</f>
        <v/>
      </c>
    </row>
    <row r="32" spans="1:29" x14ac:dyDescent="0.25">
      <c r="A32" s="47" t="str">
        <f ca="1">IF(COUNTA(DataColumns[[#This Row],[ColumnLabel]:[QualityCodeCV]])&gt;0,IF(MAX(INDIRECT(CONCATENATE("R",ROW(DataColumns[#Headers]),"C",COLUMN(),":R",ROW()-1,"C",COLUMN()),FALSE))=0,1,MAX(INDIRECT(CONCATENATE("R",ROW(DataColumns[#Headers]),"C",COLUMN(),":R",ROW()-1,"C",COLUMN()),FALSE))+1),"")</f>
        <v/>
      </c>
      <c r="B32" s="105"/>
      <c r="C32" s="10"/>
      <c r="D32" s="156"/>
      <c r="E32" s="161"/>
      <c r="F32" s="139"/>
      <c r="G32" s="9"/>
      <c r="H32" s="10"/>
      <c r="I32" s="10"/>
      <c r="J32" s="10"/>
      <c r="K32" s="34"/>
      <c r="L32" s="10"/>
      <c r="M32" s="133"/>
      <c r="N32" s="105"/>
      <c r="O32" s="9"/>
      <c r="P32" s="10"/>
      <c r="Q32" s="10"/>
      <c r="R32" s="21"/>
      <c r="S32" s="21"/>
      <c r="T32" s="10"/>
      <c r="U32" s="10"/>
      <c r="V32" s="10"/>
      <c r="W32" s="10"/>
      <c r="X32" s="21"/>
      <c r="Y32" s="10"/>
      <c r="Z32" s="10"/>
      <c r="AA32" s="10"/>
      <c r="AB32" s="178" t="str">
        <f ca="1">IF(DataColumns[[#This Row],[ColumnType]]="ResultValue",IF(MAX(INDIRECT(CONCATENATE("R",ROW(DataColumns[#Headers]),"C",COLUMN(),":R",ROW()-1,"C",COLUMN()),FALSE))=0,1,MAX(INDIRECT(CONCATENATE("R",ROW(DataColumns[#Headers]),"C",COLUMN(),":R",ROW()-1,"C",COLUMN()),FALSE))+1),"")</f>
        <v/>
      </c>
      <c r="AC32" s="126" t="str">
        <f>IF(DataColumns[[#This Row],[ColumnType]]="ResultValue",CONCATENATE(DataColumns[[#This Row],[ColumnType]],DataColumns[[#This Row],[ColumnLabel]]),CONCATENATE(DataColumns[[#This Row],[ColumnType]],DataColumns[[#This Row],[AppliesToColumn]]))</f>
        <v/>
      </c>
    </row>
    <row r="33" spans="1:29" x14ac:dyDescent="0.25">
      <c r="A33" s="47" t="str">
        <f ca="1">IF(COUNTA(DataColumns[[#This Row],[ColumnLabel]:[QualityCodeCV]])&gt;0,IF(MAX(INDIRECT(CONCATENATE("R",ROW(DataColumns[#Headers]),"C",COLUMN(),":R",ROW()-1,"C",COLUMN()),FALSE))=0,1,MAX(INDIRECT(CONCATENATE("R",ROW(DataColumns[#Headers]),"C",COLUMN(),":R",ROW()-1,"C",COLUMN()),FALSE))+1),"")</f>
        <v/>
      </c>
      <c r="B33" s="105"/>
      <c r="C33" s="10"/>
      <c r="D33" s="156"/>
      <c r="E33" s="161"/>
      <c r="F33" s="139"/>
      <c r="G33" s="9"/>
      <c r="H33" s="10"/>
      <c r="I33" s="10"/>
      <c r="J33" s="10"/>
      <c r="K33" s="34"/>
      <c r="L33" s="10"/>
      <c r="M33" s="133"/>
      <c r="N33" s="105"/>
      <c r="O33" s="9"/>
      <c r="P33" s="10"/>
      <c r="Q33" s="10"/>
      <c r="R33" s="21"/>
      <c r="S33" s="21"/>
      <c r="T33" s="10"/>
      <c r="U33" s="10"/>
      <c r="V33" s="10"/>
      <c r="W33" s="10"/>
      <c r="X33" s="21"/>
      <c r="Y33" s="10"/>
      <c r="Z33" s="10"/>
      <c r="AA33" s="10"/>
      <c r="AB33" s="178" t="str">
        <f ca="1">IF(DataColumns[[#This Row],[ColumnType]]="ResultValue",IF(MAX(INDIRECT(CONCATENATE("R",ROW(DataColumns[#Headers]),"C",COLUMN(),":R",ROW()-1,"C",COLUMN()),FALSE))=0,1,MAX(INDIRECT(CONCATENATE("R",ROW(DataColumns[#Headers]),"C",COLUMN(),":R",ROW()-1,"C",COLUMN()),FALSE))+1),"")</f>
        <v/>
      </c>
      <c r="AC33" s="126" t="str">
        <f>IF(DataColumns[[#This Row],[ColumnType]]="ResultValue",CONCATENATE(DataColumns[[#This Row],[ColumnType]],DataColumns[[#This Row],[ColumnLabel]]),CONCATENATE(DataColumns[[#This Row],[ColumnType]],DataColumns[[#This Row],[AppliesToColumn]]))</f>
        <v/>
      </c>
    </row>
    <row r="34" spans="1:29" x14ac:dyDescent="0.25">
      <c r="A34" s="47" t="str">
        <f ca="1">IF(COUNTA(DataColumns[[#This Row],[ColumnLabel]:[QualityCodeCV]])&gt;0,IF(MAX(INDIRECT(CONCATENATE("R",ROW(DataColumns[#Headers]),"C",COLUMN(),":R",ROW()-1,"C",COLUMN()),FALSE))=0,1,MAX(INDIRECT(CONCATENATE("R",ROW(DataColumns[#Headers]),"C",COLUMN(),":R",ROW()-1,"C",COLUMN()),FALSE))+1),"")</f>
        <v/>
      </c>
      <c r="B34" s="105"/>
      <c r="C34" s="10"/>
      <c r="D34" s="156"/>
      <c r="E34" s="161"/>
      <c r="F34" s="139"/>
      <c r="G34" s="9"/>
      <c r="H34" s="10"/>
      <c r="I34" s="10"/>
      <c r="J34" s="10"/>
      <c r="K34" s="34"/>
      <c r="L34" s="10"/>
      <c r="M34" s="133"/>
      <c r="N34" s="105"/>
      <c r="O34" s="9"/>
      <c r="P34" s="10"/>
      <c r="Q34" s="10"/>
      <c r="R34" s="21"/>
      <c r="S34" s="21"/>
      <c r="T34" s="10"/>
      <c r="U34" s="10"/>
      <c r="V34" s="10"/>
      <c r="W34" s="10"/>
      <c r="X34" s="21"/>
      <c r="Y34" s="10"/>
      <c r="Z34" s="10"/>
      <c r="AA34" s="10"/>
      <c r="AB34" s="178" t="str">
        <f ca="1">IF(DataColumns[[#This Row],[ColumnType]]="ResultValue",IF(MAX(INDIRECT(CONCATENATE("R",ROW(DataColumns[#Headers]),"C",COLUMN(),":R",ROW()-1,"C",COLUMN()),FALSE))=0,1,MAX(INDIRECT(CONCATENATE("R",ROW(DataColumns[#Headers]),"C",COLUMN(),":R",ROW()-1,"C",COLUMN()),FALSE))+1),"")</f>
        <v/>
      </c>
      <c r="AC34" s="126" t="str">
        <f>IF(DataColumns[[#This Row],[ColumnType]]="ResultValue",CONCATENATE(DataColumns[[#This Row],[ColumnType]],DataColumns[[#This Row],[ColumnLabel]]),CONCATENATE(DataColumns[[#This Row],[ColumnType]],DataColumns[[#This Row],[AppliesToColumn]]))</f>
        <v/>
      </c>
    </row>
    <row r="35" spans="1:29" x14ac:dyDescent="0.25">
      <c r="A35" s="47" t="str">
        <f ca="1">IF(COUNTA(DataColumns[[#This Row],[ColumnLabel]:[QualityCodeCV]])&gt;0,IF(MAX(INDIRECT(CONCATENATE("R",ROW(DataColumns[#Headers]),"C",COLUMN(),":R",ROW()-1,"C",COLUMN()),FALSE))=0,1,MAX(INDIRECT(CONCATENATE("R",ROW(DataColumns[#Headers]),"C",COLUMN(),":R",ROW()-1,"C",COLUMN()),FALSE))+1),"")</f>
        <v/>
      </c>
      <c r="B35" s="105"/>
      <c r="C35" s="10"/>
      <c r="D35" s="156"/>
      <c r="E35" s="161"/>
      <c r="F35" s="139"/>
      <c r="G35" s="9"/>
      <c r="H35" s="10"/>
      <c r="I35" s="10"/>
      <c r="J35" s="10"/>
      <c r="K35" s="34"/>
      <c r="L35" s="10"/>
      <c r="M35" s="133"/>
      <c r="N35" s="105"/>
      <c r="O35" s="9"/>
      <c r="P35" s="10"/>
      <c r="Q35" s="10"/>
      <c r="R35" s="21"/>
      <c r="S35" s="21"/>
      <c r="T35" s="10"/>
      <c r="U35" s="10"/>
      <c r="V35" s="10"/>
      <c r="W35" s="10"/>
      <c r="X35" s="21"/>
      <c r="Y35" s="10"/>
      <c r="Z35" s="10"/>
      <c r="AA35" s="10"/>
      <c r="AB35" s="178" t="str">
        <f ca="1">IF(DataColumns[[#This Row],[ColumnType]]="ResultValue",IF(MAX(INDIRECT(CONCATENATE("R",ROW(DataColumns[#Headers]),"C",COLUMN(),":R",ROW()-1,"C",COLUMN()),FALSE))=0,1,MAX(INDIRECT(CONCATENATE("R",ROW(DataColumns[#Headers]),"C",COLUMN(),":R",ROW()-1,"C",COLUMN()),FALSE))+1),"")</f>
        <v/>
      </c>
      <c r="AC35" s="126" t="str">
        <f>IF(DataColumns[[#This Row],[ColumnType]]="ResultValue",CONCATENATE(DataColumns[[#This Row],[ColumnType]],DataColumns[[#This Row],[ColumnLabel]]),CONCATENATE(DataColumns[[#This Row],[ColumnType]],DataColumns[[#This Row],[AppliesToColumn]]))</f>
        <v/>
      </c>
    </row>
    <row r="36" spans="1:29" x14ac:dyDescent="0.25">
      <c r="A36" s="47" t="str">
        <f ca="1">IF(COUNTA(DataColumns[[#This Row],[ColumnLabel]:[QualityCodeCV]])&gt;0,IF(MAX(INDIRECT(CONCATENATE("R",ROW(DataColumns[#Headers]),"C",COLUMN(),":R",ROW()-1,"C",COLUMN()),FALSE))=0,1,MAX(INDIRECT(CONCATENATE("R",ROW(DataColumns[#Headers]),"C",COLUMN(),":R",ROW()-1,"C",COLUMN()),FALSE))+1),"")</f>
        <v/>
      </c>
      <c r="B36" s="105"/>
      <c r="C36" s="10"/>
      <c r="D36" s="156"/>
      <c r="E36" s="161"/>
      <c r="F36" s="139"/>
      <c r="G36" s="9"/>
      <c r="H36" s="10"/>
      <c r="I36" s="10"/>
      <c r="J36" s="10"/>
      <c r="K36" s="34"/>
      <c r="L36" s="10"/>
      <c r="M36" s="133"/>
      <c r="N36" s="105"/>
      <c r="O36" s="9"/>
      <c r="P36" s="10"/>
      <c r="Q36" s="10"/>
      <c r="R36" s="21"/>
      <c r="S36" s="21"/>
      <c r="T36" s="10"/>
      <c r="U36" s="10"/>
      <c r="V36" s="10"/>
      <c r="W36" s="10"/>
      <c r="X36" s="21"/>
      <c r="Y36" s="10"/>
      <c r="Z36" s="10"/>
      <c r="AA36" s="10"/>
      <c r="AB36" s="178" t="str">
        <f ca="1">IF(DataColumns[[#This Row],[ColumnType]]="ResultValue",IF(MAX(INDIRECT(CONCATENATE("R",ROW(DataColumns[#Headers]),"C",COLUMN(),":R",ROW()-1,"C",COLUMN()),FALSE))=0,1,MAX(INDIRECT(CONCATENATE("R",ROW(DataColumns[#Headers]),"C",COLUMN(),":R",ROW()-1,"C",COLUMN()),FALSE))+1),"")</f>
        <v/>
      </c>
      <c r="AC36" s="126" t="str">
        <f>IF(DataColumns[[#This Row],[ColumnType]]="ResultValue",CONCATENATE(DataColumns[[#This Row],[ColumnType]],DataColumns[[#This Row],[ColumnLabel]]),CONCATENATE(DataColumns[[#This Row],[ColumnType]],DataColumns[[#This Row],[AppliesToColumn]]))</f>
        <v/>
      </c>
    </row>
    <row r="37" spans="1:29" x14ac:dyDescent="0.25">
      <c r="A37" s="47" t="str">
        <f ca="1">IF(COUNTA(DataColumns[[#This Row],[ColumnLabel]:[QualityCodeCV]])&gt;0,IF(MAX(INDIRECT(CONCATENATE("R",ROW(DataColumns[#Headers]),"C",COLUMN(),":R",ROW()-1,"C",COLUMN()),FALSE))=0,1,MAX(INDIRECT(CONCATENATE("R",ROW(DataColumns[#Headers]),"C",COLUMN(),":R",ROW()-1,"C",COLUMN()),FALSE))+1),"")</f>
        <v/>
      </c>
      <c r="B37" s="105"/>
      <c r="C37" s="10"/>
      <c r="D37" s="156"/>
      <c r="E37" s="161"/>
      <c r="F37" s="139"/>
      <c r="G37" s="9"/>
      <c r="H37" s="10"/>
      <c r="I37" s="10"/>
      <c r="J37" s="10"/>
      <c r="K37" s="34"/>
      <c r="L37" s="10"/>
      <c r="M37" s="133"/>
      <c r="N37" s="105"/>
      <c r="O37" s="9"/>
      <c r="P37" s="10"/>
      <c r="Q37" s="10"/>
      <c r="R37" s="21"/>
      <c r="S37" s="21"/>
      <c r="T37" s="10"/>
      <c r="U37" s="10"/>
      <c r="V37" s="10"/>
      <c r="W37" s="10"/>
      <c r="X37" s="21"/>
      <c r="Y37" s="10"/>
      <c r="Z37" s="10"/>
      <c r="AA37" s="10"/>
      <c r="AB37" s="178" t="str">
        <f ca="1">IF(DataColumns[[#This Row],[ColumnType]]="ResultValue",IF(MAX(INDIRECT(CONCATENATE("R",ROW(DataColumns[#Headers]),"C",COLUMN(),":R",ROW()-1,"C",COLUMN()),FALSE))=0,1,MAX(INDIRECT(CONCATENATE("R",ROW(DataColumns[#Headers]),"C",COLUMN(),":R",ROW()-1,"C",COLUMN()),FALSE))+1),"")</f>
        <v/>
      </c>
      <c r="AC37" s="126" t="str">
        <f>IF(DataColumns[[#This Row],[ColumnType]]="ResultValue",CONCATENATE(DataColumns[[#This Row],[ColumnType]],DataColumns[[#This Row],[ColumnLabel]]),CONCATENATE(DataColumns[[#This Row],[ColumnType]],DataColumns[[#This Row],[AppliesToColumn]]))</f>
        <v/>
      </c>
    </row>
    <row r="38" spans="1:29" x14ac:dyDescent="0.25">
      <c r="A38" s="47" t="str">
        <f ca="1">IF(COUNTA(DataColumns[[#This Row],[ColumnLabel]:[QualityCodeCV]])&gt;0,IF(MAX(INDIRECT(CONCATENATE("R",ROW(DataColumns[#Headers]),"C",COLUMN(),":R",ROW()-1,"C",COLUMN()),FALSE))=0,1,MAX(INDIRECT(CONCATENATE("R",ROW(DataColumns[#Headers]),"C",COLUMN(),":R",ROW()-1,"C",COLUMN()),FALSE))+1),"")</f>
        <v/>
      </c>
      <c r="B38" s="105"/>
      <c r="C38" s="10"/>
      <c r="D38" s="156"/>
      <c r="E38" s="161"/>
      <c r="F38" s="139"/>
      <c r="G38" s="9"/>
      <c r="H38" s="10"/>
      <c r="I38" s="10"/>
      <c r="J38" s="10"/>
      <c r="K38" s="34"/>
      <c r="L38" s="10"/>
      <c r="M38" s="133"/>
      <c r="N38" s="105"/>
      <c r="O38" s="9"/>
      <c r="P38" s="10"/>
      <c r="Q38" s="10"/>
      <c r="R38" s="21"/>
      <c r="S38" s="21"/>
      <c r="T38" s="10"/>
      <c r="U38" s="10"/>
      <c r="V38" s="10"/>
      <c r="W38" s="10"/>
      <c r="X38" s="21"/>
      <c r="Y38" s="10"/>
      <c r="Z38" s="10"/>
      <c r="AA38" s="10"/>
      <c r="AB38" s="178" t="str">
        <f ca="1">IF(DataColumns[[#This Row],[ColumnType]]="ResultValue",IF(MAX(INDIRECT(CONCATENATE("R",ROW(DataColumns[#Headers]),"C",COLUMN(),":R",ROW()-1,"C",COLUMN()),FALSE))=0,1,MAX(INDIRECT(CONCATENATE("R",ROW(DataColumns[#Headers]),"C",COLUMN(),":R",ROW()-1,"C",COLUMN()),FALSE))+1),"")</f>
        <v/>
      </c>
      <c r="AC38" s="126" t="str">
        <f>IF(DataColumns[[#This Row],[ColumnType]]="ResultValue",CONCATENATE(DataColumns[[#This Row],[ColumnType]],DataColumns[[#This Row],[ColumnLabel]]),CONCATENATE(DataColumns[[#This Row],[ColumnType]],DataColumns[[#This Row],[AppliesToColumn]]))</f>
        <v/>
      </c>
    </row>
    <row r="39" spans="1:29" x14ac:dyDescent="0.25">
      <c r="A39" s="47" t="str">
        <f ca="1">IF(COUNTA(DataColumns[[#This Row],[ColumnLabel]:[QualityCodeCV]])&gt;0,IF(MAX(INDIRECT(CONCATENATE("R",ROW(DataColumns[#Headers]),"C",COLUMN(),":R",ROW()-1,"C",COLUMN()),FALSE))=0,1,MAX(INDIRECT(CONCATENATE("R",ROW(DataColumns[#Headers]),"C",COLUMN(),":R",ROW()-1,"C",COLUMN()),FALSE))+1),"")</f>
        <v/>
      </c>
      <c r="B39" s="105"/>
      <c r="C39" s="10"/>
      <c r="D39" s="156"/>
      <c r="E39" s="161"/>
      <c r="F39" s="139"/>
      <c r="G39" s="9"/>
      <c r="H39" s="10"/>
      <c r="I39" s="10"/>
      <c r="J39" s="10"/>
      <c r="K39" s="34"/>
      <c r="L39" s="10"/>
      <c r="M39" s="133"/>
      <c r="N39" s="105"/>
      <c r="O39" s="9"/>
      <c r="P39" s="10"/>
      <c r="Q39" s="10"/>
      <c r="R39" s="21"/>
      <c r="S39" s="21"/>
      <c r="T39" s="10"/>
      <c r="U39" s="10"/>
      <c r="V39" s="10"/>
      <c r="W39" s="10"/>
      <c r="X39" s="21"/>
      <c r="Y39" s="10"/>
      <c r="Z39" s="10"/>
      <c r="AA39" s="10"/>
      <c r="AB39" s="178" t="str">
        <f ca="1">IF(DataColumns[[#This Row],[ColumnType]]="ResultValue",IF(MAX(INDIRECT(CONCATENATE("R",ROW(DataColumns[#Headers]),"C",COLUMN(),":R",ROW()-1,"C",COLUMN()),FALSE))=0,1,MAX(INDIRECT(CONCATENATE("R",ROW(DataColumns[#Headers]),"C",COLUMN(),":R",ROW()-1,"C",COLUMN()),FALSE))+1),"")</f>
        <v/>
      </c>
      <c r="AC39" s="126" t="str">
        <f>IF(DataColumns[[#This Row],[ColumnType]]="ResultValue",CONCATENATE(DataColumns[[#This Row],[ColumnType]],DataColumns[[#This Row],[ColumnLabel]]),CONCATENATE(DataColumns[[#This Row],[ColumnType]],DataColumns[[#This Row],[AppliesToColumn]]))</f>
        <v/>
      </c>
    </row>
    <row r="40" spans="1:29" x14ac:dyDescent="0.25">
      <c r="A40" s="47" t="str">
        <f ca="1">IF(COUNTA(DataColumns[[#This Row],[ColumnLabel]:[QualityCodeCV]])&gt;0,IF(MAX(INDIRECT(CONCATENATE("R",ROW(DataColumns[#Headers]),"C",COLUMN(),":R",ROW()-1,"C",COLUMN()),FALSE))=0,1,MAX(INDIRECT(CONCATENATE("R",ROW(DataColumns[#Headers]),"C",COLUMN(),":R",ROW()-1,"C",COLUMN()),FALSE))+1),"")</f>
        <v/>
      </c>
      <c r="B40" s="105"/>
      <c r="C40" s="10"/>
      <c r="D40" s="156"/>
      <c r="E40" s="161"/>
      <c r="F40" s="139"/>
      <c r="G40" s="9"/>
      <c r="H40" s="10"/>
      <c r="I40" s="10"/>
      <c r="J40" s="10"/>
      <c r="K40" s="34"/>
      <c r="L40" s="10"/>
      <c r="M40" s="133"/>
      <c r="N40" s="105"/>
      <c r="O40" s="9"/>
      <c r="P40" s="10"/>
      <c r="Q40" s="10"/>
      <c r="R40" s="21"/>
      <c r="S40" s="21"/>
      <c r="T40" s="10"/>
      <c r="U40" s="10"/>
      <c r="V40" s="10"/>
      <c r="W40" s="10"/>
      <c r="X40" s="21"/>
      <c r="Y40" s="10"/>
      <c r="Z40" s="10"/>
      <c r="AA40" s="10"/>
      <c r="AB40" s="178" t="str">
        <f ca="1">IF(DataColumns[[#This Row],[ColumnType]]="ResultValue",IF(MAX(INDIRECT(CONCATENATE("R",ROW(DataColumns[#Headers]),"C",COLUMN(),":R",ROW()-1,"C",COLUMN()),FALSE))=0,1,MAX(INDIRECT(CONCATENATE("R",ROW(DataColumns[#Headers]),"C",COLUMN(),":R",ROW()-1,"C",COLUMN()),FALSE))+1),"")</f>
        <v/>
      </c>
      <c r="AC40" s="126" t="str">
        <f>IF(DataColumns[[#This Row],[ColumnType]]="ResultValue",CONCATENATE(DataColumns[[#This Row],[ColumnType]],DataColumns[[#This Row],[ColumnLabel]]),CONCATENATE(DataColumns[[#This Row],[ColumnType]],DataColumns[[#This Row],[AppliesToColumn]]))</f>
        <v/>
      </c>
    </row>
    <row r="41" spans="1:29" x14ac:dyDescent="0.25">
      <c r="A41" s="47" t="str">
        <f ca="1">IF(COUNTA(DataColumns[[#This Row],[ColumnLabel]:[QualityCodeCV]])&gt;0,IF(MAX(INDIRECT(CONCATENATE("R",ROW(DataColumns[#Headers]),"C",COLUMN(),":R",ROW()-1,"C",COLUMN()),FALSE))=0,1,MAX(INDIRECT(CONCATENATE("R",ROW(DataColumns[#Headers]),"C",COLUMN(),":R",ROW()-1,"C",COLUMN()),FALSE))+1),"")</f>
        <v/>
      </c>
      <c r="B41" s="105"/>
      <c r="C41" s="10"/>
      <c r="D41" s="156"/>
      <c r="E41" s="161"/>
      <c r="F41" s="139"/>
      <c r="G41" s="9"/>
      <c r="H41" s="10"/>
      <c r="I41" s="10"/>
      <c r="J41" s="10"/>
      <c r="K41" s="34"/>
      <c r="L41" s="10"/>
      <c r="M41" s="133"/>
      <c r="N41" s="105"/>
      <c r="O41" s="9"/>
      <c r="P41" s="10"/>
      <c r="Q41" s="10"/>
      <c r="R41" s="21"/>
      <c r="S41" s="21"/>
      <c r="T41" s="10"/>
      <c r="U41" s="10"/>
      <c r="V41" s="10"/>
      <c r="W41" s="10"/>
      <c r="X41" s="21"/>
      <c r="Y41" s="10"/>
      <c r="Z41" s="10"/>
      <c r="AA41" s="10"/>
      <c r="AB41" s="178" t="str">
        <f ca="1">IF(DataColumns[[#This Row],[ColumnType]]="ResultValue",IF(MAX(INDIRECT(CONCATENATE("R",ROW(DataColumns[#Headers]),"C",COLUMN(),":R",ROW()-1,"C",COLUMN()),FALSE))=0,1,MAX(INDIRECT(CONCATENATE("R",ROW(DataColumns[#Headers]),"C",COLUMN(),":R",ROW()-1,"C",COLUMN()),FALSE))+1),"")</f>
        <v/>
      </c>
      <c r="AC41" s="126" t="str">
        <f>IF(DataColumns[[#This Row],[ColumnType]]="ResultValue",CONCATENATE(DataColumns[[#This Row],[ColumnType]],DataColumns[[#This Row],[ColumnLabel]]),CONCATENATE(DataColumns[[#This Row],[ColumnType]],DataColumns[[#This Row],[AppliesToColumn]]))</f>
        <v/>
      </c>
    </row>
    <row r="42" spans="1:29" x14ac:dyDescent="0.25">
      <c r="A42" s="47" t="str">
        <f ca="1">IF(COUNTA(DataColumns[[#This Row],[ColumnLabel]:[QualityCodeCV]])&gt;0,IF(MAX(INDIRECT(CONCATENATE("R",ROW(DataColumns[#Headers]),"C",COLUMN(),":R",ROW()-1,"C",COLUMN()),FALSE))=0,1,MAX(INDIRECT(CONCATENATE("R",ROW(DataColumns[#Headers]),"C",COLUMN(),":R",ROW()-1,"C",COLUMN()),FALSE))+1),"")</f>
        <v/>
      </c>
      <c r="B42" s="105"/>
      <c r="C42" s="10"/>
      <c r="D42" s="156"/>
      <c r="E42" s="161"/>
      <c r="F42" s="139"/>
      <c r="G42" s="9"/>
      <c r="H42" s="10"/>
      <c r="I42" s="10"/>
      <c r="J42" s="10"/>
      <c r="K42" s="34"/>
      <c r="L42" s="10"/>
      <c r="M42" s="133"/>
      <c r="N42" s="105"/>
      <c r="O42" s="9"/>
      <c r="P42" s="10"/>
      <c r="Q42" s="10"/>
      <c r="R42" s="21"/>
      <c r="S42" s="21"/>
      <c r="T42" s="10"/>
      <c r="U42" s="10"/>
      <c r="V42" s="10"/>
      <c r="W42" s="10"/>
      <c r="X42" s="21"/>
      <c r="Y42" s="10"/>
      <c r="Z42" s="10"/>
      <c r="AA42" s="10"/>
      <c r="AB42" s="178" t="str">
        <f ca="1">IF(DataColumns[[#This Row],[ColumnType]]="ResultValue",IF(MAX(INDIRECT(CONCATENATE("R",ROW(DataColumns[#Headers]),"C",COLUMN(),":R",ROW()-1,"C",COLUMN()),FALSE))=0,1,MAX(INDIRECT(CONCATENATE("R",ROW(DataColumns[#Headers]),"C",COLUMN(),":R",ROW()-1,"C",COLUMN()),FALSE))+1),"")</f>
        <v/>
      </c>
      <c r="AC42" s="126" t="str">
        <f>IF(DataColumns[[#This Row],[ColumnType]]="ResultValue",CONCATENATE(DataColumns[[#This Row],[ColumnType]],DataColumns[[#This Row],[ColumnLabel]]),CONCATENATE(DataColumns[[#This Row],[ColumnType]],DataColumns[[#This Row],[AppliesToColumn]]))</f>
        <v/>
      </c>
    </row>
    <row r="43" spans="1:29" x14ac:dyDescent="0.25">
      <c r="A43" s="47" t="str">
        <f ca="1">IF(COUNTA(DataColumns[[#This Row],[ColumnLabel]:[QualityCodeCV]])&gt;0,IF(MAX(INDIRECT(CONCATENATE("R",ROW(DataColumns[#Headers]),"C",COLUMN(),":R",ROW()-1,"C",COLUMN()),FALSE))=0,1,MAX(INDIRECT(CONCATENATE("R",ROW(DataColumns[#Headers]),"C",COLUMN(),":R",ROW()-1,"C",COLUMN()),FALSE))+1),"")</f>
        <v/>
      </c>
      <c r="B43" s="105"/>
      <c r="C43" s="10"/>
      <c r="D43" s="156"/>
      <c r="E43" s="161"/>
      <c r="F43" s="139"/>
      <c r="G43" s="9"/>
      <c r="H43" s="10"/>
      <c r="I43" s="10"/>
      <c r="J43" s="10"/>
      <c r="K43" s="34"/>
      <c r="L43" s="10"/>
      <c r="M43" s="133"/>
      <c r="N43" s="105"/>
      <c r="O43" s="9"/>
      <c r="P43" s="10"/>
      <c r="Q43" s="10"/>
      <c r="R43" s="21"/>
      <c r="S43" s="21"/>
      <c r="T43" s="10"/>
      <c r="U43" s="10"/>
      <c r="V43" s="10"/>
      <c r="W43" s="10"/>
      <c r="X43" s="21"/>
      <c r="Y43" s="10"/>
      <c r="Z43" s="10"/>
      <c r="AA43" s="10"/>
      <c r="AB43" s="178" t="str">
        <f ca="1">IF(DataColumns[[#This Row],[ColumnType]]="ResultValue",IF(MAX(INDIRECT(CONCATENATE("R",ROW(DataColumns[#Headers]),"C",COLUMN(),":R",ROW()-1,"C",COLUMN()),FALSE))=0,1,MAX(INDIRECT(CONCATENATE("R",ROW(DataColumns[#Headers]),"C",COLUMN(),":R",ROW()-1,"C",COLUMN()),FALSE))+1),"")</f>
        <v/>
      </c>
      <c r="AC43" s="126" t="str">
        <f>IF(DataColumns[[#This Row],[ColumnType]]="ResultValue",CONCATENATE(DataColumns[[#This Row],[ColumnType]],DataColumns[[#This Row],[ColumnLabel]]),CONCATENATE(DataColumns[[#This Row],[ColumnType]],DataColumns[[#This Row],[AppliesToColumn]]))</f>
        <v/>
      </c>
    </row>
    <row r="44" spans="1:29" x14ac:dyDescent="0.25">
      <c r="A44" s="47" t="str">
        <f ca="1">IF(COUNTA(DataColumns[[#This Row],[ColumnLabel]:[QualityCodeCV]])&gt;0,IF(MAX(INDIRECT(CONCATENATE("R",ROW(DataColumns[#Headers]),"C",COLUMN(),":R",ROW()-1,"C",COLUMN()),FALSE))=0,1,MAX(INDIRECT(CONCATENATE("R",ROW(DataColumns[#Headers]),"C",COLUMN(),":R",ROW()-1,"C",COLUMN()),FALSE))+1),"")</f>
        <v/>
      </c>
      <c r="B44" s="105"/>
      <c r="C44" s="10"/>
      <c r="D44" s="156"/>
      <c r="E44" s="161"/>
      <c r="F44" s="139"/>
      <c r="G44" s="9"/>
      <c r="H44" s="10"/>
      <c r="I44" s="10"/>
      <c r="J44" s="10"/>
      <c r="K44" s="34"/>
      <c r="L44" s="10"/>
      <c r="M44" s="133"/>
      <c r="N44" s="105"/>
      <c r="O44" s="9"/>
      <c r="P44" s="10"/>
      <c r="Q44" s="10"/>
      <c r="R44" s="21"/>
      <c r="S44" s="21"/>
      <c r="T44" s="10"/>
      <c r="U44" s="10"/>
      <c r="V44" s="10"/>
      <c r="W44" s="10"/>
      <c r="X44" s="21"/>
      <c r="Y44" s="10"/>
      <c r="Z44" s="10"/>
      <c r="AA44" s="10"/>
      <c r="AB44" s="178" t="str">
        <f ca="1">IF(DataColumns[[#This Row],[ColumnType]]="ResultValue",IF(MAX(INDIRECT(CONCATENATE("R",ROW(DataColumns[#Headers]),"C",COLUMN(),":R",ROW()-1,"C",COLUMN()),FALSE))=0,1,MAX(INDIRECT(CONCATENATE("R",ROW(DataColumns[#Headers]),"C",COLUMN(),":R",ROW()-1,"C",COLUMN()),FALSE))+1),"")</f>
        <v/>
      </c>
      <c r="AC44" s="126" t="str">
        <f>IF(DataColumns[[#This Row],[ColumnType]]="ResultValue",CONCATENATE(DataColumns[[#This Row],[ColumnType]],DataColumns[[#This Row],[ColumnLabel]]),CONCATENATE(DataColumns[[#This Row],[ColumnType]],DataColumns[[#This Row],[AppliesToColumn]]))</f>
        <v/>
      </c>
    </row>
    <row r="45" spans="1:29" x14ac:dyDescent="0.25">
      <c r="A45" s="47" t="str">
        <f ca="1">IF(COUNTA(DataColumns[[#This Row],[ColumnLabel]:[QualityCodeCV]])&gt;0,IF(MAX(INDIRECT(CONCATENATE("R",ROW(DataColumns[#Headers]),"C",COLUMN(),":R",ROW()-1,"C",COLUMN()),FALSE))=0,1,MAX(INDIRECT(CONCATENATE("R",ROW(DataColumns[#Headers]),"C",COLUMN(),":R",ROW()-1,"C",COLUMN()),FALSE))+1),"")</f>
        <v/>
      </c>
      <c r="B45" s="105"/>
      <c r="C45" s="10"/>
      <c r="D45" s="156"/>
      <c r="E45" s="161"/>
      <c r="F45" s="139"/>
      <c r="G45" s="9"/>
      <c r="H45" s="10"/>
      <c r="I45" s="10"/>
      <c r="J45" s="10"/>
      <c r="K45" s="34"/>
      <c r="L45" s="10"/>
      <c r="M45" s="133"/>
      <c r="N45" s="105"/>
      <c r="O45" s="9"/>
      <c r="P45" s="10"/>
      <c r="Q45" s="10"/>
      <c r="R45" s="21"/>
      <c r="S45" s="21"/>
      <c r="T45" s="10"/>
      <c r="U45" s="10"/>
      <c r="V45" s="10"/>
      <c r="W45" s="10"/>
      <c r="X45" s="21"/>
      <c r="Y45" s="10"/>
      <c r="Z45" s="10"/>
      <c r="AA45" s="10"/>
      <c r="AB45" s="178" t="str">
        <f ca="1">IF(DataColumns[[#This Row],[ColumnType]]="ResultValue",IF(MAX(INDIRECT(CONCATENATE("R",ROW(DataColumns[#Headers]),"C",COLUMN(),":R",ROW()-1,"C",COLUMN()),FALSE))=0,1,MAX(INDIRECT(CONCATENATE("R",ROW(DataColumns[#Headers]),"C",COLUMN(),":R",ROW()-1,"C",COLUMN()),FALSE))+1),"")</f>
        <v/>
      </c>
      <c r="AC45" s="126" t="str">
        <f>IF(DataColumns[[#This Row],[ColumnType]]="ResultValue",CONCATENATE(DataColumns[[#This Row],[ColumnType]],DataColumns[[#This Row],[ColumnLabel]]),CONCATENATE(DataColumns[[#This Row],[ColumnType]],DataColumns[[#This Row],[AppliesToColumn]]))</f>
        <v/>
      </c>
    </row>
    <row r="46" spans="1:29" x14ac:dyDescent="0.25">
      <c r="A46" s="47" t="str">
        <f ca="1">IF(COUNTA(DataColumns[[#This Row],[ColumnLabel]:[QualityCodeCV]])&gt;0,IF(MAX(INDIRECT(CONCATENATE("R",ROW(DataColumns[#Headers]),"C",COLUMN(),":R",ROW()-1,"C",COLUMN()),FALSE))=0,1,MAX(INDIRECT(CONCATENATE("R",ROW(DataColumns[#Headers]),"C",COLUMN(),":R",ROW()-1,"C",COLUMN()),FALSE))+1),"")</f>
        <v/>
      </c>
      <c r="B46" s="105"/>
      <c r="C46" s="10"/>
      <c r="D46" s="156"/>
      <c r="E46" s="161"/>
      <c r="F46" s="139"/>
      <c r="G46" s="9"/>
      <c r="H46" s="10"/>
      <c r="I46" s="10"/>
      <c r="J46" s="10"/>
      <c r="K46" s="34"/>
      <c r="L46" s="10"/>
      <c r="M46" s="133"/>
      <c r="N46" s="105"/>
      <c r="O46" s="9"/>
      <c r="P46" s="10"/>
      <c r="Q46" s="10"/>
      <c r="R46" s="21"/>
      <c r="S46" s="21"/>
      <c r="T46" s="10"/>
      <c r="U46" s="10"/>
      <c r="V46" s="10"/>
      <c r="W46" s="10"/>
      <c r="X46" s="21"/>
      <c r="Y46" s="10"/>
      <c r="Z46" s="10"/>
      <c r="AA46" s="10"/>
      <c r="AB46" s="178" t="str">
        <f ca="1">IF(DataColumns[[#This Row],[ColumnType]]="ResultValue",IF(MAX(INDIRECT(CONCATENATE("R",ROW(DataColumns[#Headers]),"C",COLUMN(),":R",ROW()-1,"C",COLUMN()),FALSE))=0,1,MAX(INDIRECT(CONCATENATE("R",ROW(DataColumns[#Headers]),"C",COLUMN(),":R",ROW()-1,"C",COLUMN()),FALSE))+1),"")</f>
        <v/>
      </c>
      <c r="AC46" s="126" t="str">
        <f>IF(DataColumns[[#This Row],[ColumnType]]="ResultValue",CONCATENATE(DataColumns[[#This Row],[ColumnType]],DataColumns[[#This Row],[ColumnLabel]]),CONCATENATE(DataColumns[[#This Row],[ColumnType]],DataColumns[[#This Row],[AppliesToColumn]]))</f>
        <v/>
      </c>
    </row>
    <row r="47" spans="1:29" x14ac:dyDescent="0.25">
      <c r="A47" s="47" t="str">
        <f ca="1">IF(COUNTA(DataColumns[[#This Row],[ColumnLabel]:[QualityCodeCV]])&gt;0,IF(MAX(INDIRECT(CONCATENATE("R",ROW(DataColumns[#Headers]),"C",COLUMN(),":R",ROW()-1,"C",COLUMN()),FALSE))=0,1,MAX(INDIRECT(CONCATENATE("R",ROW(DataColumns[#Headers]),"C",COLUMN(),":R",ROW()-1,"C",COLUMN()),FALSE))+1),"")</f>
        <v/>
      </c>
      <c r="B47" s="105"/>
      <c r="C47" s="10"/>
      <c r="D47" s="156"/>
      <c r="E47" s="161"/>
      <c r="F47" s="139"/>
      <c r="G47" s="9"/>
      <c r="H47" s="10"/>
      <c r="I47" s="10"/>
      <c r="J47" s="10"/>
      <c r="K47" s="34"/>
      <c r="L47" s="10"/>
      <c r="M47" s="133"/>
      <c r="N47" s="105"/>
      <c r="O47" s="9"/>
      <c r="P47" s="10"/>
      <c r="Q47" s="10"/>
      <c r="R47" s="21"/>
      <c r="S47" s="21"/>
      <c r="T47" s="10"/>
      <c r="U47" s="10"/>
      <c r="V47" s="10"/>
      <c r="W47" s="10"/>
      <c r="X47" s="21"/>
      <c r="Y47" s="10"/>
      <c r="Z47" s="10"/>
      <c r="AA47" s="10"/>
      <c r="AB47" s="178" t="str">
        <f ca="1">IF(DataColumns[[#This Row],[ColumnType]]="ResultValue",IF(MAX(INDIRECT(CONCATENATE("R",ROW(DataColumns[#Headers]),"C",COLUMN(),":R",ROW()-1,"C",COLUMN()),FALSE))=0,1,MAX(INDIRECT(CONCATENATE("R",ROW(DataColumns[#Headers]),"C",COLUMN(),":R",ROW()-1,"C",COLUMN()),FALSE))+1),"")</f>
        <v/>
      </c>
      <c r="AC47" s="126" t="str">
        <f>IF(DataColumns[[#This Row],[ColumnType]]="ResultValue",CONCATENATE(DataColumns[[#This Row],[ColumnType]],DataColumns[[#This Row],[ColumnLabel]]),CONCATENATE(DataColumns[[#This Row],[ColumnType]],DataColumns[[#This Row],[AppliesToColumn]]))</f>
        <v/>
      </c>
    </row>
    <row r="48" spans="1:29" x14ac:dyDescent="0.25">
      <c r="A48" s="47" t="str">
        <f ca="1">IF(COUNTA(DataColumns[[#This Row],[ColumnLabel]:[QualityCodeCV]])&gt;0,IF(MAX(INDIRECT(CONCATENATE("R",ROW(DataColumns[#Headers]),"C",COLUMN(),":R",ROW()-1,"C",COLUMN()),FALSE))=0,1,MAX(INDIRECT(CONCATENATE("R",ROW(DataColumns[#Headers]),"C",COLUMN(),":R",ROW()-1,"C",COLUMN()),FALSE))+1),"")</f>
        <v/>
      </c>
      <c r="B48" s="105"/>
      <c r="C48" s="10"/>
      <c r="D48" s="156"/>
      <c r="E48" s="161"/>
      <c r="F48" s="139"/>
      <c r="G48" s="9"/>
      <c r="H48" s="10"/>
      <c r="I48" s="10"/>
      <c r="J48" s="10"/>
      <c r="K48" s="34"/>
      <c r="L48" s="10"/>
      <c r="M48" s="133"/>
      <c r="N48" s="105"/>
      <c r="O48" s="9"/>
      <c r="P48" s="10"/>
      <c r="Q48" s="10"/>
      <c r="R48" s="21"/>
      <c r="S48" s="21"/>
      <c r="T48" s="10"/>
      <c r="U48" s="10"/>
      <c r="V48" s="10"/>
      <c r="W48" s="10"/>
      <c r="X48" s="21"/>
      <c r="Y48" s="10"/>
      <c r="Z48" s="10"/>
      <c r="AA48" s="10"/>
      <c r="AB48" s="178" t="str">
        <f ca="1">IF(DataColumns[[#This Row],[ColumnType]]="ResultValue",IF(MAX(INDIRECT(CONCATENATE("R",ROW(DataColumns[#Headers]),"C",COLUMN(),":R",ROW()-1,"C",COLUMN()),FALSE))=0,1,MAX(INDIRECT(CONCATENATE("R",ROW(DataColumns[#Headers]),"C",COLUMN(),":R",ROW()-1,"C",COLUMN()),FALSE))+1),"")</f>
        <v/>
      </c>
      <c r="AC48" s="126" t="str">
        <f>IF(DataColumns[[#This Row],[ColumnType]]="ResultValue",CONCATENATE(DataColumns[[#This Row],[ColumnType]],DataColumns[[#This Row],[ColumnLabel]]),CONCATENATE(DataColumns[[#This Row],[ColumnType]],DataColumns[[#This Row],[AppliesToColumn]]))</f>
        <v/>
      </c>
    </row>
    <row r="49" spans="1:29" x14ac:dyDescent="0.25">
      <c r="A49" s="47" t="str">
        <f ca="1">IF(COUNTA(DataColumns[[#This Row],[ColumnLabel]:[QualityCodeCV]])&gt;0,IF(MAX(INDIRECT(CONCATENATE("R",ROW(DataColumns[#Headers]),"C",COLUMN(),":R",ROW()-1,"C",COLUMN()),FALSE))=0,1,MAX(INDIRECT(CONCATENATE("R",ROW(DataColumns[#Headers]),"C",COLUMN(),":R",ROW()-1,"C",COLUMN()),FALSE))+1),"")</f>
        <v/>
      </c>
      <c r="B49" s="105"/>
      <c r="C49" s="10"/>
      <c r="D49" s="156"/>
      <c r="E49" s="161"/>
      <c r="F49" s="139"/>
      <c r="G49" s="9"/>
      <c r="H49" s="10"/>
      <c r="I49" s="10"/>
      <c r="J49" s="10"/>
      <c r="K49" s="34"/>
      <c r="L49" s="10"/>
      <c r="M49" s="133"/>
      <c r="N49" s="105"/>
      <c r="O49" s="9"/>
      <c r="P49" s="10"/>
      <c r="Q49" s="10"/>
      <c r="R49" s="21"/>
      <c r="S49" s="21"/>
      <c r="T49" s="10"/>
      <c r="U49" s="10"/>
      <c r="V49" s="10"/>
      <c r="W49" s="10"/>
      <c r="X49" s="21"/>
      <c r="Y49" s="10"/>
      <c r="Z49" s="10"/>
      <c r="AA49" s="10"/>
      <c r="AB49" s="178" t="str">
        <f ca="1">IF(DataColumns[[#This Row],[ColumnType]]="ResultValue",IF(MAX(INDIRECT(CONCATENATE("R",ROW(DataColumns[#Headers]),"C",COLUMN(),":R",ROW()-1,"C",COLUMN()),FALSE))=0,1,MAX(INDIRECT(CONCATENATE("R",ROW(DataColumns[#Headers]),"C",COLUMN(),":R",ROW()-1,"C",COLUMN()),FALSE))+1),"")</f>
        <v/>
      </c>
      <c r="AC49" s="126" t="str">
        <f>IF(DataColumns[[#This Row],[ColumnType]]="ResultValue",CONCATENATE(DataColumns[[#This Row],[ColumnType]],DataColumns[[#This Row],[ColumnLabel]]),CONCATENATE(DataColumns[[#This Row],[ColumnType]],DataColumns[[#This Row],[AppliesToColumn]]))</f>
        <v/>
      </c>
    </row>
    <row r="50" spans="1:29" x14ac:dyDescent="0.25">
      <c r="A50" s="47" t="str">
        <f ca="1">IF(COUNTA(DataColumns[[#This Row],[ColumnLabel]:[QualityCodeCV]])&gt;0,IF(MAX(INDIRECT(CONCATENATE("R",ROW(DataColumns[#Headers]),"C",COLUMN(),":R",ROW()-1,"C",COLUMN()),FALSE))=0,1,MAX(INDIRECT(CONCATENATE("R",ROW(DataColumns[#Headers]),"C",COLUMN(),":R",ROW()-1,"C",COLUMN()),FALSE))+1),"")</f>
        <v/>
      </c>
      <c r="B50" s="105"/>
      <c r="C50" s="10"/>
      <c r="D50" s="156"/>
      <c r="E50" s="161"/>
      <c r="F50" s="139"/>
      <c r="G50" s="9"/>
      <c r="H50" s="10"/>
      <c r="I50" s="10"/>
      <c r="J50" s="10"/>
      <c r="K50" s="34"/>
      <c r="L50" s="10"/>
      <c r="M50" s="133"/>
      <c r="N50" s="105"/>
      <c r="O50" s="9"/>
      <c r="P50" s="10"/>
      <c r="Q50" s="10"/>
      <c r="R50" s="21"/>
      <c r="S50" s="21"/>
      <c r="T50" s="10"/>
      <c r="U50" s="10"/>
      <c r="V50" s="10"/>
      <c r="W50" s="10"/>
      <c r="X50" s="21"/>
      <c r="Y50" s="10"/>
      <c r="Z50" s="10"/>
      <c r="AA50" s="10"/>
      <c r="AB50" s="178" t="str">
        <f ca="1">IF(DataColumns[[#This Row],[ColumnType]]="ResultValue",IF(MAX(INDIRECT(CONCATENATE("R",ROW(DataColumns[#Headers]),"C",COLUMN(),":R",ROW()-1,"C",COLUMN()),FALSE))=0,1,MAX(INDIRECT(CONCATENATE("R",ROW(DataColumns[#Headers]),"C",COLUMN(),":R",ROW()-1,"C",COLUMN()),FALSE))+1),"")</f>
        <v/>
      </c>
      <c r="AC50" s="126" t="str">
        <f>IF(DataColumns[[#This Row],[ColumnType]]="ResultValue",CONCATENATE(DataColumns[[#This Row],[ColumnType]],DataColumns[[#This Row],[ColumnLabel]]),CONCATENATE(DataColumns[[#This Row],[ColumnType]],DataColumns[[#This Row],[AppliesToColumn]]))</f>
        <v/>
      </c>
    </row>
    <row r="51" spans="1:29" x14ac:dyDescent="0.25">
      <c r="A51" s="47" t="str">
        <f ca="1">IF(COUNTA(DataColumns[[#This Row],[ColumnLabel]:[QualityCodeCV]])&gt;0,IF(MAX(INDIRECT(CONCATENATE("R",ROW(DataColumns[#Headers]),"C",COLUMN(),":R",ROW()-1,"C",COLUMN()),FALSE))=0,1,MAX(INDIRECT(CONCATENATE("R",ROW(DataColumns[#Headers]),"C",COLUMN(),":R",ROW()-1,"C",COLUMN()),FALSE))+1),"")</f>
        <v/>
      </c>
      <c r="B51" s="105"/>
      <c r="C51" s="10"/>
      <c r="D51" s="156"/>
      <c r="E51" s="161"/>
      <c r="F51" s="139"/>
      <c r="G51" s="9"/>
      <c r="H51" s="10"/>
      <c r="I51" s="10"/>
      <c r="J51" s="10"/>
      <c r="K51" s="34"/>
      <c r="L51" s="10"/>
      <c r="M51" s="133"/>
      <c r="N51" s="105"/>
      <c r="O51" s="9"/>
      <c r="P51" s="10"/>
      <c r="Q51" s="10"/>
      <c r="R51" s="21"/>
      <c r="S51" s="21"/>
      <c r="T51" s="10"/>
      <c r="U51" s="10"/>
      <c r="V51" s="10"/>
      <c r="W51" s="10"/>
      <c r="X51" s="21"/>
      <c r="Y51" s="10"/>
      <c r="Z51" s="10"/>
      <c r="AA51" s="10"/>
      <c r="AB51" s="178" t="str">
        <f ca="1">IF(DataColumns[[#This Row],[ColumnType]]="ResultValue",IF(MAX(INDIRECT(CONCATENATE("R",ROW(DataColumns[#Headers]),"C",COLUMN(),":R",ROW()-1,"C",COLUMN()),FALSE))=0,1,MAX(INDIRECT(CONCATENATE("R",ROW(DataColumns[#Headers]),"C",COLUMN(),":R",ROW()-1,"C",COLUMN()),FALSE))+1),"")</f>
        <v/>
      </c>
      <c r="AC51" s="126" t="str">
        <f>IF(DataColumns[[#This Row],[ColumnType]]="ResultValue",CONCATENATE(DataColumns[[#This Row],[ColumnType]],DataColumns[[#This Row],[ColumnLabel]]),CONCATENATE(DataColumns[[#This Row],[ColumnType]],DataColumns[[#This Row],[AppliesToColumn]]))</f>
        <v/>
      </c>
    </row>
    <row r="52" spans="1:29" x14ac:dyDescent="0.25">
      <c r="A52" s="47" t="str">
        <f ca="1">IF(COUNTA(DataColumns[[#This Row],[ColumnLabel]:[QualityCodeCV]])&gt;0,IF(MAX(INDIRECT(CONCATENATE("R",ROW(DataColumns[#Headers]),"C",COLUMN(),":R",ROW()-1,"C",COLUMN()),FALSE))=0,1,MAX(INDIRECT(CONCATENATE("R",ROW(DataColumns[#Headers]),"C",COLUMN(),":R",ROW()-1,"C",COLUMN()),FALSE))+1),"")</f>
        <v/>
      </c>
      <c r="B52" s="105"/>
      <c r="C52" s="10"/>
      <c r="D52" s="156"/>
      <c r="E52" s="161"/>
      <c r="F52" s="139"/>
      <c r="G52" s="9"/>
      <c r="H52" s="10"/>
      <c r="I52" s="10"/>
      <c r="J52" s="10"/>
      <c r="K52" s="34"/>
      <c r="L52" s="10"/>
      <c r="M52" s="133"/>
      <c r="N52" s="105"/>
      <c r="O52" s="9"/>
      <c r="P52" s="10"/>
      <c r="Q52" s="10"/>
      <c r="R52" s="21"/>
      <c r="S52" s="21"/>
      <c r="T52" s="10"/>
      <c r="U52" s="10"/>
      <c r="V52" s="10"/>
      <c r="W52" s="10"/>
      <c r="X52" s="21"/>
      <c r="Y52" s="10"/>
      <c r="Z52" s="10"/>
      <c r="AA52" s="10"/>
      <c r="AB52" s="178" t="str">
        <f ca="1">IF(DataColumns[[#This Row],[ColumnType]]="ResultValue",IF(MAX(INDIRECT(CONCATENATE("R",ROW(DataColumns[#Headers]),"C",COLUMN(),":R",ROW()-1,"C",COLUMN()),FALSE))=0,1,MAX(INDIRECT(CONCATENATE("R",ROW(DataColumns[#Headers]),"C",COLUMN(),":R",ROW()-1,"C",COLUMN()),FALSE))+1),"")</f>
        <v/>
      </c>
      <c r="AC52" s="126" t="str">
        <f>IF(DataColumns[[#This Row],[ColumnType]]="ResultValue",CONCATENATE(DataColumns[[#This Row],[ColumnType]],DataColumns[[#This Row],[ColumnLabel]]),CONCATENATE(DataColumns[[#This Row],[ColumnType]],DataColumns[[#This Row],[AppliesToColumn]]))</f>
        <v/>
      </c>
    </row>
    <row r="53" spans="1:29" x14ac:dyDescent="0.25">
      <c r="A53" s="47" t="str">
        <f ca="1">IF(COUNTA(DataColumns[[#This Row],[ColumnLabel]:[QualityCodeCV]])&gt;0,IF(MAX(INDIRECT(CONCATENATE("R",ROW(DataColumns[#Headers]),"C",COLUMN(),":R",ROW()-1,"C",COLUMN()),FALSE))=0,1,MAX(INDIRECT(CONCATENATE("R",ROW(DataColumns[#Headers]),"C",COLUMN(),":R",ROW()-1,"C",COLUMN()),FALSE))+1),"")</f>
        <v/>
      </c>
      <c r="B53" s="105"/>
      <c r="C53" s="10"/>
      <c r="D53" s="156"/>
      <c r="E53" s="161"/>
      <c r="F53" s="139"/>
      <c r="G53" s="9"/>
      <c r="H53" s="10"/>
      <c r="I53" s="10"/>
      <c r="J53" s="10"/>
      <c r="K53" s="34"/>
      <c r="L53" s="10"/>
      <c r="M53" s="133"/>
      <c r="N53" s="105"/>
      <c r="O53" s="9"/>
      <c r="P53" s="10"/>
      <c r="Q53" s="10"/>
      <c r="R53" s="21"/>
      <c r="S53" s="21"/>
      <c r="T53" s="10"/>
      <c r="U53" s="10"/>
      <c r="V53" s="10"/>
      <c r="W53" s="10"/>
      <c r="X53" s="21"/>
      <c r="Y53" s="10"/>
      <c r="Z53" s="10"/>
      <c r="AA53" s="10"/>
      <c r="AB53" s="178" t="str">
        <f ca="1">IF(DataColumns[[#This Row],[ColumnType]]="ResultValue",IF(MAX(INDIRECT(CONCATENATE("R",ROW(DataColumns[#Headers]),"C",COLUMN(),":R",ROW()-1,"C",COLUMN()),FALSE))=0,1,MAX(INDIRECT(CONCATENATE("R",ROW(DataColumns[#Headers]),"C",COLUMN(),":R",ROW()-1,"C",COLUMN()),FALSE))+1),"")</f>
        <v/>
      </c>
      <c r="AC53" s="126" t="str">
        <f>IF(DataColumns[[#This Row],[ColumnType]]="ResultValue",CONCATENATE(DataColumns[[#This Row],[ColumnType]],DataColumns[[#This Row],[ColumnLabel]]),CONCATENATE(DataColumns[[#This Row],[ColumnType]],DataColumns[[#This Row],[AppliesToColumn]]))</f>
        <v/>
      </c>
    </row>
    <row r="54" spans="1:29" x14ac:dyDescent="0.25">
      <c r="A54" s="47" t="str">
        <f ca="1">IF(COUNTA(DataColumns[[#This Row],[ColumnLabel]:[QualityCodeCV]])&gt;0,IF(MAX(INDIRECT(CONCATENATE("R",ROW(DataColumns[#Headers]),"C",COLUMN(),":R",ROW()-1,"C",COLUMN()),FALSE))=0,1,MAX(INDIRECT(CONCATENATE("R",ROW(DataColumns[#Headers]),"C",COLUMN(),":R",ROW()-1,"C",COLUMN()),FALSE))+1),"")</f>
        <v/>
      </c>
      <c r="B54" s="105"/>
      <c r="C54" s="10"/>
      <c r="D54" s="156"/>
      <c r="E54" s="161"/>
      <c r="F54" s="139"/>
      <c r="G54" s="9"/>
      <c r="H54" s="10"/>
      <c r="I54" s="10"/>
      <c r="J54" s="10"/>
      <c r="K54" s="34"/>
      <c r="L54" s="10"/>
      <c r="M54" s="133"/>
      <c r="N54" s="105"/>
      <c r="O54" s="9"/>
      <c r="P54" s="10"/>
      <c r="Q54" s="10"/>
      <c r="R54" s="21"/>
      <c r="S54" s="21"/>
      <c r="T54" s="10"/>
      <c r="U54" s="10"/>
      <c r="V54" s="10"/>
      <c r="W54" s="10"/>
      <c r="X54" s="21"/>
      <c r="Y54" s="10"/>
      <c r="Z54" s="10"/>
      <c r="AA54" s="10"/>
      <c r="AB54" s="178" t="str">
        <f ca="1">IF(DataColumns[[#This Row],[ColumnType]]="ResultValue",IF(MAX(INDIRECT(CONCATENATE("R",ROW(DataColumns[#Headers]),"C",COLUMN(),":R",ROW()-1,"C",COLUMN()),FALSE))=0,1,MAX(INDIRECT(CONCATENATE("R",ROW(DataColumns[#Headers]),"C",COLUMN(),":R",ROW()-1,"C",COLUMN()),FALSE))+1),"")</f>
        <v/>
      </c>
      <c r="AC54" s="126" t="str">
        <f>IF(DataColumns[[#This Row],[ColumnType]]="ResultValue",CONCATENATE(DataColumns[[#This Row],[ColumnType]],DataColumns[[#This Row],[ColumnLabel]]),CONCATENATE(DataColumns[[#This Row],[ColumnType]],DataColumns[[#This Row],[AppliesToColumn]]))</f>
        <v/>
      </c>
    </row>
    <row r="55" spans="1:29" x14ac:dyDescent="0.25">
      <c r="A55" s="47" t="str">
        <f ca="1">IF(COUNTA(DataColumns[[#This Row],[ColumnLabel]:[QualityCodeCV]])&gt;0,IF(MAX(INDIRECT(CONCATENATE("R",ROW(DataColumns[#Headers]),"C",COLUMN(),":R",ROW()-1,"C",COLUMN()),FALSE))=0,1,MAX(INDIRECT(CONCATENATE("R",ROW(DataColumns[#Headers]),"C",COLUMN(),":R",ROW()-1,"C",COLUMN()),FALSE))+1),"")</f>
        <v/>
      </c>
      <c r="B55" s="105"/>
      <c r="C55" s="10"/>
      <c r="D55" s="156"/>
      <c r="E55" s="161"/>
      <c r="F55" s="139"/>
      <c r="G55" s="9"/>
      <c r="H55" s="10"/>
      <c r="I55" s="10"/>
      <c r="J55" s="10"/>
      <c r="K55" s="34"/>
      <c r="L55" s="10"/>
      <c r="M55" s="133"/>
      <c r="N55" s="105"/>
      <c r="O55" s="9"/>
      <c r="P55" s="10"/>
      <c r="Q55" s="10"/>
      <c r="R55" s="21"/>
      <c r="S55" s="21"/>
      <c r="T55" s="10"/>
      <c r="U55" s="10"/>
      <c r="V55" s="10"/>
      <c r="W55" s="10"/>
      <c r="X55" s="21"/>
      <c r="Y55" s="10"/>
      <c r="Z55" s="10"/>
      <c r="AA55" s="10"/>
      <c r="AB55" s="178" t="str">
        <f ca="1">IF(DataColumns[[#This Row],[ColumnType]]="ResultValue",IF(MAX(INDIRECT(CONCATENATE("R",ROW(DataColumns[#Headers]),"C",COLUMN(),":R",ROW()-1,"C",COLUMN()),FALSE))=0,1,MAX(INDIRECT(CONCATENATE("R",ROW(DataColumns[#Headers]),"C",COLUMN(),":R",ROW()-1,"C",COLUMN()),FALSE))+1),"")</f>
        <v/>
      </c>
      <c r="AC55" s="126" t="str">
        <f>IF(DataColumns[[#This Row],[ColumnType]]="ResultValue",CONCATENATE(DataColumns[[#This Row],[ColumnType]],DataColumns[[#This Row],[ColumnLabel]]),CONCATENATE(DataColumns[[#This Row],[ColumnType]],DataColumns[[#This Row],[AppliesToColumn]]))</f>
        <v/>
      </c>
    </row>
    <row r="56" spans="1:29" x14ac:dyDescent="0.25">
      <c r="A56" s="47" t="str">
        <f ca="1">IF(COUNTA(DataColumns[[#This Row],[ColumnLabel]:[QualityCodeCV]])&gt;0,IF(MAX(INDIRECT(CONCATENATE("R",ROW(DataColumns[#Headers]),"C",COLUMN(),":R",ROW()-1,"C",COLUMN()),FALSE))=0,1,MAX(INDIRECT(CONCATENATE("R",ROW(DataColumns[#Headers]),"C",COLUMN(),":R",ROW()-1,"C",COLUMN()),FALSE))+1),"")</f>
        <v/>
      </c>
      <c r="B56" s="105"/>
      <c r="C56" s="10"/>
      <c r="D56" s="156"/>
      <c r="E56" s="161"/>
      <c r="F56" s="139"/>
      <c r="G56" s="9"/>
      <c r="H56" s="10"/>
      <c r="I56" s="10"/>
      <c r="J56" s="10"/>
      <c r="K56" s="34"/>
      <c r="L56" s="10"/>
      <c r="M56" s="133"/>
      <c r="N56" s="105"/>
      <c r="O56" s="9"/>
      <c r="P56" s="10"/>
      <c r="Q56" s="10"/>
      <c r="R56" s="21"/>
      <c r="S56" s="21"/>
      <c r="T56" s="10"/>
      <c r="U56" s="10"/>
      <c r="V56" s="10"/>
      <c r="W56" s="10"/>
      <c r="X56" s="21"/>
      <c r="Y56" s="10"/>
      <c r="Z56" s="10"/>
      <c r="AA56" s="10"/>
      <c r="AB56" s="178" t="str">
        <f ca="1">IF(DataColumns[[#This Row],[ColumnType]]="ResultValue",IF(MAX(INDIRECT(CONCATENATE("R",ROW(DataColumns[#Headers]),"C",COLUMN(),":R",ROW()-1,"C",COLUMN()),FALSE))=0,1,MAX(INDIRECT(CONCATENATE("R",ROW(DataColumns[#Headers]),"C",COLUMN(),":R",ROW()-1,"C",COLUMN()),FALSE))+1),"")</f>
        <v/>
      </c>
      <c r="AC56" s="126" t="str">
        <f>IF(DataColumns[[#This Row],[ColumnType]]="ResultValue",CONCATENATE(DataColumns[[#This Row],[ColumnType]],DataColumns[[#This Row],[ColumnLabel]]),CONCATENATE(DataColumns[[#This Row],[ColumnType]],DataColumns[[#This Row],[AppliesToColumn]]))</f>
        <v/>
      </c>
    </row>
    <row r="57" spans="1:29" x14ac:dyDescent="0.25">
      <c r="A57" s="47" t="str">
        <f ca="1">IF(COUNTA(DataColumns[[#This Row],[ColumnLabel]:[QualityCodeCV]])&gt;0,IF(MAX(INDIRECT(CONCATENATE("R",ROW(DataColumns[#Headers]),"C",COLUMN(),":R",ROW()-1,"C",COLUMN()),FALSE))=0,1,MAX(INDIRECT(CONCATENATE("R",ROW(DataColumns[#Headers]),"C",COLUMN(),":R",ROW()-1,"C",COLUMN()),FALSE))+1),"")</f>
        <v/>
      </c>
      <c r="B57" s="105"/>
      <c r="C57" s="10"/>
      <c r="D57" s="156"/>
      <c r="E57" s="161"/>
      <c r="F57" s="139"/>
      <c r="G57" s="9"/>
      <c r="H57" s="10"/>
      <c r="I57" s="10"/>
      <c r="J57" s="10"/>
      <c r="K57" s="34"/>
      <c r="L57" s="10"/>
      <c r="M57" s="133"/>
      <c r="N57" s="105"/>
      <c r="O57" s="9"/>
      <c r="P57" s="10"/>
      <c r="Q57" s="10"/>
      <c r="R57" s="21"/>
      <c r="S57" s="21"/>
      <c r="T57" s="10"/>
      <c r="U57" s="10"/>
      <c r="V57" s="10"/>
      <c r="W57" s="10"/>
      <c r="X57" s="21"/>
      <c r="Y57" s="10"/>
      <c r="Z57" s="10"/>
      <c r="AA57" s="10"/>
      <c r="AB57" s="178" t="str">
        <f ca="1">IF(DataColumns[[#This Row],[ColumnType]]="ResultValue",IF(MAX(INDIRECT(CONCATENATE("R",ROW(DataColumns[#Headers]),"C",COLUMN(),":R",ROW()-1,"C",COLUMN()),FALSE))=0,1,MAX(INDIRECT(CONCATENATE("R",ROW(DataColumns[#Headers]),"C",COLUMN(),":R",ROW()-1,"C",COLUMN()),FALSE))+1),"")</f>
        <v/>
      </c>
      <c r="AC57" s="126" t="str">
        <f>IF(DataColumns[[#This Row],[ColumnType]]="ResultValue",CONCATENATE(DataColumns[[#This Row],[ColumnType]],DataColumns[[#This Row],[ColumnLabel]]),CONCATENATE(DataColumns[[#This Row],[ColumnType]],DataColumns[[#This Row],[AppliesToColumn]]))</f>
        <v/>
      </c>
    </row>
    <row r="58" spans="1:29" x14ac:dyDescent="0.25">
      <c r="A58" s="47" t="str">
        <f ca="1">IF(COUNTA(DataColumns[[#This Row],[ColumnLabel]:[QualityCodeCV]])&gt;0,IF(MAX(INDIRECT(CONCATENATE("R",ROW(DataColumns[#Headers]),"C",COLUMN(),":R",ROW()-1,"C",COLUMN()),FALSE))=0,1,MAX(INDIRECT(CONCATENATE("R",ROW(DataColumns[#Headers]),"C",COLUMN(),":R",ROW()-1,"C",COLUMN()),FALSE))+1),"")</f>
        <v/>
      </c>
      <c r="B58" s="105"/>
      <c r="C58" s="10"/>
      <c r="D58" s="156"/>
      <c r="E58" s="161"/>
      <c r="F58" s="139"/>
      <c r="G58" s="9"/>
      <c r="H58" s="10"/>
      <c r="I58" s="10"/>
      <c r="J58" s="10"/>
      <c r="K58" s="34"/>
      <c r="L58" s="10"/>
      <c r="M58" s="133"/>
      <c r="N58" s="105"/>
      <c r="O58" s="9"/>
      <c r="P58" s="10"/>
      <c r="Q58" s="10"/>
      <c r="R58" s="21"/>
      <c r="S58" s="21"/>
      <c r="T58" s="10"/>
      <c r="U58" s="10"/>
      <c r="V58" s="10"/>
      <c r="W58" s="10"/>
      <c r="X58" s="21"/>
      <c r="Y58" s="10"/>
      <c r="Z58" s="10"/>
      <c r="AA58" s="10"/>
      <c r="AB58" s="178" t="str">
        <f ca="1">IF(DataColumns[[#This Row],[ColumnType]]="ResultValue",IF(MAX(INDIRECT(CONCATENATE("R",ROW(DataColumns[#Headers]),"C",COLUMN(),":R",ROW()-1,"C",COLUMN()),FALSE))=0,1,MAX(INDIRECT(CONCATENATE("R",ROW(DataColumns[#Headers]),"C",COLUMN(),":R",ROW()-1,"C",COLUMN()),FALSE))+1),"")</f>
        <v/>
      </c>
      <c r="AC58" s="126" t="str">
        <f>IF(DataColumns[[#This Row],[ColumnType]]="ResultValue",CONCATENATE(DataColumns[[#This Row],[ColumnType]],DataColumns[[#This Row],[ColumnLabel]]),CONCATENATE(DataColumns[[#This Row],[ColumnType]],DataColumns[[#This Row],[AppliesToColumn]]))</f>
        <v/>
      </c>
    </row>
    <row r="59" spans="1:29" x14ac:dyDescent="0.25">
      <c r="A59" s="47" t="str">
        <f ca="1">IF(COUNTA(DataColumns[[#This Row],[ColumnLabel]:[QualityCodeCV]])&gt;0,IF(MAX(INDIRECT(CONCATENATE("R",ROW(DataColumns[#Headers]),"C",COLUMN(),":R",ROW()-1,"C",COLUMN()),FALSE))=0,1,MAX(INDIRECT(CONCATENATE("R",ROW(DataColumns[#Headers]),"C",COLUMN(),":R",ROW()-1,"C",COLUMN()),FALSE))+1),"")</f>
        <v/>
      </c>
      <c r="B59" s="105"/>
      <c r="C59" s="10"/>
      <c r="D59" s="156"/>
      <c r="E59" s="161"/>
      <c r="F59" s="139"/>
      <c r="G59" s="9"/>
      <c r="H59" s="10"/>
      <c r="I59" s="10"/>
      <c r="J59" s="10"/>
      <c r="K59" s="34"/>
      <c r="L59" s="10"/>
      <c r="M59" s="133"/>
      <c r="N59" s="105"/>
      <c r="O59" s="9"/>
      <c r="P59" s="10"/>
      <c r="Q59" s="10"/>
      <c r="R59" s="21"/>
      <c r="S59" s="21"/>
      <c r="T59" s="10"/>
      <c r="U59" s="10"/>
      <c r="V59" s="10"/>
      <c r="W59" s="10"/>
      <c r="X59" s="21"/>
      <c r="Y59" s="10"/>
      <c r="Z59" s="10"/>
      <c r="AA59" s="10"/>
      <c r="AB59" s="178" t="str">
        <f ca="1">IF(DataColumns[[#This Row],[ColumnType]]="ResultValue",IF(MAX(INDIRECT(CONCATENATE("R",ROW(DataColumns[#Headers]),"C",COLUMN(),":R",ROW()-1,"C",COLUMN()),FALSE))=0,1,MAX(INDIRECT(CONCATENATE("R",ROW(DataColumns[#Headers]),"C",COLUMN(),":R",ROW()-1,"C",COLUMN()),FALSE))+1),"")</f>
        <v/>
      </c>
      <c r="AC59" s="126" t="str">
        <f>IF(DataColumns[[#This Row],[ColumnType]]="ResultValue",CONCATENATE(DataColumns[[#This Row],[ColumnType]],DataColumns[[#This Row],[ColumnLabel]]),CONCATENATE(DataColumns[[#This Row],[ColumnType]],DataColumns[[#This Row],[AppliesToColumn]]))</f>
        <v/>
      </c>
    </row>
    <row r="60" spans="1:29" x14ac:dyDescent="0.25">
      <c r="A60" s="47" t="str">
        <f ca="1">IF(COUNTA(DataColumns[[#This Row],[ColumnLabel]:[QualityCodeCV]])&gt;0,IF(MAX(INDIRECT(CONCATENATE("R",ROW(DataColumns[#Headers]),"C",COLUMN(),":R",ROW()-1,"C",COLUMN()),FALSE))=0,1,MAX(INDIRECT(CONCATENATE("R",ROW(DataColumns[#Headers]),"C",COLUMN(),":R",ROW()-1,"C",COLUMN()),FALSE))+1),"")</f>
        <v/>
      </c>
      <c r="B60" s="105"/>
      <c r="C60" s="10"/>
      <c r="D60" s="156"/>
      <c r="E60" s="161"/>
      <c r="F60" s="139"/>
      <c r="G60" s="9"/>
      <c r="H60" s="10"/>
      <c r="I60" s="10"/>
      <c r="J60" s="10"/>
      <c r="K60" s="34"/>
      <c r="L60" s="10"/>
      <c r="M60" s="133"/>
      <c r="N60" s="105"/>
      <c r="O60" s="9"/>
      <c r="P60" s="10"/>
      <c r="Q60" s="10"/>
      <c r="R60" s="21"/>
      <c r="S60" s="21"/>
      <c r="T60" s="10"/>
      <c r="U60" s="10"/>
      <c r="V60" s="10"/>
      <c r="W60" s="10"/>
      <c r="X60" s="21"/>
      <c r="Y60" s="10"/>
      <c r="Z60" s="10"/>
      <c r="AA60" s="10"/>
      <c r="AB60" s="178" t="str">
        <f ca="1">IF(DataColumns[[#This Row],[ColumnType]]="ResultValue",IF(MAX(INDIRECT(CONCATENATE("R",ROW(DataColumns[#Headers]),"C",COLUMN(),":R",ROW()-1,"C",COLUMN()),FALSE))=0,1,MAX(INDIRECT(CONCATENATE("R",ROW(DataColumns[#Headers]),"C",COLUMN(),":R",ROW()-1,"C",COLUMN()),FALSE))+1),"")</f>
        <v/>
      </c>
      <c r="AC60" s="126" t="str">
        <f>IF(DataColumns[[#This Row],[ColumnType]]="ResultValue",CONCATENATE(DataColumns[[#This Row],[ColumnType]],DataColumns[[#This Row],[ColumnLabel]]),CONCATENATE(DataColumns[[#This Row],[ColumnType]],DataColumns[[#This Row],[AppliesToColumn]]))</f>
        <v/>
      </c>
    </row>
    <row r="61" spans="1:29" x14ac:dyDescent="0.25">
      <c r="A61" s="47" t="str">
        <f ca="1">IF(COUNTA(DataColumns[[#This Row],[ColumnLabel]:[QualityCodeCV]])&gt;0,IF(MAX(INDIRECT(CONCATENATE("R",ROW(DataColumns[#Headers]),"C",COLUMN(),":R",ROW()-1,"C",COLUMN()),FALSE))=0,1,MAX(INDIRECT(CONCATENATE("R",ROW(DataColumns[#Headers]),"C",COLUMN(),":R",ROW()-1,"C",COLUMN()),FALSE))+1),"")</f>
        <v/>
      </c>
      <c r="B61" s="105"/>
      <c r="C61" s="10"/>
      <c r="D61" s="156"/>
      <c r="E61" s="161"/>
      <c r="F61" s="139"/>
      <c r="G61" s="9"/>
      <c r="H61" s="10"/>
      <c r="I61" s="10"/>
      <c r="J61" s="10"/>
      <c r="K61" s="34"/>
      <c r="L61" s="10"/>
      <c r="M61" s="133"/>
      <c r="N61" s="105"/>
      <c r="O61" s="9"/>
      <c r="P61" s="10"/>
      <c r="Q61" s="10"/>
      <c r="R61" s="21"/>
      <c r="S61" s="21"/>
      <c r="T61" s="10"/>
      <c r="U61" s="10"/>
      <c r="V61" s="10"/>
      <c r="W61" s="10"/>
      <c r="X61" s="21"/>
      <c r="Y61" s="10"/>
      <c r="Z61" s="10"/>
      <c r="AA61" s="10"/>
      <c r="AB61" s="178" t="str">
        <f ca="1">IF(DataColumns[[#This Row],[ColumnType]]="ResultValue",IF(MAX(INDIRECT(CONCATENATE("R",ROW(DataColumns[#Headers]),"C",COLUMN(),":R",ROW()-1,"C",COLUMN()),FALSE))=0,1,MAX(INDIRECT(CONCATENATE("R",ROW(DataColumns[#Headers]),"C",COLUMN(),":R",ROW()-1,"C",COLUMN()),FALSE))+1),"")</f>
        <v/>
      </c>
      <c r="AC61" s="126" t="str">
        <f>IF(DataColumns[[#This Row],[ColumnType]]="ResultValue",CONCATENATE(DataColumns[[#This Row],[ColumnType]],DataColumns[[#This Row],[ColumnLabel]]),CONCATENATE(DataColumns[[#This Row],[ColumnType]],DataColumns[[#This Row],[AppliesToColumn]]))</f>
        <v/>
      </c>
    </row>
    <row r="62" spans="1:29" x14ac:dyDescent="0.25">
      <c r="A62" s="47" t="str">
        <f ca="1">IF(COUNTA(DataColumns[[#This Row],[ColumnLabel]:[QualityCodeCV]])&gt;0,IF(MAX(INDIRECT(CONCATENATE("R",ROW(DataColumns[#Headers]),"C",COLUMN(),":R",ROW()-1,"C",COLUMN()),FALSE))=0,1,MAX(INDIRECT(CONCATENATE("R",ROW(DataColumns[#Headers]),"C",COLUMN(),":R",ROW()-1,"C",COLUMN()),FALSE))+1),"")</f>
        <v/>
      </c>
      <c r="B62" s="105"/>
      <c r="C62" s="10"/>
      <c r="D62" s="156"/>
      <c r="E62" s="161"/>
      <c r="F62" s="139"/>
      <c r="G62" s="9"/>
      <c r="H62" s="10"/>
      <c r="I62" s="10"/>
      <c r="J62" s="10"/>
      <c r="K62" s="34"/>
      <c r="L62" s="10"/>
      <c r="M62" s="133"/>
      <c r="N62" s="105"/>
      <c r="O62" s="9"/>
      <c r="P62" s="10"/>
      <c r="Q62" s="10"/>
      <c r="R62" s="21"/>
      <c r="S62" s="21"/>
      <c r="T62" s="10"/>
      <c r="U62" s="10"/>
      <c r="V62" s="10"/>
      <c r="W62" s="10"/>
      <c r="X62" s="21"/>
      <c r="Y62" s="10"/>
      <c r="Z62" s="10"/>
      <c r="AA62" s="10"/>
      <c r="AB62" s="178" t="str">
        <f ca="1">IF(DataColumns[[#This Row],[ColumnType]]="ResultValue",IF(MAX(INDIRECT(CONCATENATE("R",ROW(DataColumns[#Headers]),"C",COLUMN(),":R",ROW()-1,"C",COLUMN()),FALSE))=0,1,MAX(INDIRECT(CONCATENATE("R",ROW(DataColumns[#Headers]),"C",COLUMN(),":R",ROW()-1,"C",COLUMN()),FALSE))+1),"")</f>
        <v/>
      </c>
      <c r="AC62" s="126" t="str">
        <f>IF(DataColumns[[#This Row],[ColumnType]]="ResultValue",CONCATENATE(DataColumns[[#This Row],[ColumnType]],DataColumns[[#This Row],[ColumnLabel]]),CONCATENATE(DataColumns[[#This Row],[ColumnType]],DataColumns[[#This Row],[AppliesToColumn]]))</f>
        <v/>
      </c>
    </row>
    <row r="63" spans="1:29" x14ac:dyDescent="0.25">
      <c r="A63" s="47" t="str">
        <f ca="1">IF(COUNTA(DataColumns[[#This Row],[ColumnLabel]:[QualityCodeCV]])&gt;0,IF(MAX(INDIRECT(CONCATENATE("R",ROW(DataColumns[#Headers]),"C",COLUMN(),":R",ROW()-1,"C",COLUMN()),FALSE))=0,1,MAX(INDIRECT(CONCATENATE("R",ROW(DataColumns[#Headers]),"C",COLUMN(),":R",ROW()-1,"C",COLUMN()),FALSE))+1),"")</f>
        <v/>
      </c>
      <c r="B63" s="105"/>
      <c r="C63" s="10"/>
      <c r="D63" s="156"/>
      <c r="E63" s="161"/>
      <c r="F63" s="139"/>
      <c r="G63" s="9"/>
      <c r="H63" s="10"/>
      <c r="I63" s="10"/>
      <c r="J63" s="10"/>
      <c r="K63" s="34"/>
      <c r="L63" s="10"/>
      <c r="M63" s="133"/>
      <c r="N63" s="105"/>
      <c r="O63" s="9"/>
      <c r="P63" s="10"/>
      <c r="Q63" s="10"/>
      <c r="R63" s="21"/>
      <c r="S63" s="21"/>
      <c r="T63" s="10"/>
      <c r="U63" s="10"/>
      <c r="V63" s="10"/>
      <c r="W63" s="10"/>
      <c r="X63" s="21"/>
      <c r="Y63" s="10"/>
      <c r="Z63" s="10"/>
      <c r="AA63" s="10"/>
      <c r="AB63" s="178" t="str">
        <f ca="1">IF(DataColumns[[#This Row],[ColumnType]]="ResultValue",IF(MAX(INDIRECT(CONCATENATE("R",ROW(DataColumns[#Headers]),"C",COLUMN(),":R",ROW()-1,"C",COLUMN()),FALSE))=0,1,MAX(INDIRECT(CONCATENATE("R",ROW(DataColumns[#Headers]),"C",COLUMN(),":R",ROW()-1,"C",COLUMN()),FALSE))+1),"")</f>
        <v/>
      </c>
      <c r="AC63" s="126" t="str">
        <f>IF(DataColumns[[#This Row],[ColumnType]]="ResultValue",CONCATENATE(DataColumns[[#This Row],[ColumnType]],DataColumns[[#This Row],[ColumnLabel]]),CONCATENATE(DataColumns[[#This Row],[ColumnType]],DataColumns[[#This Row],[AppliesToColumn]]))</f>
        <v/>
      </c>
    </row>
    <row r="64" spans="1:29" x14ac:dyDescent="0.25">
      <c r="A64" s="47" t="str">
        <f ca="1">IF(COUNTA(DataColumns[[#This Row],[ColumnLabel]:[QualityCodeCV]])&gt;0,IF(MAX(INDIRECT(CONCATENATE("R",ROW(DataColumns[#Headers]),"C",COLUMN(),":R",ROW()-1,"C",COLUMN()),FALSE))=0,1,MAX(INDIRECT(CONCATENATE("R",ROW(DataColumns[#Headers]),"C",COLUMN(),":R",ROW()-1,"C",COLUMN()),FALSE))+1),"")</f>
        <v/>
      </c>
      <c r="B64" s="105"/>
      <c r="C64" s="10"/>
      <c r="D64" s="156"/>
      <c r="E64" s="161"/>
      <c r="F64" s="139"/>
      <c r="G64" s="9"/>
      <c r="H64" s="10"/>
      <c r="I64" s="10"/>
      <c r="J64" s="10"/>
      <c r="K64" s="34"/>
      <c r="L64" s="10"/>
      <c r="M64" s="133"/>
      <c r="N64" s="105"/>
      <c r="O64" s="9"/>
      <c r="P64" s="10"/>
      <c r="Q64" s="10"/>
      <c r="R64" s="21"/>
      <c r="S64" s="21"/>
      <c r="T64" s="10"/>
      <c r="U64" s="10"/>
      <c r="V64" s="10"/>
      <c r="W64" s="10"/>
      <c r="X64" s="21"/>
      <c r="Y64" s="10"/>
      <c r="Z64" s="10"/>
      <c r="AA64" s="10"/>
      <c r="AB64" s="178" t="str">
        <f ca="1">IF(DataColumns[[#This Row],[ColumnType]]="ResultValue",IF(MAX(INDIRECT(CONCATENATE("R",ROW(DataColumns[#Headers]),"C",COLUMN(),":R",ROW()-1,"C",COLUMN()),FALSE))=0,1,MAX(INDIRECT(CONCATENATE("R",ROW(DataColumns[#Headers]),"C",COLUMN(),":R",ROW()-1,"C",COLUMN()),FALSE))+1),"")</f>
        <v/>
      </c>
      <c r="AC64" s="126" t="str">
        <f>IF(DataColumns[[#This Row],[ColumnType]]="ResultValue",CONCATENATE(DataColumns[[#This Row],[ColumnType]],DataColumns[[#This Row],[ColumnLabel]]),CONCATENATE(DataColumns[[#This Row],[ColumnType]],DataColumns[[#This Row],[AppliesToColumn]]))</f>
        <v/>
      </c>
    </row>
    <row r="65" spans="1:29" x14ac:dyDescent="0.25">
      <c r="A65" s="47" t="str">
        <f ca="1">IF(COUNTA(DataColumns[[#This Row],[ColumnLabel]:[QualityCodeCV]])&gt;0,IF(MAX(INDIRECT(CONCATENATE("R",ROW(DataColumns[#Headers]),"C",COLUMN(),":R",ROW()-1,"C",COLUMN()),FALSE))=0,1,MAX(INDIRECT(CONCATENATE("R",ROW(DataColumns[#Headers]),"C",COLUMN(),":R",ROW()-1,"C",COLUMN()),FALSE))+1),"")</f>
        <v/>
      </c>
      <c r="B65" s="105"/>
      <c r="C65" s="10"/>
      <c r="D65" s="156"/>
      <c r="E65" s="161"/>
      <c r="F65" s="139"/>
      <c r="G65" s="9"/>
      <c r="H65" s="10"/>
      <c r="I65" s="10"/>
      <c r="J65" s="10"/>
      <c r="K65" s="34"/>
      <c r="L65" s="10"/>
      <c r="M65" s="133"/>
      <c r="N65" s="105"/>
      <c r="O65" s="9"/>
      <c r="P65" s="10"/>
      <c r="Q65" s="10"/>
      <c r="R65" s="21"/>
      <c r="S65" s="21"/>
      <c r="T65" s="10"/>
      <c r="U65" s="10"/>
      <c r="V65" s="10"/>
      <c r="W65" s="10"/>
      <c r="X65" s="21"/>
      <c r="Y65" s="10"/>
      <c r="Z65" s="10"/>
      <c r="AA65" s="10"/>
      <c r="AB65" s="178" t="str">
        <f ca="1">IF(DataColumns[[#This Row],[ColumnType]]="ResultValue",IF(MAX(INDIRECT(CONCATENATE("R",ROW(DataColumns[#Headers]),"C",COLUMN(),":R",ROW()-1,"C",COLUMN()),FALSE))=0,1,MAX(INDIRECT(CONCATENATE("R",ROW(DataColumns[#Headers]),"C",COLUMN(),":R",ROW()-1,"C",COLUMN()),FALSE))+1),"")</f>
        <v/>
      </c>
      <c r="AC65" s="126" t="str">
        <f>IF(DataColumns[[#This Row],[ColumnType]]="ResultValue",CONCATENATE(DataColumns[[#This Row],[ColumnType]],DataColumns[[#This Row],[ColumnLabel]]),CONCATENATE(DataColumns[[#This Row],[ColumnType]],DataColumns[[#This Row],[AppliesToColumn]]))</f>
        <v/>
      </c>
    </row>
    <row r="66" spans="1:29" x14ac:dyDescent="0.25">
      <c r="A66" s="47" t="str">
        <f ca="1">IF(COUNTA(DataColumns[[#This Row],[ColumnLabel]:[QualityCodeCV]])&gt;0,IF(MAX(INDIRECT(CONCATENATE("R",ROW(DataColumns[#Headers]),"C",COLUMN(),":R",ROW()-1,"C",COLUMN()),FALSE))=0,1,MAX(INDIRECT(CONCATENATE("R",ROW(DataColumns[#Headers]),"C",COLUMN(),":R",ROW()-1,"C",COLUMN()),FALSE))+1),"")</f>
        <v/>
      </c>
      <c r="B66" s="105"/>
      <c r="C66" s="10"/>
      <c r="D66" s="156"/>
      <c r="E66" s="161"/>
      <c r="F66" s="139"/>
      <c r="G66" s="9"/>
      <c r="H66" s="10"/>
      <c r="I66" s="10"/>
      <c r="J66" s="10"/>
      <c r="K66" s="34"/>
      <c r="L66" s="10"/>
      <c r="M66" s="133"/>
      <c r="N66" s="105"/>
      <c r="O66" s="9"/>
      <c r="P66" s="10"/>
      <c r="Q66" s="10"/>
      <c r="R66" s="21"/>
      <c r="S66" s="21"/>
      <c r="T66" s="10"/>
      <c r="U66" s="10"/>
      <c r="V66" s="10"/>
      <c r="W66" s="10"/>
      <c r="X66" s="21"/>
      <c r="Y66" s="10"/>
      <c r="Z66" s="10"/>
      <c r="AA66" s="10"/>
      <c r="AB66" s="178" t="str">
        <f ca="1">IF(DataColumns[[#This Row],[ColumnType]]="ResultValue",IF(MAX(INDIRECT(CONCATENATE("R",ROW(DataColumns[#Headers]),"C",COLUMN(),":R",ROW()-1,"C",COLUMN()),FALSE))=0,1,MAX(INDIRECT(CONCATENATE("R",ROW(DataColumns[#Headers]),"C",COLUMN(),":R",ROW()-1,"C",COLUMN()),FALSE))+1),"")</f>
        <v/>
      </c>
      <c r="AC66" s="126" t="str">
        <f>IF(DataColumns[[#This Row],[ColumnType]]="ResultValue",CONCATENATE(DataColumns[[#This Row],[ColumnType]],DataColumns[[#This Row],[ColumnLabel]]),CONCATENATE(DataColumns[[#This Row],[ColumnType]],DataColumns[[#This Row],[AppliesToColumn]]))</f>
        <v/>
      </c>
    </row>
    <row r="67" spans="1:29" x14ac:dyDescent="0.25">
      <c r="A67" s="47" t="str">
        <f ca="1">IF(COUNTA(DataColumns[[#This Row],[ColumnLabel]:[QualityCodeCV]])&gt;0,IF(MAX(INDIRECT(CONCATENATE("R",ROW(DataColumns[#Headers]),"C",COLUMN(),":R",ROW()-1,"C",COLUMN()),FALSE))=0,1,MAX(INDIRECT(CONCATENATE("R",ROW(DataColumns[#Headers]),"C",COLUMN(),":R",ROW()-1,"C",COLUMN()),FALSE))+1),"")</f>
        <v/>
      </c>
      <c r="B67" s="105"/>
      <c r="C67" s="10"/>
      <c r="D67" s="156"/>
      <c r="E67" s="161"/>
      <c r="F67" s="139"/>
      <c r="G67" s="9"/>
      <c r="H67" s="10"/>
      <c r="I67" s="10"/>
      <c r="J67" s="10"/>
      <c r="K67" s="34"/>
      <c r="L67" s="10"/>
      <c r="M67" s="133"/>
      <c r="N67" s="105"/>
      <c r="O67" s="9"/>
      <c r="P67" s="10"/>
      <c r="Q67" s="10"/>
      <c r="R67" s="21"/>
      <c r="S67" s="21"/>
      <c r="T67" s="10"/>
      <c r="U67" s="10"/>
      <c r="V67" s="10"/>
      <c r="W67" s="10"/>
      <c r="X67" s="21"/>
      <c r="Y67" s="10"/>
      <c r="Z67" s="10"/>
      <c r="AA67" s="10"/>
      <c r="AB67" s="178" t="str">
        <f ca="1">IF(DataColumns[[#This Row],[ColumnType]]="ResultValue",IF(MAX(INDIRECT(CONCATENATE("R",ROW(DataColumns[#Headers]),"C",COLUMN(),":R",ROW()-1,"C",COLUMN()),FALSE))=0,1,MAX(INDIRECT(CONCATENATE("R",ROW(DataColumns[#Headers]),"C",COLUMN(),":R",ROW()-1,"C",COLUMN()),FALSE))+1),"")</f>
        <v/>
      </c>
      <c r="AC67" s="126" t="str">
        <f>IF(DataColumns[[#This Row],[ColumnType]]="ResultValue",CONCATENATE(DataColumns[[#This Row],[ColumnType]],DataColumns[[#This Row],[ColumnLabel]]),CONCATENATE(DataColumns[[#This Row],[ColumnType]],DataColumns[[#This Row],[AppliesToColumn]]))</f>
        <v/>
      </c>
    </row>
    <row r="68" spans="1:29" x14ac:dyDescent="0.25">
      <c r="A68" s="47" t="str">
        <f ca="1">IF(COUNTA(DataColumns[[#This Row],[ColumnLabel]:[QualityCodeCV]])&gt;0,IF(MAX(INDIRECT(CONCATENATE("R",ROW(DataColumns[#Headers]),"C",COLUMN(),":R",ROW()-1,"C",COLUMN()),FALSE))=0,1,MAX(INDIRECT(CONCATENATE("R",ROW(DataColumns[#Headers]),"C",COLUMN(),":R",ROW()-1,"C",COLUMN()),FALSE))+1),"")</f>
        <v/>
      </c>
      <c r="B68" s="105"/>
      <c r="C68" s="10"/>
      <c r="D68" s="156"/>
      <c r="E68" s="161"/>
      <c r="F68" s="139"/>
      <c r="G68" s="9"/>
      <c r="H68" s="10"/>
      <c r="I68" s="10"/>
      <c r="J68" s="10"/>
      <c r="K68" s="34"/>
      <c r="L68" s="10"/>
      <c r="M68" s="133"/>
      <c r="N68" s="105"/>
      <c r="O68" s="9"/>
      <c r="P68" s="10"/>
      <c r="Q68" s="10"/>
      <c r="R68" s="21"/>
      <c r="S68" s="21"/>
      <c r="T68" s="10"/>
      <c r="U68" s="10"/>
      <c r="V68" s="10"/>
      <c r="W68" s="10"/>
      <c r="X68" s="21"/>
      <c r="Y68" s="10"/>
      <c r="Z68" s="10"/>
      <c r="AA68" s="10"/>
      <c r="AB68" s="178" t="str">
        <f ca="1">IF(DataColumns[[#This Row],[ColumnType]]="ResultValue",IF(MAX(INDIRECT(CONCATENATE("R",ROW(DataColumns[#Headers]),"C",COLUMN(),":R",ROW()-1,"C",COLUMN()),FALSE))=0,1,MAX(INDIRECT(CONCATENATE("R",ROW(DataColumns[#Headers]),"C",COLUMN(),":R",ROW()-1,"C",COLUMN()),FALSE))+1),"")</f>
        <v/>
      </c>
      <c r="AC68" s="126" t="str">
        <f>IF(DataColumns[[#This Row],[ColumnType]]="ResultValue",CONCATENATE(DataColumns[[#This Row],[ColumnType]],DataColumns[[#This Row],[ColumnLabel]]),CONCATENATE(DataColumns[[#This Row],[ColumnType]],DataColumns[[#This Row],[AppliesToColumn]]))</f>
        <v/>
      </c>
    </row>
    <row r="69" spans="1:29" x14ac:dyDescent="0.25">
      <c r="A69" s="47" t="str">
        <f ca="1">IF(COUNTA(DataColumns[[#This Row],[ColumnLabel]:[QualityCodeCV]])&gt;0,IF(MAX(INDIRECT(CONCATENATE("R",ROW(DataColumns[#Headers]),"C",COLUMN(),":R",ROW()-1,"C",COLUMN()),FALSE))=0,1,MAX(INDIRECT(CONCATENATE("R",ROW(DataColumns[#Headers]),"C",COLUMN(),":R",ROW()-1,"C",COLUMN()),FALSE))+1),"")</f>
        <v/>
      </c>
      <c r="B69" s="105"/>
      <c r="C69" s="10"/>
      <c r="D69" s="156"/>
      <c r="E69" s="161"/>
      <c r="F69" s="139"/>
      <c r="G69" s="9"/>
      <c r="H69" s="10"/>
      <c r="I69" s="10"/>
      <c r="J69" s="10"/>
      <c r="K69" s="34"/>
      <c r="L69" s="10"/>
      <c r="M69" s="133"/>
      <c r="N69" s="105"/>
      <c r="O69" s="9"/>
      <c r="P69" s="10"/>
      <c r="Q69" s="10"/>
      <c r="R69" s="21"/>
      <c r="S69" s="21"/>
      <c r="T69" s="10"/>
      <c r="U69" s="10"/>
      <c r="V69" s="10"/>
      <c r="W69" s="10"/>
      <c r="X69" s="21"/>
      <c r="Y69" s="10"/>
      <c r="Z69" s="10"/>
      <c r="AA69" s="10"/>
      <c r="AB69" s="178" t="str">
        <f ca="1">IF(DataColumns[[#This Row],[ColumnType]]="ResultValue",IF(MAX(INDIRECT(CONCATENATE("R",ROW(DataColumns[#Headers]),"C",COLUMN(),":R",ROW()-1,"C",COLUMN()),FALSE))=0,1,MAX(INDIRECT(CONCATENATE("R",ROW(DataColumns[#Headers]),"C",COLUMN(),":R",ROW()-1,"C",COLUMN()),FALSE))+1),"")</f>
        <v/>
      </c>
      <c r="AC69" s="126" t="str">
        <f>IF(DataColumns[[#This Row],[ColumnType]]="ResultValue",CONCATENATE(DataColumns[[#This Row],[ColumnType]],DataColumns[[#This Row],[ColumnLabel]]),CONCATENATE(DataColumns[[#This Row],[ColumnType]],DataColumns[[#This Row],[AppliesToColumn]]))</f>
        <v/>
      </c>
    </row>
    <row r="70" spans="1:29" x14ac:dyDescent="0.25">
      <c r="A70" s="47" t="str">
        <f ca="1">IF(COUNTA(DataColumns[[#This Row],[ColumnLabel]:[QualityCodeCV]])&gt;0,IF(MAX(INDIRECT(CONCATENATE("R",ROW(DataColumns[#Headers]),"C",COLUMN(),":R",ROW()-1,"C",COLUMN()),FALSE))=0,1,MAX(INDIRECT(CONCATENATE("R",ROW(DataColumns[#Headers]),"C",COLUMN(),":R",ROW()-1,"C",COLUMN()),FALSE))+1),"")</f>
        <v/>
      </c>
      <c r="B70" s="105"/>
      <c r="C70" s="10"/>
      <c r="D70" s="156"/>
      <c r="E70" s="161"/>
      <c r="F70" s="139"/>
      <c r="G70" s="9"/>
      <c r="H70" s="10"/>
      <c r="I70" s="10"/>
      <c r="J70" s="10"/>
      <c r="K70" s="34"/>
      <c r="L70" s="10"/>
      <c r="M70" s="133"/>
      <c r="N70" s="105"/>
      <c r="O70" s="9"/>
      <c r="P70" s="10"/>
      <c r="Q70" s="10"/>
      <c r="R70" s="21"/>
      <c r="S70" s="21"/>
      <c r="T70" s="10"/>
      <c r="U70" s="10"/>
      <c r="V70" s="10"/>
      <c r="W70" s="10"/>
      <c r="X70" s="21"/>
      <c r="Y70" s="10"/>
      <c r="Z70" s="10"/>
      <c r="AA70" s="10"/>
      <c r="AB70" s="178" t="str">
        <f ca="1">IF(DataColumns[[#This Row],[ColumnType]]="ResultValue",IF(MAX(INDIRECT(CONCATENATE("R",ROW(DataColumns[#Headers]),"C",COLUMN(),":R",ROW()-1,"C",COLUMN()),FALSE))=0,1,MAX(INDIRECT(CONCATENATE("R",ROW(DataColumns[#Headers]),"C",COLUMN(),":R",ROW()-1,"C",COLUMN()),FALSE))+1),"")</f>
        <v/>
      </c>
      <c r="AC70" s="126" t="str">
        <f>IF(DataColumns[[#This Row],[ColumnType]]="ResultValue",CONCATENATE(DataColumns[[#This Row],[ColumnType]],DataColumns[[#This Row],[ColumnLabel]]),CONCATENATE(DataColumns[[#This Row],[ColumnType]],DataColumns[[#This Row],[AppliesToColumn]]))</f>
        <v/>
      </c>
    </row>
    <row r="71" spans="1:29" x14ac:dyDescent="0.25">
      <c r="A71" s="47" t="str">
        <f ca="1">IF(COUNTA(DataColumns[[#This Row],[ColumnLabel]:[QualityCodeCV]])&gt;0,IF(MAX(INDIRECT(CONCATENATE("R",ROW(DataColumns[#Headers]),"C",COLUMN(),":R",ROW()-1,"C",COLUMN()),FALSE))=0,1,MAX(INDIRECT(CONCATENATE("R",ROW(DataColumns[#Headers]),"C",COLUMN(),":R",ROW()-1,"C",COLUMN()),FALSE))+1),"")</f>
        <v/>
      </c>
      <c r="B71" s="105"/>
      <c r="C71" s="10"/>
      <c r="D71" s="156"/>
      <c r="E71" s="161"/>
      <c r="F71" s="139"/>
      <c r="G71" s="9"/>
      <c r="H71" s="10"/>
      <c r="I71" s="10"/>
      <c r="J71" s="10"/>
      <c r="K71" s="34"/>
      <c r="L71" s="10"/>
      <c r="M71" s="133"/>
      <c r="N71" s="105"/>
      <c r="O71" s="9"/>
      <c r="P71" s="10"/>
      <c r="Q71" s="10"/>
      <c r="R71" s="21"/>
      <c r="S71" s="21"/>
      <c r="T71" s="10"/>
      <c r="U71" s="10"/>
      <c r="V71" s="10"/>
      <c r="W71" s="10"/>
      <c r="X71" s="21"/>
      <c r="Y71" s="10"/>
      <c r="Z71" s="10"/>
      <c r="AA71" s="10"/>
      <c r="AB71" s="178" t="str">
        <f ca="1">IF(DataColumns[[#This Row],[ColumnType]]="ResultValue",IF(MAX(INDIRECT(CONCATENATE("R",ROW(DataColumns[#Headers]),"C",COLUMN(),":R",ROW()-1,"C",COLUMN()),FALSE))=0,1,MAX(INDIRECT(CONCATENATE("R",ROW(DataColumns[#Headers]),"C",COLUMN(),":R",ROW()-1,"C",COLUMN()),FALSE))+1),"")</f>
        <v/>
      </c>
      <c r="AC71" s="126" t="str">
        <f>IF(DataColumns[[#This Row],[ColumnType]]="ResultValue",CONCATENATE(DataColumns[[#This Row],[ColumnType]],DataColumns[[#This Row],[ColumnLabel]]),CONCATENATE(DataColumns[[#This Row],[ColumnType]],DataColumns[[#This Row],[AppliesToColumn]]))</f>
        <v/>
      </c>
    </row>
    <row r="72" spans="1:29" x14ac:dyDescent="0.25">
      <c r="A72" s="47" t="str">
        <f ca="1">IF(COUNTA(DataColumns[[#This Row],[ColumnLabel]:[QualityCodeCV]])&gt;0,IF(MAX(INDIRECT(CONCATENATE("R",ROW(DataColumns[#Headers]),"C",COLUMN(),":R",ROW()-1,"C",COLUMN()),FALSE))=0,1,MAX(INDIRECT(CONCATENATE("R",ROW(DataColumns[#Headers]),"C",COLUMN(),":R",ROW()-1,"C",COLUMN()),FALSE))+1),"")</f>
        <v/>
      </c>
      <c r="B72" s="105"/>
      <c r="C72" s="10"/>
      <c r="D72" s="156"/>
      <c r="E72" s="161"/>
      <c r="F72" s="139"/>
      <c r="G72" s="9"/>
      <c r="H72" s="10"/>
      <c r="I72" s="10"/>
      <c r="J72" s="10"/>
      <c r="K72" s="34"/>
      <c r="L72" s="10"/>
      <c r="M72" s="133"/>
      <c r="N72" s="105"/>
      <c r="O72" s="9"/>
      <c r="P72" s="10"/>
      <c r="Q72" s="10"/>
      <c r="R72" s="21"/>
      <c r="S72" s="21"/>
      <c r="T72" s="10"/>
      <c r="U72" s="10"/>
      <c r="V72" s="10"/>
      <c r="W72" s="10"/>
      <c r="X72" s="21"/>
      <c r="Y72" s="10"/>
      <c r="Z72" s="10"/>
      <c r="AA72" s="10"/>
      <c r="AB72" s="178" t="str">
        <f ca="1">IF(DataColumns[[#This Row],[ColumnType]]="ResultValue",IF(MAX(INDIRECT(CONCATENATE("R",ROW(DataColumns[#Headers]),"C",COLUMN(),":R",ROW()-1,"C",COLUMN()),FALSE))=0,1,MAX(INDIRECT(CONCATENATE("R",ROW(DataColumns[#Headers]),"C",COLUMN(),":R",ROW()-1,"C",COLUMN()),FALSE))+1),"")</f>
        <v/>
      </c>
      <c r="AC72" s="126" t="str">
        <f>IF(DataColumns[[#This Row],[ColumnType]]="ResultValue",CONCATENATE(DataColumns[[#This Row],[ColumnType]],DataColumns[[#This Row],[ColumnLabel]]),CONCATENATE(DataColumns[[#This Row],[ColumnType]],DataColumns[[#This Row],[AppliesToColumn]]))</f>
        <v/>
      </c>
    </row>
    <row r="73" spans="1:29" x14ac:dyDescent="0.25">
      <c r="A73" s="47" t="str">
        <f ca="1">IF(COUNTA(DataColumns[[#This Row],[ColumnLabel]:[QualityCodeCV]])&gt;0,IF(MAX(INDIRECT(CONCATENATE("R",ROW(DataColumns[#Headers]),"C",COLUMN(),":R",ROW()-1,"C",COLUMN()),FALSE))=0,1,MAX(INDIRECT(CONCATENATE("R",ROW(DataColumns[#Headers]),"C",COLUMN(),":R",ROW()-1,"C",COLUMN()),FALSE))+1),"")</f>
        <v/>
      </c>
      <c r="B73" s="105"/>
      <c r="C73" s="10"/>
      <c r="D73" s="156"/>
      <c r="E73" s="161"/>
      <c r="F73" s="139"/>
      <c r="G73" s="9"/>
      <c r="H73" s="10"/>
      <c r="I73" s="10"/>
      <c r="J73" s="10"/>
      <c r="K73" s="34"/>
      <c r="L73" s="10"/>
      <c r="M73" s="133"/>
      <c r="N73" s="105"/>
      <c r="O73" s="9"/>
      <c r="P73" s="10"/>
      <c r="Q73" s="10"/>
      <c r="R73" s="21"/>
      <c r="S73" s="21"/>
      <c r="T73" s="10"/>
      <c r="U73" s="10"/>
      <c r="V73" s="10"/>
      <c r="W73" s="10"/>
      <c r="X73" s="21"/>
      <c r="Y73" s="10"/>
      <c r="Z73" s="10"/>
      <c r="AA73" s="10"/>
      <c r="AB73" s="178" t="str">
        <f ca="1">IF(DataColumns[[#This Row],[ColumnType]]="ResultValue",IF(MAX(INDIRECT(CONCATENATE("R",ROW(DataColumns[#Headers]),"C",COLUMN(),":R",ROW()-1,"C",COLUMN()),FALSE))=0,1,MAX(INDIRECT(CONCATENATE("R",ROW(DataColumns[#Headers]),"C",COLUMN(),":R",ROW()-1,"C",COLUMN()),FALSE))+1),"")</f>
        <v/>
      </c>
      <c r="AC73" s="126" t="str">
        <f>IF(DataColumns[[#This Row],[ColumnType]]="ResultValue",CONCATENATE(DataColumns[[#This Row],[ColumnType]],DataColumns[[#This Row],[ColumnLabel]]),CONCATENATE(DataColumns[[#This Row],[ColumnType]],DataColumns[[#This Row],[AppliesToColumn]]))</f>
        <v/>
      </c>
    </row>
    <row r="74" spans="1:29" x14ac:dyDescent="0.25">
      <c r="A74" s="47" t="str">
        <f ca="1">IF(COUNTA(DataColumns[[#This Row],[ColumnLabel]:[QualityCodeCV]])&gt;0,IF(MAX(INDIRECT(CONCATENATE("R",ROW(DataColumns[#Headers]),"C",COLUMN(),":R",ROW()-1,"C",COLUMN()),FALSE))=0,1,MAX(INDIRECT(CONCATENATE("R",ROW(DataColumns[#Headers]),"C",COLUMN(),":R",ROW()-1,"C",COLUMN()),FALSE))+1),"")</f>
        <v/>
      </c>
      <c r="B74" s="105"/>
      <c r="C74" s="10"/>
      <c r="D74" s="156"/>
      <c r="E74" s="161"/>
      <c r="F74" s="139"/>
      <c r="G74" s="9"/>
      <c r="H74" s="10"/>
      <c r="I74" s="10"/>
      <c r="J74" s="10"/>
      <c r="K74" s="34"/>
      <c r="L74" s="10"/>
      <c r="M74" s="133"/>
      <c r="N74" s="105"/>
      <c r="O74" s="9"/>
      <c r="P74" s="10"/>
      <c r="Q74" s="10"/>
      <c r="R74" s="21"/>
      <c r="S74" s="21"/>
      <c r="T74" s="10"/>
      <c r="U74" s="10"/>
      <c r="V74" s="10"/>
      <c r="W74" s="10"/>
      <c r="X74" s="21"/>
      <c r="Y74" s="10"/>
      <c r="Z74" s="10"/>
      <c r="AA74" s="10"/>
      <c r="AB74" s="178" t="str">
        <f ca="1">IF(DataColumns[[#This Row],[ColumnType]]="ResultValue",IF(MAX(INDIRECT(CONCATENATE("R",ROW(DataColumns[#Headers]),"C",COLUMN(),":R",ROW()-1,"C",COLUMN()),FALSE))=0,1,MAX(INDIRECT(CONCATENATE("R",ROW(DataColumns[#Headers]),"C",COLUMN(),":R",ROW()-1,"C",COLUMN()),FALSE))+1),"")</f>
        <v/>
      </c>
      <c r="AC74" s="126" t="str">
        <f>IF(DataColumns[[#This Row],[ColumnType]]="ResultValue",CONCATENATE(DataColumns[[#This Row],[ColumnType]],DataColumns[[#This Row],[ColumnLabel]]),CONCATENATE(DataColumns[[#This Row],[ColumnType]],DataColumns[[#This Row],[AppliesToColumn]]))</f>
        <v/>
      </c>
    </row>
    <row r="75" spans="1:29" x14ac:dyDescent="0.25">
      <c r="A75" s="47" t="str">
        <f ca="1">IF(COUNTA(DataColumns[[#This Row],[ColumnLabel]:[QualityCodeCV]])&gt;0,IF(MAX(INDIRECT(CONCATENATE("R",ROW(DataColumns[#Headers]),"C",COLUMN(),":R",ROW()-1,"C",COLUMN()),FALSE))=0,1,MAX(INDIRECT(CONCATENATE("R",ROW(DataColumns[#Headers]),"C",COLUMN(),":R",ROW()-1,"C",COLUMN()),FALSE))+1),"")</f>
        <v/>
      </c>
      <c r="B75" s="105"/>
      <c r="C75" s="10"/>
      <c r="D75" s="156"/>
      <c r="E75" s="161"/>
      <c r="F75" s="139"/>
      <c r="G75" s="9"/>
      <c r="H75" s="10"/>
      <c r="I75" s="10"/>
      <c r="J75" s="10"/>
      <c r="K75" s="34"/>
      <c r="L75" s="10"/>
      <c r="M75" s="133"/>
      <c r="N75" s="105"/>
      <c r="O75" s="9"/>
      <c r="P75" s="10"/>
      <c r="Q75" s="10"/>
      <c r="R75" s="21"/>
      <c r="S75" s="21"/>
      <c r="T75" s="10"/>
      <c r="U75" s="10"/>
      <c r="V75" s="10"/>
      <c r="W75" s="10"/>
      <c r="X75" s="21"/>
      <c r="Y75" s="10"/>
      <c r="Z75" s="10"/>
      <c r="AA75" s="10"/>
      <c r="AB75" s="178" t="str">
        <f ca="1">IF(DataColumns[[#This Row],[ColumnType]]="ResultValue",IF(MAX(INDIRECT(CONCATENATE("R",ROW(DataColumns[#Headers]),"C",COLUMN(),":R",ROW()-1,"C",COLUMN()),FALSE))=0,1,MAX(INDIRECT(CONCATENATE("R",ROW(DataColumns[#Headers]),"C",COLUMN(),":R",ROW()-1,"C",COLUMN()),FALSE))+1),"")</f>
        <v/>
      </c>
      <c r="AC75" s="126" t="str">
        <f>IF(DataColumns[[#This Row],[ColumnType]]="ResultValue",CONCATENATE(DataColumns[[#This Row],[ColumnType]],DataColumns[[#This Row],[ColumnLabel]]),CONCATENATE(DataColumns[[#This Row],[ColumnType]],DataColumns[[#This Row],[AppliesToColumn]]))</f>
        <v/>
      </c>
    </row>
    <row r="76" spans="1:29" x14ac:dyDescent="0.25">
      <c r="A76" s="47" t="str">
        <f ca="1">IF(COUNTA(DataColumns[[#This Row],[ColumnLabel]:[QualityCodeCV]])&gt;0,IF(MAX(INDIRECT(CONCATENATE("R",ROW(DataColumns[#Headers]),"C",COLUMN(),":R",ROW()-1,"C",COLUMN()),FALSE))=0,1,MAX(INDIRECT(CONCATENATE("R",ROW(DataColumns[#Headers]),"C",COLUMN(),":R",ROW()-1,"C",COLUMN()),FALSE))+1),"")</f>
        <v/>
      </c>
      <c r="B76" s="105"/>
      <c r="C76" s="10"/>
      <c r="D76" s="156"/>
      <c r="E76" s="161"/>
      <c r="F76" s="139"/>
      <c r="G76" s="9"/>
      <c r="H76" s="10"/>
      <c r="I76" s="10"/>
      <c r="J76" s="10"/>
      <c r="K76" s="34"/>
      <c r="L76" s="10"/>
      <c r="M76" s="133"/>
      <c r="N76" s="105"/>
      <c r="O76" s="9"/>
      <c r="P76" s="10"/>
      <c r="Q76" s="10"/>
      <c r="R76" s="21"/>
      <c r="S76" s="21"/>
      <c r="T76" s="10"/>
      <c r="U76" s="10"/>
      <c r="V76" s="10"/>
      <c r="W76" s="10"/>
      <c r="X76" s="21"/>
      <c r="Y76" s="10"/>
      <c r="Z76" s="10"/>
      <c r="AA76" s="10"/>
      <c r="AB76" s="178" t="str">
        <f ca="1">IF(DataColumns[[#This Row],[ColumnType]]="ResultValue",IF(MAX(INDIRECT(CONCATENATE("R",ROW(DataColumns[#Headers]),"C",COLUMN(),":R",ROW()-1,"C",COLUMN()),FALSE))=0,1,MAX(INDIRECT(CONCATENATE("R",ROW(DataColumns[#Headers]),"C",COLUMN(),":R",ROW()-1,"C",COLUMN()),FALSE))+1),"")</f>
        <v/>
      </c>
      <c r="AC76" s="126" t="str">
        <f>IF(DataColumns[[#This Row],[ColumnType]]="ResultValue",CONCATENATE(DataColumns[[#This Row],[ColumnType]],DataColumns[[#This Row],[ColumnLabel]]),CONCATENATE(DataColumns[[#This Row],[ColumnType]],DataColumns[[#This Row],[AppliesToColumn]]))</f>
        <v/>
      </c>
    </row>
    <row r="77" spans="1:29" x14ac:dyDescent="0.25">
      <c r="A77" s="47" t="str">
        <f ca="1">IF(COUNTA(DataColumns[[#This Row],[ColumnLabel]:[QualityCodeCV]])&gt;0,IF(MAX(INDIRECT(CONCATENATE("R",ROW(DataColumns[#Headers]),"C",COLUMN(),":R",ROW()-1,"C",COLUMN()),FALSE))=0,1,MAX(INDIRECT(CONCATENATE("R",ROW(DataColumns[#Headers]),"C",COLUMN(),":R",ROW()-1,"C",COLUMN()),FALSE))+1),"")</f>
        <v/>
      </c>
      <c r="B77" s="105"/>
      <c r="C77" s="10"/>
      <c r="D77" s="156"/>
      <c r="E77" s="161"/>
      <c r="F77" s="139"/>
      <c r="G77" s="9"/>
      <c r="H77" s="10"/>
      <c r="I77" s="10"/>
      <c r="J77" s="10"/>
      <c r="K77" s="34"/>
      <c r="L77" s="10"/>
      <c r="M77" s="133"/>
      <c r="N77" s="105"/>
      <c r="O77" s="9"/>
      <c r="P77" s="10"/>
      <c r="Q77" s="10"/>
      <c r="R77" s="21"/>
      <c r="S77" s="21"/>
      <c r="T77" s="10"/>
      <c r="U77" s="10"/>
      <c r="V77" s="10"/>
      <c r="W77" s="10"/>
      <c r="X77" s="21"/>
      <c r="Y77" s="10"/>
      <c r="Z77" s="10"/>
      <c r="AA77" s="10"/>
      <c r="AB77" s="178" t="str">
        <f ca="1">IF(DataColumns[[#This Row],[ColumnType]]="ResultValue",IF(MAX(INDIRECT(CONCATENATE("R",ROW(DataColumns[#Headers]),"C",COLUMN(),":R",ROW()-1,"C",COLUMN()),FALSE))=0,1,MAX(INDIRECT(CONCATENATE("R",ROW(DataColumns[#Headers]),"C",COLUMN(),":R",ROW()-1,"C",COLUMN()),FALSE))+1),"")</f>
        <v/>
      </c>
      <c r="AC77" s="126" t="str">
        <f>IF(DataColumns[[#This Row],[ColumnType]]="ResultValue",CONCATENATE(DataColumns[[#This Row],[ColumnType]],DataColumns[[#This Row],[ColumnLabel]]),CONCATENATE(DataColumns[[#This Row],[ColumnType]],DataColumns[[#This Row],[AppliesToColumn]]))</f>
        <v/>
      </c>
    </row>
    <row r="78" spans="1:29" x14ac:dyDescent="0.25">
      <c r="A78" s="47" t="str">
        <f ca="1">IF(COUNTA(DataColumns[[#This Row],[ColumnLabel]:[QualityCodeCV]])&gt;0,IF(MAX(INDIRECT(CONCATENATE("R",ROW(DataColumns[#Headers]),"C",COLUMN(),":R",ROW()-1,"C",COLUMN()),FALSE))=0,1,MAX(INDIRECT(CONCATENATE("R",ROW(DataColumns[#Headers]),"C",COLUMN(),":R",ROW()-1,"C",COLUMN()),FALSE))+1),"")</f>
        <v/>
      </c>
      <c r="B78" s="105"/>
      <c r="C78" s="10"/>
      <c r="D78" s="156"/>
      <c r="E78" s="161"/>
      <c r="F78" s="139"/>
      <c r="G78" s="9"/>
      <c r="H78" s="10"/>
      <c r="I78" s="10"/>
      <c r="J78" s="10"/>
      <c r="K78" s="34"/>
      <c r="L78" s="10"/>
      <c r="M78" s="133"/>
      <c r="N78" s="105"/>
      <c r="O78" s="9"/>
      <c r="P78" s="10"/>
      <c r="Q78" s="10"/>
      <c r="R78" s="21"/>
      <c r="S78" s="21"/>
      <c r="T78" s="10"/>
      <c r="U78" s="10"/>
      <c r="V78" s="10"/>
      <c r="W78" s="10"/>
      <c r="X78" s="21"/>
      <c r="Y78" s="10"/>
      <c r="Z78" s="10"/>
      <c r="AA78" s="10"/>
      <c r="AB78" s="178" t="str">
        <f ca="1">IF(DataColumns[[#This Row],[ColumnType]]="ResultValue",IF(MAX(INDIRECT(CONCATENATE("R",ROW(DataColumns[#Headers]),"C",COLUMN(),":R",ROW()-1,"C",COLUMN()),FALSE))=0,1,MAX(INDIRECT(CONCATENATE("R",ROW(DataColumns[#Headers]),"C",COLUMN(),":R",ROW()-1,"C",COLUMN()),FALSE))+1),"")</f>
        <v/>
      </c>
      <c r="AC78" s="126" t="str">
        <f>IF(DataColumns[[#This Row],[ColumnType]]="ResultValue",CONCATENATE(DataColumns[[#This Row],[ColumnType]],DataColumns[[#This Row],[ColumnLabel]]),CONCATENATE(DataColumns[[#This Row],[ColumnType]],DataColumns[[#This Row],[AppliesToColumn]]))</f>
        <v/>
      </c>
    </row>
    <row r="79" spans="1:29" x14ac:dyDescent="0.25">
      <c r="A79" s="47" t="str">
        <f ca="1">IF(COUNTA(DataColumns[[#This Row],[ColumnLabel]:[QualityCodeCV]])&gt;0,IF(MAX(INDIRECT(CONCATENATE("R",ROW(DataColumns[#Headers]),"C",COLUMN(),":R",ROW()-1,"C",COLUMN()),FALSE))=0,1,MAX(INDIRECT(CONCATENATE("R",ROW(DataColumns[#Headers]),"C",COLUMN(),":R",ROW()-1,"C",COLUMN()),FALSE))+1),"")</f>
        <v/>
      </c>
      <c r="B79" s="105"/>
      <c r="C79" s="10"/>
      <c r="D79" s="156"/>
      <c r="E79" s="161"/>
      <c r="F79" s="139"/>
      <c r="G79" s="9"/>
      <c r="H79" s="10"/>
      <c r="I79" s="10"/>
      <c r="J79" s="10"/>
      <c r="K79" s="34"/>
      <c r="L79" s="10"/>
      <c r="M79" s="133"/>
      <c r="N79" s="105"/>
      <c r="O79" s="9"/>
      <c r="P79" s="10"/>
      <c r="Q79" s="10"/>
      <c r="R79" s="21"/>
      <c r="S79" s="21"/>
      <c r="T79" s="10"/>
      <c r="U79" s="10"/>
      <c r="V79" s="10"/>
      <c r="W79" s="10"/>
      <c r="X79" s="21"/>
      <c r="Y79" s="10"/>
      <c r="Z79" s="10"/>
      <c r="AA79" s="10"/>
      <c r="AB79" s="178" t="str">
        <f ca="1">IF(DataColumns[[#This Row],[ColumnType]]="ResultValue",IF(MAX(INDIRECT(CONCATENATE("R",ROW(DataColumns[#Headers]),"C",COLUMN(),":R",ROW()-1,"C",COLUMN()),FALSE))=0,1,MAX(INDIRECT(CONCATENATE("R",ROW(DataColumns[#Headers]),"C",COLUMN(),":R",ROW()-1,"C",COLUMN()),FALSE))+1),"")</f>
        <v/>
      </c>
      <c r="AC79" s="126" t="str">
        <f>IF(DataColumns[[#This Row],[ColumnType]]="ResultValue",CONCATENATE(DataColumns[[#This Row],[ColumnType]],DataColumns[[#This Row],[ColumnLabel]]),CONCATENATE(DataColumns[[#This Row],[ColumnType]],DataColumns[[#This Row],[AppliesToColumn]]))</f>
        <v/>
      </c>
    </row>
    <row r="80" spans="1:29" x14ac:dyDescent="0.25">
      <c r="A80" s="47" t="str">
        <f ca="1">IF(COUNTA(DataColumns[[#This Row],[ColumnLabel]:[QualityCodeCV]])&gt;0,IF(MAX(INDIRECT(CONCATENATE("R",ROW(DataColumns[#Headers]),"C",COLUMN(),":R",ROW()-1,"C",COLUMN()),FALSE))=0,1,MAX(INDIRECT(CONCATENATE("R",ROW(DataColumns[#Headers]),"C",COLUMN(),":R",ROW()-1,"C",COLUMN()),FALSE))+1),"")</f>
        <v/>
      </c>
      <c r="B80" s="105"/>
      <c r="C80" s="10"/>
      <c r="D80" s="156"/>
      <c r="E80" s="161"/>
      <c r="F80" s="139"/>
      <c r="G80" s="9"/>
      <c r="H80" s="10"/>
      <c r="I80" s="10"/>
      <c r="J80" s="10"/>
      <c r="K80" s="34"/>
      <c r="L80" s="10"/>
      <c r="M80" s="133"/>
      <c r="N80" s="105"/>
      <c r="O80" s="9"/>
      <c r="P80" s="10"/>
      <c r="Q80" s="10"/>
      <c r="R80" s="21"/>
      <c r="S80" s="21"/>
      <c r="T80" s="10"/>
      <c r="U80" s="10"/>
      <c r="V80" s="10"/>
      <c r="W80" s="10"/>
      <c r="X80" s="21"/>
      <c r="Y80" s="10"/>
      <c r="Z80" s="10"/>
      <c r="AA80" s="10"/>
      <c r="AB80" s="178" t="str">
        <f ca="1">IF(DataColumns[[#This Row],[ColumnType]]="ResultValue",IF(MAX(INDIRECT(CONCATENATE("R",ROW(DataColumns[#Headers]),"C",COLUMN(),":R",ROW()-1,"C",COLUMN()),FALSE))=0,1,MAX(INDIRECT(CONCATENATE("R",ROW(DataColumns[#Headers]),"C",COLUMN(),":R",ROW()-1,"C",COLUMN()),FALSE))+1),"")</f>
        <v/>
      </c>
      <c r="AC80" s="126" t="str">
        <f>IF(DataColumns[[#This Row],[ColumnType]]="ResultValue",CONCATENATE(DataColumns[[#This Row],[ColumnType]],DataColumns[[#This Row],[ColumnLabel]]),CONCATENATE(DataColumns[[#This Row],[ColumnType]],DataColumns[[#This Row],[AppliesToColumn]]))</f>
        <v/>
      </c>
    </row>
    <row r="81" spans="1:29" x14ac:dyDescent="0.25">
      <c r="A81" s="47" t="str">
        <f ca="1">IF(COUNTA(DataColumns[[#This Row],[ColumnLabel]:[QualityCodeCV]])&gt;0,IF(MAX(INDIRECT(CONCATENATE("R",ROW(DataColumns[#Headers]),"C",COLUMN(),":R",ROW()-1,"C",COLUMN()),FALSE))=0,1,MAX(INDIRECT(CONCATENATE("R",ROW(DataColumns[#Headers]),"C",COLUMN(),":R",ROW()-1,"C",COLUMN()),FALSE))+1),"")</f>
        <v/>
      </c>
      <c r="B81" s="105"/>
      <c r="C81" s="10"/>
      <c r="D81" s="156"/>
      <c r="E81" s="161"/>
      <c r="F81" s="139"/>
      <c r="G81" s="9"/>
      <c r="H81" s="10"/>
      <c r="I81" s="10"/>
      <c r="J81" s="10"/>
      <c r="K81" s="34"/>
      <c r="L81" s="10"/>
      <c r="M81" s="133"/>
      <c r="N81" s="105"/>
      <c r="O81" s="9"/>
      <c r="P81" s="10"/>
      <c r="Q81" s="10"/>
      <c r="R81" s="21"/>
      <c r="S81" s="21"/>
      <c r="T81" s="10"/>
      <c r="U81" s="10"/>
      <c r="V81" s="10"/>
      <c r="W81" s="10"/>
      <c r="X81" s="21"/>
      <c r="Y81" s="10"/>
      <c r="Z81" s="10"/>
      <c r="AA81" s="10"/>
      <c r="AB81" s="178" t="str">
        <f ca="1">IF(DataColumns[[#This Row],[ColumnType]]="ResultValue",IF(MAX(INDIRECT(CONCATENATE("R",ROW(DataColumns[#Headers]),"C",COLUMN(),":R",ROW()-1,"C",COLUMN()),FALSE))=0,1,MAX(INDIRECT(CONCATENATE("R",ROW(DataColumns[#Headers]),"C",COLUMN(),":R",ROW()-1,"C",COLUMN()),FALSE))+1),"")</f>
        <v/>
      </c>
      <c r="AC81" s="126" t="str">
        <f>IF(DataColumns[[#This Row],[ColumnType]]="ResultValue",CONCATENATE(DataColumns[[#This Row],[ColumnType]],DataColumns[[#This Row],[ColumnLabel]]),CONCATENATE(DataColumns[[#This Row],[ColumnType]],DataColumns[[#This Row],[AppliesToColumn]]))</f>
        <v/>
      </c>
    </row>
    <row r="82" spans="1:29" x14ac:dyDescent="0.25">
      <c r="A82" s="47" t="str">
        <f ca="1">IF(COUNTA(DataColumns[[#This Row],[ColumnLabel]:[QualityCodeCV]])&gt;0,IF(MAX(INDIRECT(CONCATENATE("R",ROW(DataColumns[#Headers]),"C",COLUMN(),":R",ROW()-1,"C",COLUMN()),FALSE))=0,1,MAX(INDIRECT(CONCATENATE("R",ROW(DataColumns[#Headers]),"C",COLUMN(),":R",ROW()-1,"C",COLUMN()),FALSE))+1),"")</f>
        <v/>
      </c>
      <c r="B82" s="105"/>
      <c r="C82" s="10"/>
      <c r="D82" s="156"/>
      <c r="E82" s="161"/>
      <c r="F82" s="139"/>
      <c r="G82" s="9"/>
      <c r="H82" s="10"/>
      <c r="I82" s="10"/>
      <c r="J82" s="10"/>
      <c r="K82" s="34"/>
      <c r="L82" s="10"/>
      <c r="M82" s="133"/>
      <c r="N82" s="105"/>
      <c r="O82" s="9"/>
      <c r="P82" s="10"/>
      <c r="Q82" s="10"/>
      <c r="R82" s="21"/>
      <c r="S82" s="21"/>
      <c r="T82" s="10"/>
      <c r="U82" s="10"/>
      <c r="V82" s="10"/>
      <c r="W82" s="10"/>
      <c r="X82" s="21"/>
      <c r="Y82" s="10"/>
      <c r="Z82" s="10"/>
      <c r="AA82" s="10"/>
      <c r="AB82" s="178" t="str">
        <f ca="1">IF(DataColumns[[#This Row],[ColumnType]]="ResultValue",IF(MAX(INDIRECT(CONCATENATE("R",ROW(DataColumns[#Headers]),"C",COLUMN(),":R",ROW()-1,"C",COLUMN()),FALSE))=0,1,MAX(INDIRECT(CONCATENATE("R",ROW(DataColumns[#Headers]),"C",COLUMN(),":R",ROW()-1,"C",COLUMN()),FALSE))+1),"")</f>
        <v/>
      </c>
      <c r="AC82" s="126" t="str">
        <f>IF(DataColumns[[#This Row],[ColumnType]]="ResultValue",CONCATENATE(DataColumns[[#This Row],[ColumnType]],DataColumns[[#This Row],[ColumnLabel]]),CONCATENATE(DataColumns[[#This Row],[ColumnType]],DataColumns[[#This Row],[AppliesToColumn]]))</f>
        <v/>
      </c>
    </row>
    <row r="83" spans="1:29" x14ac:dyDescent="0.25">
      <c r="A83" s="47" t="str">
        <f ca="1">IF(COUNTA(DataColumns[[#This Row],[ColumnLabel]:[QualityCodeCV]])&gt;0,IF(MAX(INDIRECT(CONCATENATE("R",ROW(DataColumns[#Headers]),"C",COLUMN(),":R",ROW()-1,"C",COLUMN()),FALSE))=0,1,MAX(INDIRECT(CONCATENATE("R",ROW(DataColumns[#Headers]),"C",COLUMN(),":R",ROW()-1,"C",COLUMN()),FALSE))+1),"")</f>
        <v/>
      </c>
      <c r="B83" s="105"/>
      <c r="C83" s="10"/>
      <c r="D83" s="156"/>
      <c r="E83" s="161"/>
      <c r="F83" s="139"/>
      <c r="G83" s="9"/>
      <c r="H83" s="10"/>
      <c r="I83" s="10"/>
      <c r="J83" s="10"/>
      <c r="K83" s="34"/>
      <c r="L83" s="10"/>
      <c r="M83" s="133"/>
      <c r="N83" s="105"/>
      <c r="O83" s="9"/>
      <c r="P83" s="10"/>
      <c r="Q83" s="10"/>
      <c r="R83" s="21"/>
      <c r="S83" s="21"/>
      <c r="T83" s="10"/>
      <c r="U83" s="10"/>
      <c r="V83" s="10"/>
      <c r="W83" s="10"/>
      <c r="X83" s="21"/>
      <c r="Y83" s="10"/>
      <c r="Z83" s="10"/>
      <c r="AA83" s="10"/>
      <c r="AB83" s="178" t="str">
        <f ca="1">IF(DataColumns[[#This Row],[ColumnType]]="ResultValue",IF(MAX(INDIRECT(CONCATENATE("R",ROW(DataColumns[#Headers]),"C",COLUMN(),":R",ROW()-1,"C",COLUMN()),FALSE))=0,1,MAX(INDIRECT(CONCATENATE("R",ROW(DataColumns[#Headers]),"C",COLUMN(),":R",ROW()-1,"C",COLUMN()),FALSE))+1),"")</f>
        <v/>
      </c>
      <c r="AC83" s="126" t="str">
        <f>IF(DataColumns[[#This Row],[ColumnType]]="ResultValue",CONCATENATE(DataColumns[[#This Row],[ColumnType]],DataColumns[[#This Row],[ColumnLabel]]),CONCATENATE(DataColumns[[#This Row],[ColumnType]],DataColumns[[#This Row],[AppliesToColumn]]))</f>
        <v/>
      </c>
    </row>
    <row r="84" spans="1:29" x14ac:dyDescent="0.25">
      <c r="A84" s="47" t="str">
        <f ca="1">IF(COUNTA(DataColumns[[#This Row],[ColumnLabel]:[QualityCodeCV]])&gt;0,IF(MAX(INDIRECT(CONCATENATE("R",ROW(DataColumns[#Headers]),"C",COLUMN(),":R",ROW()-1,"C",COLUMN()),FALSE))=0,1,MAX(INDIRECT(CONCATENATE("R",ROW(DataColumns[#Headers]),"C",COLUMN(),":R",ROW()-1,"C",COLUMN()),FALSE))+1),"")</f>
        <v/>
      </c>
      <c r="B84" s="105"/>
      <c r="C84" s="10"/>
      <c r="D84" s="156"/>
      <c r="E84" s="161"/>
      <c r="F84" s="139"/>
      <c r="G84" s="9"/>
      <c r="H84" s="10"/>
      <c r="I84" s="10"/>
      <c r="J84" s="10"/>
      <c r="K84" s="34"/>
      <c r="L84" s="10"/>
      <c r="M84" s="133"/>
      <c r="N84" s="105"/>
      <c r="O84" s="9"/>
      <c r="P84" s="10"/>
      <c r="Q84" s="10"/>
      <c r="R84" s="21"/>
      <c r="S84" s="21"/>
      <c r="T84" s="10"/>
      <c r="U84" s="10"/>
      <c r="V84" s="10"/>
      <c r="W84" s="10"/>
      <c r="X84" s="21"/>
      <c r="Y84" s="10"/>
      <c r="Z84" s="10"/>
      <c r="AA84" s="10"/>
      <c r="AB84" s="178" t="str">
        <f ca="1">IF(DataColumns[[#This Row],[ColumnType]]="ResultValue",IF(MAX(INDIRECT(CONCATENATE("R",ROW(DataColumns[#Headers]),"C",COLUMN(),":R",ROW()-1,"C",COLUMN()),FALSE))=0,1,MAX(INDIRECT(CONCATENATE("R",ROW(DataColumns[#Headers]),"C",COLUMN(),":R",ROW()-1,"C",COLUMN()),FALSE))+1),"")</f>
        <v/>
      </c>
      <c r="AC84" s="126" t="str">
        <f>IF(DataColumns[[#This Row],[ColumnType]]="ResultValue",CONCATENATE(DataColumns[[#This Row],[ColumnType]],DataColumns[[#This Row],[ColumnLabel]]),CONCATENATE(DataColumns[[#This Row],[ColumnType]],DataColumns[[#This Row],[AppliesToColumn]]))</f>
        <v/>
      </c>
    </row>
    <row r="85" spans="1:29" x14ac:dyDescent="0.25">
      <c r="A85" s="47" t="str">
        <f ca="1">IF(COUNTA(DataColumns[[#This Row],[ColumnLabel]:[QualityCodeCV]])&gt;0,IF(MAX(INDIRECT(CONCATENATE("R",ROW(DataColumns[#Headers]),"C",COLUMN(),":R",ROW()-1,"C",COLUMN()),FALSE))=0,1,MAX(INDIRECT(CONCATENATE("R",ROW(DataColumns[#Headers]),"C",COLUMN(),":R",ROW()-1,"C",COLUMN()),FALSE))+1),"")</f>
        <v/>
      </c>
      <c r="B85" s="105"/>
      <c r="C85" s="10"/>
      <c r="D85" s="156"/>
      <c r="E85" s="161"/>
      <c r="F85" s="139"/>
      <c r="G85" s="9"/>
      <c r="H85" s="10"/>
      <c r="I85" s="10"/>
      <c r="J85" s="10"/>
      <c r="K85" s="34"/>
      <c r="L85" s="10"/>
      <c r="M85" s="133"/>
      <c r="N85" s="105"/>
      <c r="O85" s="9"/>
      <c r="P85" s="10"/>
      <c r="Q85" s="10"/>
      <c r="R85" s="21"/>
      <c r="S85" s="21"/>
      <c r="T85" s="10"/>
      <c r="U85" s="10"/>
      <c r="V85" s="10"/>
      <c r="W85" s="10"/>
      <c r="X85" s="21"/>
      <c r="Y85" s="10"/>
      <c r="Z85" s="10"/>
      <c r="AA85" s="10"/>
      <c r="AB85" s="178" t="str">
        <f ca="1">IF(DataColumns[[#This Row],[ColumnType]]="ResultValue",IF(MAX(INDIRECT(CONCATENATE("R",ROW(DataColumns[#Headers]),"C",COLUMN(),":R",ROW()-1,"C",COLUMN()),FALSE))=0,1,MAX(INDIRECT(CONCATENATE("R",ROW(DataColumns[#Headers]),"C",COLUMN(),":R",ROW()-1,"C",COLUMN()),FALSE))+1),"")</f>
        <v/>
      </c>
      <c r="AC85" s="126" t="str">
        <f>IF(DataColumns[[#This Row],[ColumnType]]="ResultValue",CONCATENATE(DataColumns[[#This Row],[ColumnType]],DataColumns[[#This Row],[ColumnLabel]]),CONCATENATE(DataColumns[[#This Row],[ColumnType]],DataColumns[[#This Row],[AppliesToColumn]]))</f>
        <v/>
      </c>
    </row>
    <row r="86" spans="1:29" x14ac:dyDescent="0.25">
      <c r="A86" s="47" t="str">
        <f ca="1">IF(COUNTA(DataColumns[[#This Row],[ColumnLabel]:[QualityCodeCV]])&gt;0,IF(MAX(INDIRECT(CONCATENATE("R",ROW(DataColumns[#Headers]),"C",COLUMN(),":R",ROW()-1,"C",COLUMN()),FALSE))=0,1,MAX(INDIRECT(CONCATENATE("R",ROW(DataColumns[#Headers]),"C",COLUMN(),":R",ROW()-1,"C",COLUMN()),FALSE))+1),"")</f>
        <v/>
      </c>
      <c r="B86" s="105"/>
      <c r="C86" s="10"/>
      <c r="D86" s="156"/>
      <c r="E86" s="161"/>
      <c r="F86" s="139"/>
      <c r="G86" s="9"/>
      <c r="H86" s="10"/>
      <c r="I86" s="10"/>
      <c r="J86" s="10"/>
      <c r="K86" s="34"/>
      <c r="L86" s="10"/>
      <c r="M86" s="133"/>
      <c r="N86" s="105"/>
      <c r="O86" s="9"/>
      <c r="P86" s="10"/>
      <c r="Q86" s="10"/>
      <c r="R86" s="21"/>
      <c r="S86" s="21"/>
      <c r="T86" s="10"/>
      <c r="U86" s="10"/>
      <c r="V86" s="10"/>
      <c r="W86" s="10"/>
      <c r="X86" s="21"/>
      <c r="Y86" s="10"/>
      <c r="Z86" s="10"/>
      <c r="AA86" s="10"/>
      <c r="AB86" s="178" t="str">
        <f ca="1">IF(DataColumns[[#This Row],[ColumnType]]="ResultValue",IF(MAX(INDIRECT(CONCATENATE("R",ROW(DataColumns[#Headers]),"C",COLUMN(),":R",ROW()-1,"C",COLUMN()),FALSE))=0,1,MAX(INDIRECT(CONCATENATE("R",ROW(DataColumns[#Headers]),"C",COLUMN(),":R",ROW()-1,"C",COLUMN()),FALSE))+1),"")</f>
        <v/>
      </c>
      <c r="AC86" s="126" t="str">
        <f>IF(DataColumns[[#This Row],[ColumnType]]="ResultValue",CONCATENATE(DataColumns[[#This Row],[ColumnType]],DataColumns[[#This Row],[ColumnLabel]]),CONCATENATE(DataColumns[[#This Row],[ColumnType]],DataColumns[[#This Row],[AppliesToColumn]]))</f>
        <v/>
      </c>
    </row>
    <row r="87" spans="1:29" x14ac:dyDescent="0.25">
      <c r="A87" s="47" t="str">
        <f ca="1">IF(COUNTA(DataColumns[[#This Row],[ColumnLabel]:[QualityCodeCV]])&gt;0,IF(MAX(INDIRECT(CONCATENATE("R",ROW(DataColumns[#Headers]),"C",COLUMN(),":R",ROW()-1,"C",COLUMN()),FALSE))=0,1,MAX(INDIRECT(CONCATENATE("R",ROW(DataColumns[#Headers]),"C",COLUMN(),":R",ROW()-1,"C",COLUMN()),FALSE))+1),"")</f>
        <v/>
      </c>
      <c r="B87" s="105"/>
      <c r="C87" s="10"/>
      <c r="D87" s="156"/>
      <c r="E87" s="161"/>
      <c r="F87" s="139"/>
      <c r="G87" s="9"/>
      <c r="H87" s="10"/>
      <c r="I87" s="10"/>
      <c r="J87" s="10"/>
      <c r="K87" s="34"/>
      <c r="L87" s="10"/>
      <c r="M87" s="133"/>
      <c r="N87" s="105"/>
      <c r="O87" s="9"/>
      <c r="P87" s="10"/>
      <c r="Q87" s="10"/>
      <c r="R87" s="21"/>
      <c r="S87" s="21"/>
      <c r="T87" s="10"/>
      <c r="U87" s="10"/>
      <c r="V87" s="10"/>
      <c r="W87" s="10"/>
      <c r="X87" s="21"/>
      <c r="Y87" s="10"/>
      <c r="Z87" s="10"/>
      <c r="AA87" s="10"/>
      <c r="AB87" s="178" t="str">
        <f ca="1">IF(DataColumns[[#This Row],[ColumnType]]="ResultValue",IF(MAX(INDIRECT(CONCATENATE("R",ROW(DataColumns[#Headers]),"C",COLUMN(),":R",ROW()-1,"C",COLUMN()),FALSE))=0,1,MAX(INDIRECT(CONCATENATE("R",ROW(DataColumns[#Headers]),"C",COLUMN(),":R",ROW()-1,"C",COLUMN()),FALSE))+1),"")</f>
        <v/>
      </c>
      <c r="AC87" s="126" t="str">
        <f>IF(DataColumns[[#This Row],[ColumnType]]="ResultValue",CONCATENATE(DataColumns[[#This Row],[ColumnType]],DataColumns[[#This Row],[ColumnLabel]]),CONCATENATE(DataColumns[[#This Row],[ColumnType]],DataColumns[[#This Row],[AppliesToColumn]]))</f>
        <v/>
      </c>
    </row>
    <row r="88" spans="1:29" x14ac:dyDescent="0.25">
      <c r="A88" s="47" t="str">
        <f ca="1">IF(COUNTA(DataColumns[[#This Row],[ColumnLabel]:[QualityCodeCV]])&gt;0,IF(MAX(INDIRECT(CONCATENATE("R",ROW(DataColumns[#Headers]),"C",COLUMN(),":R",ROW()-1,"C",COLUMN()),FALSE))=0,1,MAX(INDIRECT(CONCATENATE("R",ROW(DataColumns[#Headers]),"C",COLUMN(),":R",ROW()-1,"C",COLUMN()),FALSE))+1),"")</f>
        <v/>
      </c>
      <c r="B88" s="105"/>
      <c r="C88" s="10"/>
      <c r="D88" s="156"/>
      <c r="E88" s="161"/>
      <c r="F88" s="139"/>
      <c r="G88" s="9"/>
      <c r="H88" s="10"/>
      <c r="I88" s="10"/>
      <c r="J88" s="10"/>
      <c r="K88" s="34"/>
      <c r="L88" s="10"/>
      <c r="M88" s="133"/>
      <c r="N88" s="105"/>
      <c r="O88" s="9"/>
      <c r="P88" s="10"/>
      <c r="Q88" s="10"/>
      <c r="R88" s="21"/>
      <c r="S88" s="21"/>
      <c r="T88" s="10"/>
      <c r="U88" s="10"/>
      <c r="V88" s="10"/>
      <c r="W88" s="10"/>
      <c r="X88" s="21"/>
      <c r="Y88" s="10"/>
      <c r="Z88" s="10"/>
      <c r="AA88" s="10"/>
      <c r="AB88" s="178" t="str">
        <f ca="1">IF(DataColumns[[#This Row],[ColumnType]]="ResultValue",IF(MAX(INDIRECT(CONCATENATE("R",ROW(DataColumns[#Headers]),"C",COLUMN(),":R",ROW()-1,"C",COLUMN()),FALSE))=0,1,MAX(INDIRECT(CONCATENATE("R",ROW(DataColumns[#Headers]),"C",COLUMN(),":R",ROW()-1,"C",COLUMN()),FALSE))+1),"")</f>
        <v/>
      </c>
      <c r="AC88" s="126" t="str">
        <f>IF(DataColumns[[#This Row],[ColumnType]]="ResultValue",CONCATENATE(DataColumns[[#This Row],[ColumnType]],DataColumns[[#This Row],[ColumnLabel]]),CONCATENATE(DataColumns[[#This Row],[ColumnType]],DataColumns[[#This Row],[AppliesToColumn]]))</f>
        <v/>
      </c>
    </row>
    <row r="89" spans="1:29" x14ac:dyDescent="0.25">
      <c r="A89" s="47" t="str">
        <f ca="1">IF(COUNTA(DataColumns[[#This Row],[ColumnLabel]:[QualityCodeCV]])&gt;0,IF(MAX(INDIRECT(CONCATENATE("R",ROW(DataColumns[#Headers]),"C",COLUMN(),":R",ROW()-1,"C",COLUMN()),FALSE))=0,1,MAX(INDIRECT(CONCATENATE("R",ROW(DataColumns[#Headers]),"C",COLUMN(),":R",ROW()-1,"C",COLUMN()),FALSE))+1),"")</f>
        <v/>
      </c>
      <c r="B89" s="105"/>
      <c r="C89" s="10"/>
      <c r="D89" s="156"/>
      <c r="E89" s="161"/>
      <c r="F89" s="139"/>
      <c r="G89" s="9"/>
      <c r="H89" s="10"/>
      <c r="I89" s="10"/>
      <c r="J89" s="10"/>
      <c r="K89" s="34"/>
      <c r="L89" s="10"/>
      <c r="M89" s="133"/>
      <c r="N89" s="105"/>
      <c r="O89" s="9"/>
      <c r="P89" s="10"/>
      <c r="Q89" s="10"/>
      <c r="R89" s="21"/>
      <c r="S89" s="21"/>
      <c r="T89" s="10"/>
      <c r="U89" s="10"/>
      <c r="V89" s="10"/>
      <c r="W89" s="10"/>
      <c r="X89" s="21"/>
      <c r="Y89" s="10"/>
      <c r="Z89" s="10"/>
      <c r="AA89" s="10"/>
      <c r="AB89" s="178" t="str">
        <f ca="1">IF(DataColumns[[#This Row],[ColumnType]]="ResultValue",IF(MAX(INDIRECT(CONCATENATE("R",ROW(DataColumns[#Headers]),"C",COLUMN(),":R",ROW()-1,"C",COLUMN()),FALSE))=0,1,MAX(INDIRECT(CONCATENATE("R",ROW(DataColumns[#Headers]),"C",COLUMN(),":R",ROW()-1,"C",COLUMN()),FALSE))+1),"")</f>
        <v/>
      </c>
      <c r="AC89" s="126" t="str">
        <f>IF(DataColumns[[#This Row],[ColumnType]]="ResultValue",CONCATENATE(DataColumns[[#This Row],[ColumnType]],DataColumns[[#This Row],[ColumnLabel]]),CONCATENATE(DataColumns[[#This Row],[ColumnType]],DataColumns[[#This Row],[AppliesToColumn]]))</f>
        <v/>
      </c>
    </row>
    <row r="90" spans="1:29" x14ac:dyDescent="0.25">
      <c r="A90" s="47" t="str">
        <f ca="1">IF(COUNTA(DataColumns[[#This Row],[ColumnLabel]:[QualityCodeCV]])&gt;0,IF(MAX(INDIRECT(CONCATENATE("R",ROW(DataColumns[#Headers]),"C",COLUMN(),":R",ROW()-1,"C",COLUMN()),FALSE))=0,1,MAX(INDIRECT(CONCATENATE("R",ROW(DataColumns[#Headers]),"C",COLUMN(),":R",ROW()-1,"C",COLUMN()),FALSE))+1),"")</f>
        <v/>
      </c>
      <c r="B90" s="105"/>
      <c r="C90" s="10"/>
      <c r="D90" s="156"/>
      <c r="E90" s="161"/>
      <c r="F90" s="139"/>
      <c r="G90" s="9"/>
      <c r="H90" s="10"/>
      <c r="I90" s="10"/>
      <c r="J90" s="10"/>
      <c r="K90" s="34"/>
      <c r="L90" s="10"/>
      <c r="M90" s="133"/>
      <c r="N90" s="105"/>
      <c r="O90" s="9"/>
      <c r="P90" s="10"/>
      <c r="Q90" s="10"/>
      <c r="R90" s="21"/>
      <c r="S90" s="21"/>
      <c r="T90" s="10"/>
      <c r="U90" s="10"/>
      <c r="V90" s="10"/>
      <c r="W90" s="10"/>
      <c r="X90" s="21"/>
      <c r="Y90" s="10"/>
      <c r="Z90" s="10"/>
      <c r="AA90" s="10"/>
      <c r="AB90" s="178" t="str">
        <f ca="1">IF(DataColumns[[#This Row],[ColumnType]]="ResultValue",IF(MAX(INDIRECT(CONCATENATE("R",ROW(DataColumns[#Headers]),"C",COLUMN(),":R",ROW()-1,"C",COLUMN()),FALSE))=0,1,MAX(INDIRECT(CONCATENATE("R",ROW(DataColumns[#Headers]),"C",COLUMN(),":R",ROW()-1,"C",COLUMN()),FALSE))+1),"")</f>
        <v/>
      </c>
      <c r="AC90" s="126" t="str">
        <f>IF(DataColumns[[#This Row],[ColumnType]]="ResultValue",CONCATENATE(DataColumns[[#This Row],[ColumnType]],DataColumns[[#This Row],[ColumnLabel]]),CONCATENATE(DataColumns[[#This Row],[ColumnType]],DataColumns[[#This Row],[AppliesToColumn]]))</f>
        <v/>
      </c>
    </row>
    <row r="91" spans="1:29" x14ac:dyDescent="0.25">
      <c r="A91" s="47" t="str">
        <f ca="1">IF(COUNTA(DataColumns[[#This Row],[ColumnLabel]:[QualityCodeCV]])&gt;0,IF(MAX(INDIRECT(CONCATENATE("R",ROW(DataColumns[#Headers]),"C",COLUMN(),":R",ROW()-1,"C",COLUMN()),FALSE))=0,1,MAX(INDIRECT(CONCATENATE("R",ROW(DataColumns[#Headers]),"C",COLUMN(),":R",ROW()-1,"C",COLUMN()),FALSE))+1),"")</f>
        <v/>
      </c>
      <c r="B91" s="105"/>
      <c r="C91" s="10"/>
      <c r="D91" s="156"/>
      <c r="E91" s="161"/>
      <c r="F91" s="139"/>
      <c r="G91" s="9"/>
      <c r="H91" s="10"/>
      <c r="I91" s="10"/>
      <c r="J91" s="10"/>
      <c r="K91" s="34"/>
      <c r="L91" s="10"/>
      <c r="M91" s="133"/>
      <c r="N91" s="105"/>
      <c r="O91" s="9"/>
      <c r="P91" s="10"/>
      <c r="Q91" s="10"/>
      <c r="R91" s="21"/>
      <c r="S91" s="21"/>
      <c r="T91" s="10"/>
      <c r="U91" s="10"/>
      <c r="V91" s="10"/>
      <c r="W91" s="10"/>
      <c r="X91" s="21"/>
      <c r="Y91" s="10"/>
      <c r="Z91" s="10"/>
      <c r="AA91" s="10"/>
      <c r="AB91" s="178" t="str">
        <f ca="1">IF(DataColumns[[#This Row],[ColumnType]]="ResultValue",IF(MAX(INDIRECT(CONCATENATE("R",ROW(DataColumns[#Headers]),"C",COLUMN(),":R",ROW()-1,"C",COLUMN()),FALSE))=0,1,MAX(INDIRECT(CONCATENATE("R",ROW(DataColumns[#Headers]),"C",COLUMN(),":R",ROW()-1,"C",COLUMN()),FALSE))+1),"")</f>
        <v/>
      </c>
      <c r="AC91" s="126" t="str">
        <f>IF(DataColumns[[#This Row],[ColumnType]]="ResultValue",CONCATENATE(DataColumns[[#This Row],[ColumnType]],DataColumns[[#This Row],[ColumnLabel]]),CONCATENATE(DataColumns[[#This Row],[ColumnType]],DataColumns[[#This Row],[AppliesToColumn]]))</f>
        <v/>
      </c>
    </row>
    <row r="92" spans="1:29" x14ac:dyDescent="0.25">
      <c r="A92" s="47" t="str">
        <f ca="1">IF(COUNTA(DataColumns[[#This Row],[ColumnLabel]:[QualityCodeCV]])&gt;0,IF(MAX(INDIRECT(CONCATENATE("R",ROW(DataColumns[#Headers]),"C",COLUMN(),":R",ROW()-1,"C",COLUMN()),FALSE))=0,1,MAX(INDIRECT(CONCATENATE("R",ROW(DataColumns[#Headers]),"C",COLUMN(),":R",ROW()-1,"C",COLUMN()),FALSE))+1),"")</f>
        <v/>
      </c>
      <c r="B92" s="105"/>
      <c r="C92" s="10"/>
      <c r="D92" s="156"/>
      <c r="E92" s="161"/>
      <c r="F92" s="139"/>
      <c r="G92" s="9"/>
      <c r="H92" s="10"/>
      <c r="I92" s="10"/>
      <c r="J92" s="10"/>
      <c r="K92" s="34"/>
      <c r="L92" s="10"/>
      <c r="M92" s="133"/>
      <c r="N92" s="105"/>
      <c r="O92" s="9"/>
      <c r="P92" s="10"/>
      <c r="Q92" s="10"/>
      <c r="R92" s="21"/>
      <c r="S92" s="21"/>
      <c r="T92" s="10"/>
      <c r="U92" s="10"/>
      <c r="V92" s="10"/>
      <c r="W92" s="10"/>
      <c r="X92" s="21"/>
      <c r="Y92" s="10"/>
      <c r="Z92" s="10"/>
      <c r="AA92" s="10"/>
      <c r="AB92" s="178" t="str">
        <f ca="1">IF(DataColumns[[#This Row],[ColumnType]]="ResultValue",IF(MAX(INDIRECT(CONCATENATE("R",ROW(DataColumns[#Headers]),"C",COLUMN(),":R",ROW()-1,"C",COLUMN()),FALSE))=0,1,MAX(INDIRECT(CONCATENATE("R",ROW(DataColumns[#Headers]),"C",COLUMN(),":R",ROW()-1,"C",COLUMN()),FALSE))+1),"")</f>
        <v/>
      </c>
      <c r="AC92" s="126" t="str">
        <f>IF(DataColumns[[#This Row],[ColumnType]]="ResultValue",CONCATENATE(DataColumns[[#This Row],[ColumnType]],DataColumns[[#This Row],[ColumnLabel]]),CONCATENATE(DataColumns[[#This Row],[ColumnType]],DataColumns[[#This Row],[AppliesToColumn]]))</f>
        <v/>
      </c>
    </row>
    <row r="93" spans="1:29" x14ac:dyDescent="0.25">
      <c r="A93" s="47" t="str">
        <f ca="1">IF(COUNTA(DataColumns[[#This Row],[ColumnLabel]:[QualityCodeCV]])&gt;0,IF(MAX(INDIRECT(CONCATENATE("R",ROW(DataColumns[#Headers]),"C",COLUMN(),":R",ROW()-1,"C",COLUMN()),FALSE))=0,1,MAX(INDIRECT(CONCATENATE("R",ROW(DataColumns[#Headers]),"C",COLUMN(),":R",ROW()-1,"C",COLUMN()),FALSE))+1),"")</f>
        <v/>
      </c>
      <c r="B93" s="105"/>
      <c r="C93" s="10"/>
      <c r="D93" s="156"/>
      <c r="E93" s="161"/>
      <c r="F93" s="139"/>
      <c r="G93" s="9"/>
      <c r="H93" s="10"/>
      <c r="I93" s="10"/>
      <c r="J93" s="10"/>
      <c r="K93" s="34"/>
      <c r="L93" s="10"/>
      <c r="M93" s="133"/>
      <c r="N93" s="105"/>
      <c r="O93" s="9"/>
      <c r="P93" s="10"/>
      <c r="Q93" s="10"/>
      <c r="R93" s="21"/>
      <c r="S93" s="21"/>
      <c r="T93" s="10"/>
      <c r="U93" s="10"/>
      <c r="V93" s="10"/>
      <c r="W93" s="10"/>
      <c r="X93" s="21"/>
      <c r="Y93" s="10"/>
      <c r="Z93" s="10"/>
      <c r="AA93" s="10"/>
      <c r="AB93" s="178" t="str">
        <f ca="1">IF(DataColumns[[#This Row],[ColumnType]]="ResultValue",IF(MAX(INDIRECT(CONCATENATE("R",ROW(DataColumns[#Headers]),"C",COLUMN(),":R",ROW()-1,"C",COLUMN()),FALSE))=0,1,MAX(INDIRECT(CONCATENATE("R",ROW(DataColumns[#Headers]),"C",COLUMN(),":R",ROW()-1,"C",COLUMN()),FALSE))+1),"")</f>
        <v/>
      </c>
      <c r="AC93" s="126" t="str">
        <f>IF(DataColumns[[#This Row],[ColumnType]]="ResultValue",CONCATENATE(DataColumns[[#This Row],[ColumnType]],DataColumns[[#This Row],[ColumnLabel]]),CONCATENATE(DataColumns[[#This Row],[ColumnType]],DataColumns[[#This Row],[AppliesToColumn]]))</f>
        <v/>
      </c>
    </row>
    <row r="94" spans="1:29" x14ac:dyDescent="0.25">
      <c r="A94" s="47" t="str">
        <f ca="1">IF(COUNTA(DataColumns[[#This Row],[ColumnLabel]:[QualityCodeCV]])&gt;0,IF(MAX(INDIRECT(CONCATENATE("R",ROW(DataColumns[#Headers]),"C",COLUMN(),":R",ROW()-1,"C",COLUMN()),FALSE))=0,1,MAX(INDIRECT(CONCATENATE("R",ROW(DataColumns[#Headers]),"C",COLUMN(),":R",ROW()-1,"C",COLUMN()),FALSE))+1),"")</f>
        <v/>
      </c>
      <c r="B94" s="105"/>
      <c r="C94" s="10"/>
      <c r="D94" s="156"/>
      <c r="E94" s="161"/>
      <c r="F94" s="139"/>
      <c r="G94" s="9"/>
      <c r="H94" s="10"/>
      <c r="I94" s="10"/>
      <c r="J94" s="10"/>
      <c r="K94" s="34"/>
      <c r="L94" s="10"/>
      <c r="M94" s="133"/>
      <c r="N94" s="105"/>
      <c r="O94" s="9"/>
      <c r="P94" s="10"/>
      <c r="Q94" s="10"/>
      <c r="R94" s="21"/>
      <c r="S94" s="21"/>
      <c r="T94" s="10"/>
      <c r="U94" s="10"/>
      <c r="V94" s="10"/>
      <c r="W94" s="10"/>
      <c r="X94" s="21"/>
      <c r="Y94" s="10"/>
      <c r="Z94" s="10"/>
      <c r="AA94" s="10"/>
      <c r="AB94" s="178" t="str">
        <f ca="1">IF(DataColumns[[#This Row],[ColumnType]]="ResultValue",IF(MAX(INDIRECT(CONCATENATE("R",ROW(DataColumns[#Headers]),"C",COLUMN(),":R",ROW()-1,"C",COLUMN()),FALSE))=0,1,MAX(INDIRECT(CONCATENATE("R",ROW(DataColumns[#Headers]),"C",COLUMN(),":R",ROW()-1,"C",COLUMN()),FALSE))+1),"")</f>
        <v/>
      </c>
      <c r="AC94" s="126" t="str">
        <f>IF(DataColumns[[#This Row],[ColumnType]]="ResultValue",CONCATENATE(DataColumns[[#This Row],[ColumnType]],DataColumns[[#This Row],[ColumnLabel]]),CONCATENATE(DataColumns[[#This Row],[ColumnType]],DataColumns[[#This Row],[AppliesToColumn]]))</f>
        <v/>
      </c>
    </row>
    <row r="95" spans="1:29" x14ac:dyDescent="0.25">
      <c r="A95" s="47" t="str">
        <f ca="1">IF(COUNTA(DataColumns[[#This Row],[ColumnLabel]:[QualityCodeCV]])&gt;0,IF(MAX(INDIRECT(CONCATENATE("R",ROW(DataColumns[#Headers]),"C",COLUMN(),":R",ROW()-1,"C",COLUMN()),FALSE))=0,1,MAX(INDIRECT(CONCATENATE("R",ROW(DataColumns[#Headers]),"C",COLUMN(),":R",ROW()-1,"C",COLUMN()),FALSE))+1),"")</f>
        <v/>
      </c>
      <c r="B95" s="105"/>
      <c r="C95" s="10"/>
      <c r="D95" s="156"/>
      <c r="E95" s="161"/>
      <c r="F95" s="139"/>
      <c r="G95" s="9"/>
      <c r="H95" s="10"/>
      <c r="I95" s="10"/>
      <c r="J95" s="10"/>
      <c r="K95" s="34"/>
      <c r="L95" s="10"/>
      <c r="M95" s="133"/>
      <c r="N95" s="105"/>
      <c r="O95" s="9"/>
      <c r="P95" s="10"/>
      <c r="Q95" s="10"/>
      <c r="R95" s="21"/>
      <c r="S95" s="21"/>
      <c r="T95" s="10"/>
      <c r="U95" s="10"/>
      <c r="V95" s="10"/>
      <c r="W95" s="10"/>
      <c r="X95" s="21"/>
      <c r="Y95" s="10"/>
      <c r="Z95" s="10"/>
      <c r="AA95" s="10"/>
      <c r="AB95" s="178" t="str">
        <f ca="1">IF(DataColumns[[#This Row],[ColumnType]]="ResultValue",IF(MAX(INDIRECT(CONCATENATE("R",ROW(DataColumns[#Headers]),"C",COLUMN(),":R",ROW()-1,"C",COLUMN()),FALSE))=0,1,MAX(INDIRECT(CONCATENATE("R",ROW(DataColumns[#Headers]),"C",COLUMN(),":R",ROW()-1,"C",COLUMN()),FALSE))+1),"")</f>
        <v/>
      </c>
      <c r="AC95" s="126" t="str">
        <f>IF(DataColumns[[#This Row],[ColumnType]]="ResultValue",CONCATENATE(DataColumns[[#This Row],[ColumnType]],DataColumns[[#This Row],[ColumnLabel]]),CONCATENATE(DataColumns[[#This Row],[ColumnType]],DataColumns[[#This Row],[AppliesToColumn]]))</f>
        <v/>
      </c>
    </row>
    <row r="96" spans="1:29" x14ac:dyDescent="0.25">
      <c r="A96" s="47" t="str">
        <f ca="1">IF(COUNTA(DataColumns[[#This Row],[ColumnLabel]:[QualityCodeCV]])&gt;0,IF(MAX(INDIRECT(CONCATENATE("R",ROW(DataColumns[#Headers]),"C",COLUMN(),":R",ROW()-1,"C",COLUMN()),FALSE))=0,1,MAX(INDIRECT(CONCATENATE("R",ROW(DataColumns[#Headers]),"C",COLUMN(),":R",ROW()-1,"C",COLUMN()),FALSE))+1),"")</f>
        <v/>
      </c>
      <c r="B96" s="105"/>
      <c r="C96" s="10"/>
      <c r="D96" s="156"/>
      <c r="E96" s="161"/>
      <c r="F96" s="139"/>
      <c r="G96" s="9"/>
      <c r="H96" s="10"/>
      <c r="I96" s="10"/>
      <c r="J96" s="10"/>
      <c r="K96" s="34"/>
      <c r="L96" s="10"/>
      <c r="M96" s="133"/>
      <c r="N96" s="105"/>
      <c r="O96" s="9"/>
      <c r="P96" s="10"/>
      <c r="Q96" s="10"/>
      <c r="R96" s="21"/>
      <c r="S96" s="21"/>
      <c r="T96" s="10"/>
      <c r="U96" s="10"/>
      <c r="V96" s="10"/>
      <c r="W96" s="10"/>
      <c r="X96" s="21"/>
      <c r="Y96" s="10"/>
      <c r="Z96" s="10"/>
      <c r="AA96" s="10"/>
      <c r="AB96" s="178" t="str">
        <f ca="1">IF(DataColumns[[#This Row],[ColumnType]]="ResultValue",IF(MAX(INDIRECT(CONCATENATE("R",ROW(DataColumns[#Headers]),"C",COLUMN(),":R",ROW()-1,"C",COLUMN()),FALSE))=0,1,MAX(INDIRECT(CONCATENATE("R",ROW(DataColumns[#Headers]),"C",COLUMN(),":R",ROW()-1,"C",COLUMN()),FALSE))+1),"")</f>
        <v/>
      </c>
      <c r="AC96" s="126" t="str">
        <f>IF(DataColumns[[#This Row],[ColumnType]]="ResultValue",CONCATENATE(DataColumns[[#This Row],[ColumnType]],DataColumns[[#This Row],[ColumnLabel]]),CONCATENATE(DataColumns[[#This Row],[ColumnType]],DataColumns[[#This Row],[AppliesToColumn]]))</f>
        <v/>
      </c>
    </row>
    <row r="97" spans="1:29" x14ac:dyDescent="0.25">
      <c r="A97" s="47" t="str">
        <f ca="1">IF(COUNTA(DataColumns[[#This Row],[ColumnLabel]:[QualityCodeCV]])&gt;0,IF(MAX(INDIRECT(CONCATENATE("R",ROW(DataColumns[#Headers]),"C",COLUMN(),":R",ROW()-1,"C",COLUMN()),FALSE))=0,1,MAX(INDIRECT(CONCATENATE("R",ROW(DataColumns[#Headers]),"C",COLUMN(),":R",ROW()-1,"C",COLUMN()),FALSE))+1),"")</f>
        <v/>
      </c>
      <c r="B97" s="105"/>
      <c r="C97" s="10"/>
      <c r="D97" s="156"/>
      <c r="E97" s="161"/>
      <c r="F97" s="139"/>
      <c r="G97" s="9"/>
      <c r="H97" s="10"/>
      <c r="I97" s="10"/>
      <c r="J97" s="10"/>
      <c r="K97" s="34"/>
      <c r="L97" s="10"/>
      <c r="M97" s="133"/>
      <c r="N97" s="105"/>
      <c r="O97" s="9"/>
      <c r="P97" s="10"/>
      <c r="Q97" s="10"/>
      <c r="R97" s="21"/>
      <c r="S97" s="21"/>
      <c r="T97" s="10"/>
      <c r="U97" s="10"/>
      <c r="V97" s="10"/>
      <c r="W97" s="10"/>
      <c r="X97" s="21"/>
      <c r="Y97" s="10"/>
      <c r="Z97" s="10"/>
      <c r="AA97" s="10"/>
      <c r="AB97" s="178" t="str">
        <f ca="1">IF(DataColumns[[#This Row],[ColumnType]]="ResultValue",IF(MAX(INDIRECT(CONCATENATE("R",ROW(DataColumns[#Headers]),"C",COLUMN(),":R",ROW()-1,"C",COLUMN()),FALSE))=0,1,MAX(INDIRECT(CONCATENATE("R",ROW(DataColumns[#Headers]),"C",COLUMN(),":R",ROW()-1,"C",COLUMN()),FALSE))+1),"")</f>
        <v/>
      </c>
      <c r="AC97" s="126" t="str">
        <f>IF(DataColumns[[#This Row],[ColumnType]]="ResultValue",CONCATENATE(DataColumns[[#This Row],[ColumnType]],DataColumns[[#This Row],[ColumnLabel]]),CONCATENATE(DataColumns[[#This Row],[ColumnType]],DataColumns[[#This Row],[AppliesToColumn]]))</f>
        <v/>
      </c>
    </row>
    <row r="98" spans="1:29" x14ac:dyDescent="0.25">
      <c r="A98" s="47" t="str">
        <f ca="1">IF(COUNTA(DataColumns[[#This Row],[ColumnLabel]:[QualityCodeCV]])&gt;0,IF(MAX(INDIRECT(CONCATENATE("R",ROW(DataColumns[#Headers]),"C",COLUMN(),":R",ROW()-1,"C",COLUMN()),FALSE))=0,1,MAX(INDIRECT(CONCATENATE("R",ROW(DataColumns[#Headers]),"C",COLUMN(),":R",ROW()-1,"C",COLUMN()),FALSE))+1),"")</f>
        <v/>
      </c>
      <c r="B98" s="105"/>
      <c r="C98" s="10"/>
      <c r="D98" s="156"/>
      <c r="E98" s="161"/>
      <c r="F98" s="139"/>
      <c r="G98" s="9"/>
      <c r="H98" s="10"/>
      <c r="I98" s="10"/>
      <c r="J98" s="10"/>
      <c r="K98" s="34"/>
      <c r="L98" s="10"/>
      <c r="M98" s="133"/>
      <c r="N98" s="105"/>
      <c r="O98" s="9"/>
      <c r="P98" s="10"/>
      <c r="Q98" s="10"/>
      <c r="R98" s="21"/>
      <c r="S98" s="21"/>
      <c r="T98" s="10"/>
      <c r="U98" s="10"/>
      <c r="V98" s="10"/>
      <c r="W98" s="10"/>
      <c r="X98" s="21"/>
      <c r="Y98" s="10"/>
      <c r="Z98" s="10"/>
      <c r="AA98" s="10"/>
      <c r="AB98" s="178" t="str">
        <f ca="1">IF(DataColumns[[#This Row],[ColumnType]]="ResultValue",IF(MAX(INDIRECT(CONCATENATE("R",ROW(DataColumns[#Headers]),"C",COLUMN(),":R",ROW()-1,"C",COLUMN()),FALSE))=0,1,MAX(INDIRECT(CONCATENATE("R",ROW(DataColumns[#Headers]),"C",COLUMN(),":R",ROW()-1,"C",COLUMN()),FALSE))+1),"")</f>
        <v/>
      </c>
      <c r="AC98" s="126" t="str">
        <f>IF(DataColumns[[#This Row],[ColumnType]]="ResultValue",CONCATENATE(DataColumns[[#This Row],[ColumnType]],DataColumns[[#This Row],[ColumnLabel]]),CONCATENATE(DataColumns[[#This Row],[ColumnType]],DataColumns[[#This Row],[AppliesToColumn]]))</f>
        <v/>
      </c>
    </row>
    <row r="99" spans="1:29" ht="15.75" thickBot="1" x14ac:dyDescent="0.3">
      <c r="A99" s="49" t="str">
        <f ca="1">IF(COUNTA(DataColumns[[#This Row],[ColumnLabel]:[QualityCodeCV]])&gt;0,IF(MAX(INDIRECT(CONCATENATE("R",ROW(DataColumns[#Headers]),"C",COLUMN(),":R",ROW()-1,"C",COLUMN()),FALSE))=0,1,MAX(INDIRECT(CONCATENATE("R",ROW(DataColumns[#Headers]),"C",COLUMN(),":R",ROW()-1,"C",COLUMN()),FALSE))+1),"")</f>
        <v/>
      </c>
      <c r="B99" s="107"/>
      <c r="C99" s="108"/>
      <c r="D99" s="157"/>
      <c r="E99" s="162"/>
      <c r="F99" s="172"/>
      <c r="G99" s="153"/>
      <c r="H99" s="108"/>
      <c r="I99" s="108"/>
      <c r="J99" s="108"/>
      <c r="K99" s="159"/>
      <c r="L99" s="108"/>
      <c r="M99" s="134"/>
      <c r="N99" s="107"/>
      <c r="O99" s="153"/>
      <c r="P99" s="108"/>
      <c r="Q99" s="108"/>
      <c r="R99" s="143"/>
      <c r="S99" s="143"/>
      <c r="T99" s="108"/>
      <c r="U99" s="108"/>
      <c r="V99" s="108"/>
      <c r="W99" s="108"/>
      <c r="X99" s="143"/>
      <c r="Y99" s="108"/>
      <c r="Z99" s="108"/>
      <c r="AA99" s="108"/>
      <c r="AB99" s="179" t="str">
        <f ca="1">IF(DataColumns[[#This Row],[ColumnType]]="ResultValue",IF(MAX(INDIRECT(CONCATENATE("R",ROW(DataColumns[#Headers]),"C",COLUMN(),":R",ROW()-1,"C",COLUMN()),FALSE))=0,1,MAX(INDIRECT(CONCATENATE("R",ROW(DataColumns[#Headers]),"C",COLUMN(),":R",ROW()-1,"C",COLUMN()),FALSE))+1),"")</f>
        <v/>
      </c>
      <c r="AC99" s="127"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1300</v>
      </c>
      <c r="B1" s="5" t="s">
        <v>1169</v>
      </c>
      <c r="C1" s="5" t="s">
        <v>1301</v>
      </c>
      <c r="D1" s="5" t="s">
        <v>1302</v>
      </c>
      <c r="E1" s="5" t="s">
        <v>1529</v>
      </c>
      <c r="F1" s="5" t="s">
        <v>1530</v>
      </c>
      <c r="G1" s="5" t="s">
        <v>1391</v>
      </c>
      <c r="H1" s="5" t="s">
        <v>832</v>
      </c>
      <c r="I1" s="5" t="s">
        <v>1303</v>
      </c>
      <c r="J1" s="5" t="s">
        <v>1304</v>
      </c>
      <c r="K1" s="5" t="s">
        <v>1305</v>
      </c>
      <c r="L1" s="5" t="s">
        <v>1306</v>
      </c>
      <c r="M1" s="5" t="s">
        <v>1307</v>
      </c>
      <c r="N1" s="4" t="s">
        <v>1446</v>
      </c>
      <c r="O1" s="4" t="s">
        <v>1447</v>
      </c>
      <c r="P1" s="4" t="s">
        <v>1485</v>
      </c>
    </row>
    <row r="2" spans="1:16" x14ac:dyDescent="0.25">
      <c r="A2" s="144">
        <v>40548.65</v>
      </c>
      <c r="B2" s="5">
        <v>-5</v>
      </c>
      <c r="C2" s="5">
        <v>1100003</v>
      </c>
      <c r="D2" s="5" t="s">
        <v>1308</v>
      </c>
      <c r="E2" s="5" t="s">
        <v>110</v>
      </c>
      <c r="F2" s="5" t="s">
        <v>1523</v>
      </c>
      <c r="G2" s="5" t="s">
        <v>1293</v>
      </c>
      <c r="H2" s="5">
        <v>6.93</v>
      </c>
      <c r="I2" s="5">
        <v>222</v>
      </c>
      <c r="J2" s="5">
        <v>1.034</v>
      </c>
      <c r="K2" s="5">
        <v>1327.533422</v>
      </c>
      <c r="L2" s="5">
        <v>3.9201999999999999</v>
      </c>
      <c r="M2" s="5"/>
      <c r="N2" s="151">
        <v>40564.206966489699</v>
      </c>
      <c r="O2" s="4">
        <v>-7</v>
      </c>
      <c r="P2" s="4">
        <v>4</v>
      </c>
    </row>
    <row r="3" spans="1:16" x14ac:dyDescent="0.25">
      <c r="A3" s="144">
        <v>40557.557638888888</v>
      </c>
      <c r="B3" s="5">
        <v>-5</v>
      </c>
      <c r="C3" s="5">
        <v>1100072</v>
      </c>
      <c r="D3" s="5" t="s">
        <v>1309</v>
      </c>
      <c r="E3" s="5" t="s">
        <v>110</v>
      </c>
      <c r="F3" s="5" t="s">
        <v>1523</v>
      </c>
      <c r="G3" s="5" t="s">
        <v>1293</v>
      </c>
      <c r="H3" s="5">
        <v>6.75</v>
      </c>
      <c r="I3" s="5">
        <v>717</v>
      </c>
      <c r="J3" s="5"/>
      <c r="K3" s="5"/>
      <c r="L3" s="5">
        <v>3.0611000000000002</v>
      </c>
      <c r="M3" s="5"/>
      <c r="N3" s="151">
        <v>40564.206966489699</v>
      </c>
      <c r="O3" s="4">
        <v>-7</v>
      </c>
      <c r="P3" s="4">
        <v>3</v>
      </c>
    </row>
    <row r="4" spans="1:16" x14ac:dyDescent="0.25">
      <c r="A4" s="144">
        <v>40557.614583333336</v>
      </c>
      <c r="B4" s="5">
        <v>-5</v>
      </c>
      <c r="C4" s="5">
        <v>1100073</v>
      </c>
      <c r="D4" s="5" t="s">
        <v>1310</v>
      </c>
      <c r="E4" s="5" t="s">
        <v>110</v>
      </c>
      <c r="F4" s="5" t="s">
        <v>1523</v>
      </c>
      <c r="G4" s="5" t="s">
        <v>1293</v>
      </c>
      <c r="H4" s="5">
        <v>7.29</v>
      </c>
      <c r="I4" s="5">
        <v>421</v>
      </c>
      <c r="J4" s="5"/>
      <c r="K4" s="5"/>
      <c r="L4" s="5">
        <v>12.2859</v>
      </c>
      <c r="M4" s="5"/>
      <c r="N4" s="151">
        <v>40563.934488161722</v>
      </c>
      <c r="O4" s="4">
        <v>-7</v>
      </c>
      <c r="P4" s="4">
        <v>2</v>
      </c>
    </row>
    <row r="5" spans="1:16" x14ac:dyDescent="0.25">
      <c r="A5" s="144">
        <v>40576.620833333334</v>
      </c>
      <c r="B5" s="5">
        <v>-5</v>
      </c>
      <c r="C5" s="5">
        <v>1100185</v>
      </c>
      <c r="D5" s="5" t="s">
        <v>1308</v>
      </c>
      <c r="E5" s="5" t="s">
        <v>110</v>
      </c>
      <c r="F5" s="5" t="s">
        <v>1523</v>
      </c>
      <c r="G5" s="5" t="s">
        <v>1293</v>
      </c>
      <c r="H5" s="5">
        <v>6.16</v>
      </c>
      <c r="I5" s="5">
        <v>161.19999999999999</v>
      </c>
      <c r="J5" s="5">
        <v>7.27</v>
      </c>
      <c r="K5" s="5">
        <v>570.72676479999996</v>
      </c>
      <c r="L5" s="5">
        <v>1.3998999999999999</v>
      </c>
      <c r="M5" s="5"/>
      <c r="N5" s="151">
        <v>40563.934488161722</v>
      </c>
      <c r="O5" s="4">
        <v>-7</v>
      </c>
      <c r="P5" s="4">
        <v>1</v>
      </c>
    </row>
    <row r="6" spans="1:16" x14ac:dyDescent="0.25">
      <c r="A6" s="144">
        <v>40588.644444444442</v>
      </c>
      <c r="B6" s="5">
        <v>-5</v>
      </c>
      <c r="C6" s="5">
        <v>1100229</v>
      </c>
      <c r="D6" s="5" t="s">
        <v>1309</v>
      </c>
      <c r="E6" s="5" t="s">
        <v>110</v>
      </c>
      <c r="F6" s="5" t="s">
        <v>1523</v>
      </c>
      <c r="G6" s="5" t="s">
        <v>1293</v>
      </c>
      <c r="H6" s="5">
        <v>6.73</v>
      </c>
      <c r="I6" s="5">
        <v>268</v>
      </c>
      <c r="J6" s="5"/>
      <c r="K6" s="5"/>
      <c r="L6" s="5">
        <v>1.1673</v>
      </c>
      <c r="M6" s="5"/>
      <c r="N6" s="151">
        <v>40607.532256944447</v>
      </c>
      <c r="O6" s="4">
        <v>-7</v>
      </c>
      <c r="P6" s="4">
        <v>3</v>
      </c>
    </row>
    <row r="7" spans="1:16" x14ac:dyDescent="0.25">
      <c r="A7" s="144">
        <v>40588.700694444444</v>
      </c>
      <c r="B7" s="5">
        <v>-5</v>
      </c>
      <c r="C7" s="5">
        <v>1100230</v>
      </c>
      <c r="D7" s="5" t="s">
        <v>1310</v>
      </c>
      <c r="E7" s="5" t="s">
        <v>110</v>
      </c>
      <c r="F7" s="5" t="s">
        <v>1523</v>
      </c>
      <c r="G7" s="5" t="s">
        <v>1293</v>
      </c>
      <c r="H7" s="5">
        <v>6.94</v>
      </c>
      <c r="I7" s="5">
        <v>277</v>
      </c>
      <c r="J7" s="5"/>
      <c r="K7" s="5"/>
      <c r="L7" s="5">
        <v>3.3207</v>
      </c>
      <c r="M7" s="5"/>
      <c r="N7" s="151">
        <v>40607.532261281252</v>
      </c>
      <c r="O7" s="4">
        <v>-7</v>
      </c>
      <c r="P7" s="4">
        <v>3</v>
      </c>
    </row>
    <row r="8" spans="1:16" x14ac:dyDescent="0.25">
      <c r="A8" s="144">
        <v>40599.083333333336</v>
      </c>
      <c r="B8" s="5">
        <v>-5</v>
      </c>
      <c r="C8" s="5">
        <v>1100285</v>
      </c>
      <c r="D8" s="5" t="s">
        <v>1311</v>
      </c>
      <c r="E8" s="5" t="s">
        <v>116</v>
      </c>
      <c r="F8" s="5" t="s">
        <v>1524</v>
      </c>
      <c r="G8" s="5" t="s">
        <v>1385</v>
      </c>
      <c r="H8" s="5">
        <v>8.01</v>
      </c>
      <c r="I8" s="5">
        <v>251</v>
      </c>
      <c r="J8" s="5">
        <v>2.0830000000000002</v>
      </c>
      <c r="K8" s="5">
        <v>1048.0607990000001</v>
      </c>
      <c r="L8" s="5">
        <v>3.3733</v>
      </c>
      <c r="M8" s="5"/>
      <c r="N8" s="151">
        <v>40616.972511597436</v>
      </c>
      <c r="O8" s="4">
        <v>-7</v>
      </c>
      <c r="P8" s="4">
        <v>3</v>
      </c>
    </row>
    <row r="9" spans="1:16" x14ac:dyDescent="0.25">
      <c r="A9" s="144">
        <v>40599.208333333336</v>
      </c>
      <c r="B9" s="5">
        <v>-5</v>
      </c>
      <c r="C9" s="5">
        <v>1100286</v>
      </c>
      <c r="D9" s="5" t="s">
        <v>1311</v>
      </c>
      <c r="E9" s="5" t="s">
        <v>116</v>
      </c>
      <c r="F9" s="5" t="s">
        <v>1524</v>
      </c>
      <c r="G9" s="5" t="s">
        <v>1385</v>
      </c>
      <c r="H9" s="5">
        <v>8.06</v>
      </c>
      <c r="I9" s="5">
        <v>208</v>
      </c>
      <c r="J9" s="5">
        <v>5</v>
      </c>
      <c r="K9" s="5">
        <v>876.4265676</v>
      </c>
      <c r="L9" s="5">
        <v>2.5247999999999999</v>
      </c>
      <c r="M9" s="5"/>
      <c r="N9" s="151">
        <v>40607.245090963544</v>
      </c>
      <c r="O9" s="4">
        <v>-7</v>
      </c>
      <c r="P9" s="4">
        <v>1</v>
      </c>
    </row>
    <row r="10" spans="1:16" x14ac:dyDescent="0.25">
      <c r="A10" s="144">
        <v>40599.291666666664</v>
      </c>
      <c r="B10" s="5">
        <v>-5</v>
      </c>
      <c r="C10" s="5">
        <v>1100287</v>
      </c>
      <c r="D10" s="5" t="s">
        <v>1311</v>
      </c>
      <c r="E10" s="5" t="s">
        <v>116</v>
      </c>
      <c r="F10" s="5" t="s">
        <v>1524</v>
      </c>
      <c r="G10" s="5" t="s">
        <v>1385</v>
      </c>
      <c r="H10" s="5">
        <v>7.66</v>
      </c>
      <c r="I10" s="5">
        <v>164.4</v>
      </c>
      <c r="J10" s="5">
        <v>7.36</v>
      </c>
      <c r="K10" s="5">
        <v>662.40524430000005</v>
      </c>
      <c r="L10" s="5">
        <v>1.7345999999999999</v>
      </c>
      <c r="M10" s="5"/>
      <c r="N10" s="151">
        <v>40604.300779554214</v>
      </c>
      <c r="O10" s="4">
        <v>-7</v>
      </c>
      <c r="P10" s="4">
        <v>2</v>
      </c>
    </row>
    <row r="11" spans="1:16" x14ac:dyDescent="0.25">
      <c r="A11" s="144">
        <v>40599.375</v>
      </c>
      <c r="B11" s="5">
        <v>-5</v>
      </c>
      <c r="C11" s="5">
        <v>1100288</v>
      </c>
      <c r="D11" s="5" t="s">
        <v>1311</v>
      </c>
      <c r="E11" s="5" t="s">
        <v>116</v>
      </c>
      <c r="F11" s="5" t="s">
        <v>1524</v>
      </c>
      <c r="G11" s="5" t="s">
        <v>1385</v>
      </c>
      <c r="H11" s="5">
        <v>7.58</v>
      </c>
      <c r="I11" s="5" t="s">
        <v>1312</v>
      </c>
      <c r="J11" s="5">
        <v>8.4930000000000003</v>
      </c>
      <c r="K11" s="5">
        <v>557.03741620000005</v>
      </c>
      <c r="L11" s="5">
        <v>1.3194999999999999</v>
      </c>
      <c r="M11" s="5"/>
      <c r="N11" s="151">
        <v>40611.731221810871</v>
      </c>
      <c r="O11" s="4">
        <v>-7</v>
      </c>
      <c r="P11" s="4">
        <v>1</v>
      </c>
    </row>
    <row r="12" spans="1:16" x14ac:dyDescent="0.25">
      <c r="A12" s="144">
        <v>40599.416666666664</v>
      </c>
      <c r="B12" s="5">
        <v>-5</v>
      </c>
      <c r="C12" s="5">
        <v>1100289</v>
      </c>
      <c r="D12" s="5" t="s">
        <v>1311</v>
      </c>
      <c r="E12" s="5" t="s">
        <v>116</v>
      </c>
      <c r="F12" s="5" t="s">
        <v>1524</v>
      </c>
      <c r="G12" s="5" t="s">
        <v>1385</v>
      </c>
      <c r="H12" s="5">
        <v>7.58</v>
      </c>
      <c r="I12" s="5">
        <v>119.9</v>
      </c>
      <c r="J12" s="5">
        <v>8.5069999999999997</v>
      </c>
      <c r="K12" s="5">
        <v>511.9874337</v>
      </c>
      <c r="L12" s="5">
        <v>1.32</v>
      </c>
      <c r="M12" s="5"/>
      <c r="N12" s="151">
        <v>40612.518211079441</v>
      </c>
      <c r="O12" s="4">
        <v>-7</v>
      </c>
      <c r="P12" s="4">
        <v>3</v>
      </c>
    </row>
    <row r="13" spans="1:16" x14ac:dyDescent="0.25">
      <c r="A13" s="144">
        <v>40599.5</v>
      </c>
      <c r="B13" s="5">
        <v>-5</v>
      </c>
      <c r="C13" s="5">
        <v>1100290</v>
      </c>
      <c r="D13" s="5" t="s">
        <v>1311</v>
      </c>
      <c r="E13" s="5" t="s">
        <v>116</v>
      </c>
      <c r="F13" s="5" t="s">
        <v>1524</v>
      </c>
      <c r="G13" s="5" t="s">
        <v>1385</v>
      </c>
      <c r="H13" s="5">
        <v>7.47</v>
      </c>
      <c r="I13" s="5">
        <v>116.2</v>
      </c>
      <c r="J13" s="5">
        <v>8.5730000000000004</v>
      </c>
      <c r="K13" s="5">
        <v>502.02469350000001</v>
      </c>
      <c r="L13" s="5">
        <v>1.2861</v>
      </c>
      <c r="M13" s="5"/>
      <c r="N13" s="151">
        <v>40607.204652623506</v>
      </c>
      <c r="O13" s="4">
        <v>-7</v>
      </c>
      <c r="P13" s="4">
        <v>2</v>
      </c>
    </row>
    <row r="14" spans="1:16" x14ac:dyDescent="0.25">
      <c r="A14" s="144">
        <v>40599.583333333336</v>
      </c>
      <c r="B14" s="5">
        <v>-5</v>
      </c>
      <c r="C14" s="5">
        <v>1100291</v>
      </c>
      <c r="D14" s="5" t="s">
        <v>1311</v>
      </c>
      <c r="E14" s="5" t="s">
        <v>116</v>
      </c>
      <c r="F14" s="5" t="s">
        <v>1524</v>
      </c>
      <c r="G14" s="5" t="s">
        <v>1385</v>
      </c>
      <c r="H14" s="5">
        <v>7.88</v>
      </c>
      <c r="I14" s="5">
        <v>226</v>
      </c>
      <c r="J14" s="5">
        <v>8.0399999999999991</v>
      </c>
      <c r="K14" s="5">
        <v>548.43289770000001</v>
      </c>
      <c r="L14" s="5">
        <v>1.4149</v>
      </c>
      <c r="M14" s="5"/>
      <c r="N14" s="151">
        <v>40611.302246341998</v>
      </c>
      <c r="O14" s="4">
        <v>-7</v>
      </c>
      <c r="P14" s="4">
        <v>1</v>
      </c>
    </row>
    <row r="15" spans="1:16" x14ac:dyDescent="0.25">
      <c r="A15" s="144">
        <v>40599.666666666664</v>
      </c>
      <c r="B15" s="5">
        <v>-5</v>
      </c>
      <c r="C15" s="5">
        <v>1100292</v>
      </c>
      <c r="D15" s="5" t="s">
        <v>1311</v>
      </c>
      <c r="E15" s="5" t="s">
        <v>116</v>
      </c>
      <c r="F15" s="5" t="s">
        <v>1524</v>
      </c>
      <c r="G15" s="5" t="s">
        <v>1385</v>
      </c>
      <c r="H15" s="5">
        <v>7.62</v>
      </c>
      <c r="I15" s="5">
        <v>135.5</v>
      </c>
      <c r="J15" s="5">
        <v>8.3729999999999993</v>
      </c>
      <c r="K15" s="5">
        <v>586.1183522</v>
      </c>
      <c r="L15" s="5">
        <v>1.5511999999999999</v>
      </c>
      <c r="M15" s="5"/>
      <c r="N15" s="151">
        <v>40614.470797868868</v>
      </c>
      <c r="O15" s="4">
        <v>-7</v>
      </c>
      <c r="P15" s="4">
        <v>2</v>
      </c>
    </row>
    <row r="16" spans="1:16" x14ac:dyDescent="0.25">
      <c r="A16" s="144">
        <v>40599.958333333336</v>
      </c>
      <c r="B16" s="5">
        <v>-5</v>
      </c>
      <c r="C16" s="5">
        <v>1100293</v>
      </c>
      <c r="D16" s="5" t="s">
        <v>1311</v>
      </c>
      <c r="E16" s="5" t="s">
        <v>116</v>
      </c>
      <c r="F16" s="5" t="s">
        <v>1524</v>
      </c>
      <c r="G16" s="5" t="s">
        <v>1385</v>
      </c>
      <c r="H16" s="5">
        <v>7.72</v>
      </c>
      <c r="I16" s="5">
        <v>183.5</v>
      </c>
      <c r="J16" s="5">
        <v>2.5830000000000002</v>
      </c>
      <c r="K16" s="5">
        <v>813.35728510000001</v>
      </c>
      <c r="L16" s="5">
        <v>2.3633000000000002</v>
      </c>
      <c r="M16" s="5"/>
      <c r="N16" s="151">
        <v>40603.078482270379</v>
      </c>
      <c r="O16" s="4">
        <v>-7</v>
      </c>
      <c r="P16" s="4">
        <v>1</v>
      </c>
    </row>
    <row r="17" spans="1:16" x14ac:dyDescent="0.25">
      <c r="A17" s="144">
        <v>40600.583333333336</v>
      </c>
      <c r="B17" s="5">
        <v>-5</v>
      </c>
      <c r="C17" s="5">
        <v>1100294</v>
      </c>
      <c r="D17" s="5" t="s">
        <v>1311</v>
      </c>
      <c r="E17" s="5" t="s">
        <v>116</v>
      </c>
      <c r="F17" s="5" t="s">
        <v>1524</v>
      </c>
      <c r="G17" s="5" t="s">
        <v>1385</v>
      </c>
      <c r="H17" s="5">
        <v>7.61</v>
      </c>
      <c r="I17" s="5">
        <v>129.19999999999999</v>
      </c>
      <c r="J17" s="5">
        <v>1.0549999999999999</v>
      </c>
      <c r="K17" s="5">
        <v>983.39860940000005</v>
      </c>
      <c r="L17" s="5">
        <v>3.1939000000000002</v>
      </c>
      <c r="M17" s="5"/>
      <c r="N17" s="151">
        <v>40618.401041504629</v>
      </c>
      <c r="O17" s="4">
        <v>-7</v>
      </c>
      <c r="P17" s="4">
        <v>3</v>
      </c>
    </row>
    <row r="18" spans="1:16" x14ac:dyDescent="0.25">
      <c r="A18" s="144">
        <v>40604.544444444444</v>
      </c>
      <c r="B18" s="5">
        <v>-5</v>
      </c>
      <c r="C18" s="5">
        <v>1100338</v>
      </c>
      <c r="D18" s="5" t="s">
        <v>1308</v>
      </c>
      <c r="E18" s="5" t="s">
        <v>110</v>
      </c>
      <c r="F18" s="5" t="s">
        <v>1523</v>
      </c>
      <c r="G18" s="5" t="s">
        <v>1293</v>
      </c>
      <c r="H18" s="5">
        <v>6.91</v>
      </c>
      <c r="I18" s="5">
        <v>209</v>
      </c>
      <c r="J18" s="5">
        <v>1.413</v>
      </c>
      <c r="K18" s="5">
        <v>1242.0578230000001</v>
      </c>
      <c r="L18" s="5">
        <v>3.4064000000000001</v>
      </c>
      <c r="M18" s="5"/>
      <c r="N18" s="151">
        <v>40614.045845639965</v>
      </c>
      <c r="O18" s="4">
        <v>-7</v>
      </c>
      <c r="P18" s="4">
        <v>3</v>
      </c>
    </row>
    <row r="19" spans="1:16" x14ac:dyDescent="0.25">
      <c r="A19" s="144">
        <v>40608.416666666664</v>
      </c>
      <c r="B19" s="5">
        <v>-5</v>
      </c>
      <c r="C19" s="5">
        <v>1100356</v>
      </c>
      <c r="D19" s="5" t="s">
        <v>1311</v>
      </c>
      <c r="E19" s="5" t="s">
        <v>116</v>
      </c>
      <c r="F19" s="5" t="s">
        <v>1524</v>
      </c>
      <c r="G19" s="5" t="s">
        <v>1385</v>
      </c>
      <c r="H19" s="5">
        <v>7.6</v>
      </c>
      <c r="I19" s="5">
        <v>218</v>
      </c>
      <c r="J19" s="5">
        <v>2.3540000000000001</v>
      </c>
      <c r="K19" s="5"/>
      <c r="L19" s="5">
        <v>3.8839000000000001</v>
      </c>
      <c r="M19" s="5"/>
      <c r="N19" s="151">
        <v>40624.385812519162</v>
      </c>
      <c r="O19" s="4">
        <v>-7</v>
      </c>
      <c r="P19" s="4">
        <v>2</v>
      </c>
    </row>
    <row r="20" spans="1:16" x14ac:dyDescent="0.25">
      <c r="A20" s="144">
        <v>40608.541666666664</v>
      </c>
      <c r="B20" s="5">
        <v>-5</v>
      </c>
      <c r="C20" s="5">
        <v>1100357</v>
      </c>
      <c r="D20" s="5" t="s">
        <v>1311</v>
      </c>
      <c r="E20" s="5" t="s">
        <v>116</v>
      </c>
      <c r="F20" s="5" t="s">
        <v>1524</v>
      </c>
      <c r="G20" s="5" t="s">
        <v>1385</v>
      </c>
      <c r="H20" s="5">
        <v>7.38</v>
      </c>
      <c r="I20" s="5">
        <v>212</v>
      </c>
      <c r="J20" s="5">
        <v>3.0190000000000001</v>
      </c>
      <c r="K20" s="5"/>
      <c r="L20" s="5">
        <v>3.6581999999999999</v>
      </c>
      <c r="M20" s="5"/>
      <c r="N20" s="151">
        <v>40626.019938927777</v>
      </c>
      <c r="O20" s="4">
        <v>-7</v>
      </c>
      <c r="P20" s="4">
        <v>1</v>
      </c>
    </row>
    <row r="21" spans="1:16" x14ac:dyDescent="0.25">
      <c r="A21" s="144">
        <v>40608.729166666664</v>
      </c>
      <c r="B21" s="5">
        <v>-5</v>
      </c>
      <c r="C21" s="5">
        <v>1100358</v>
      </c>
      <c r="D21" s="5" t="s">
        <v>1311</v>
      </c>
      <c r="E21" s="5" t="s">
        <v>116</v>
      </c>
      <c r="F21" s="5" t="s">
        <v>1524</v>
      </c>
      <c r="G21" s="5" t="s">
        <v>1385</v>
      </c>
      <c r="H21" s="5">
        <v>7.39</v>
      </c>
      <c r="I21" s="5">
        <v>168.3</v>
      </c>
      <c r="J21" s="5">
        <v>6.0880000000000001</v>
      </c>
      <c r="K21" s="5"/>
      <c r="L21" s="5">
        <v>2.7576000000000001</v>
      </c>
      <c r="M21" s="5"/>
      <c r="N21" s="151">
        <v>40623.992939931268</v>
      </c>
      <c r="O21" s="4">
        <v>-7</v>
      </c>
      <c r="P21" s="4">
        <v>0</v>
      </c>
    </row>
    <row r="22" spans="1:16" x14ac:dyDescent="0.25">
      <c r="A22" s="144">
        <v>40608.791666666664</v>
      </c>
      <c r="B22" s="5">
        <v>-5</v>
      </c>
      <c r="C22" s="5">
        <v>1100359</v>
      </c>
      <c r="D22" s="5" t="s">
        <v>1311</v>
      </c>
      <c r="E22" s="5" t="s">
        <v>116</v>
      </c>
      <c r="F22" s="5" t="s">
        <v>1524</v>
      </c>
      <c r="G22" s="5" t="s">
        <v>1385</v>
      </c>
      <c r="H22" s="5">
        <v>7.31</v>
      </c>
      <c r="I22" s="5">
        <v>129.80000000000001</v>
      </c>
      <c r="J22" s="5">
        <v>8.4079999999999995</v>
      </c>
      <c r="K22" s="5"/>
      <c r="L22" s="5">
        <v>1.9297</v>
      </c>
      <c r="M22" s="5"/>
      <c r="N22" s="151">
        <v>40615.883817576447</v>
      </c>
      <c r="O22" s="4">
        <v>-7</v>
      </c>
      <c r="P22" s="4">
        <v>1</v>
      </c>
    </row>
    <row r="23" spans="1:16" x14ac:dyDescent="0.25">
      <c r="A23" s="144">
        <v>40608.854166666664</v>
      </c>
      <c r="B23" s="5">
        <v>-5</v>
      </c>
      <c r="C23" s="5">
        <v>1100360</v>
      </c>
      <c r="D23" s="5" t="s">
        <v>1311</v>
      </c>
      <c r="E23" s="5" t="s">
        <v>116</v>
      </c>
      <c r="F23" s="5" t="s">
        <v>1524</v>
      </c>
      <c r="G23" s="5" t="s">
        <v>1385</v>
      </c>
      <c r="H23" s="5">
        <v>7.08</v>
      </c>
      <c r="I23" s="5">
        <v>105.5</v>
      </c>
      <c r="J23" s="5">
        <v>9.7919999999999998</v>
      </c>
      <c r="K23" s="5"/>
      <c r="L23" s="5">
        <v>1.9088000000000001</v>
      </c>
      <c r="M23" s="5"/>
      <c r="N23" s="151">
        <v>40623.450602882876</v>
      </c>
      <c r="O23" s="4">
        <v>-7</v>
      </c>
      <c r="P23" s="4">
        <v>0</v>
      </c>
    </row>
    <row r="24" spans="1:16" x14ac:dyDescent="0.25">
      <c r="A24" s="144">
        <v>40608.916666666664</v>
      </c>
      <c r="B24" s="5">
        <v>-5</v>
      </c>
      <c r="C24" s="5">
        <v>1100361</v>
      </c>
      <c r="D24" s="5" t="s">
        <v>1311</v>
      </c>
      <c r="E24" s="5" t="s">
        <v>116</v>
      </c>
      <c r="F24" s="5" t="s">
        <v>1524</v>
      </c>
      <c r="G24" s="5" t="s">
        <v>1385</v>
      </c>
      <c r="H24" s="5">
        <v>7.24</v>
      </c>
      <c r="I24" s="5">
        <v>96.3</v>
      </c>
      <c r="J24" s="5">
        <v>9.52</v>
      </c>
      <c r="K24" s="5"/>
      <c r="L24" s="5">
        <v>0.99550000000000005</v>
      </c>
      <c r="M24" s="5"/>
      <c r="N24" s="151">
        <v>40626.950431386307</v>
      </c>
      <c r="O24" s="4">
        <v>-7</v>
      </c>
      <c r="P24" s="4">
        <v>3</v>
      </c>
    </row>
    <row r="25" spans="1:16" x14ac:dyDescent="0.25">
      <c r="A25" s="144">
        <v>40608.979166666664</v>
      </c>
      <c r="B25" s="5">
        <v>-5</v>
      </c>
      <c r="C25" s="5">
        <v>1100362</v>
      </c>
      <c r="D25" s="5" t="s">
        <v>1311</v>
      </c>
      <c r="E25" s="5" t="s">
        <v>116</v>
      </c>
      <c r="F25" s="5" t="s">
        <v>1524</v>
      </c>
      <c r="G25" s="5" t="s">
        <v>1385</v>
      </c>
      <c r="H25" s="5">
        <v>7.22</v>
      </c>
      <c r="I25" s="5">
        <v>97.6</v>
      </c>
      <c r="J25" s="5">
        <v>9.3360000000000003</v>
      </c>
      <c r="K25" s="5"/>
      <c r="L25" s="5">
        <v>1.0399</v>
      </c>
      <c r="M25" s="5"/>
      <c r="N25" s="151">
        <v>40618.693266176902</v>
      </c>
      <c r="O25" s="4">
        <v>-7</v>
      </c>
      <c r="P25" s="4">
        <v>3</v>
      </c>
    </row>
    <row r="26" spans="1:16" x14ac:dyDescent="0.25">
      <c r="A26" s="144">
        <v>40609.104166666664</v>
      </c>
      <c r="B26" s="5">
        <v>-5</v>
      </c>
      <c r="C26" s="5">
        <v>1100363</v>
      </c>
      <c r="D26" s="5" t="s">
        <v>1311</v>
      </c>
      <c r="E26" s="5" t="s">
        <v>116</v>
      </c>
      <c r="F26" s="5" t="s">
        <v>1524</v>
      </c>
      <c r="G26" s="5" t="s">
        <v>1385</v>
      </c>
      <c r="H26" s="5">
        <v>7.25</v>
      </c>
      <c r="I26" s="5">
        <v>98.9</v>
      </c>
      <c r="J26" s="5">
        <v>8.952</v>
      </c>
      <c r="K26" s="5"/>
      <c r="L26" s="5">
        <v>1.0528999999999999</v>
      </c>
      <c r="M26" s="5"/>
      <c r="N26" s="151">
        <v>40626.784457301794</v>
      </c>
      <c r="O26" s="4">
        <v>-7</v>
      </c>
      <c r="P26" s="4">
        <v>3</v>
      </c>
    </row>
    <row r="27" spans="1:16" x14ac:dyDescent="0.25">
      <c r="A27" s="144">
        <v>40609.166666666664</v>
      </c>
      <c r="B27" s="5">
        <v>-4</v>
      </c>
      <c r="C27" s="5">
        <v>1100364</v>
      </c>
      <c r="D27" s="5" t="s">
        <v>1311</v>
      </c>
      <c r="E27" s="5" t="s">
        <v>116</v>
      </c>
      <c r="F27" s="5" t="s">
        <v>1524</v>
      </c>
      <c r="G27" s="5" t="s">
        <v>1385</v>
      </c>
      <c r="H27" s="5">
        <v>7.02</v>
      </c>
      <c r="I27" s="5">
        <v>106.4</v>
      </c>
      <c r="J27" s="5">
        <v>8.4960000000000004</v>
      </c>
      <c r="K27" s="5"/>
      <c r="L27" s="5">
        <v>1.1631</v>
      </c>
      <c r="M27" s="5"/>
      <c r="N27" s="151">
        <v>40622.495085836148</v>
      </c>
      <c r="O27" s="4">
        <v>-7</v>
      </c>
      <c r="P27" s="4">
        <v>1</v>
      </c>
    </row>
    <row r="28" spans="1:16" x14ac:dyDescent="0.25">
      <c r="A28" s="144">
        <v>40609.229166666664</v>
      </c>
      <c r="B28" s="5">
        <v>-5</v>
      </c>
      <c r="C28" s="5">
        <v>1100365</v>
      </c>
      <c r="D28" s="5" t="s">
        <v>1311</v>
      </c>
      <c r="E28" s="5" t="s">
        <v>116</v>
      </c>
      <c r="F28" s="5" t="s">
        <v>1524</v>
      </c>
      <c r="G28" s="5" t="s">
        <v>1385</v>
      </c>
      <c r="H28" s="5">
        <v>7.28</v>
      </c>
      <c r="I28" s="5">
        <v>117.5</v>
      </c>
      <c r="J28" s="5">
        <v>7.8959999999999999</v>
      </c>
      <c r="K28" s="5"/>
      <c r="L28" s="5">
        <v>1.3868</v>
      </c>
      <c r="M28" s="5"/>
      <c r="N28" s="151">
        <v>40623.455663221474</v>
      </c>
      <c r="O28" s="4">
        <v>-7</v>
      </c>
      <c r="P28" s="4">
        <v>2</v>
      </c>
    </row>
    <row r="29" spans="1:16" x14ac:dyDescent="0.25">
      <c r="A29" s="144">
        <v>40609.291666666664</v>
      </c>
      <c r="B29" s="5">
        <v>-5</v>
      </c>
      <c r="C29" s="5">
        <v>1100366</v>
      </c>
      <c r="D29" s="5" t="s">
        <v>1311</v>
      </c>
      <c r="E29" s="5" t="s">
        <v>116</v>
      </c>
      <c r="F29" s="5" t="s">
        <v>1524</v>
      </c>
      <c r="G29" s="5" t="s">
        <v>1385</v>
      </c>
      <c r="H29" s="5">
        <v>7.34</v>
      </c>
      <c r="I29" s="5">
        <v>129.1</v>
      </c>
      <c r="J29" s="5">
        <v>7.5759999999999996</v>
      </c>
      <c r="K29" s="5"/>
      <c r="L29" s="5">
        <v>1.6222000000000001</v>
      </c>
      <c r="M29" s="5"/>
      <c r="N29" s="151">
        <v>40623.940740197475</v>
      </c>
      <c r="O29" s="4">
        <v>-7</v>
      </c>
      <c r="P29" s="4">
        <v>3</v>
      </c>
    </row>
    <row r="30" spans="1:16" x14ac:dyDescent="0.25">
      <c r="A30" s="144">
        <v>40609.479166666664</v>
      </c>
      <c r="B30" s="5">
        <v>-5</v>
      </c>
      <c r="C30" s="5">
        <v>1100367</v>
      </c>
      <c r="D30" s="5" t="s">
        <v>1311</v>
      </c>
      <c r="E30" s="5" t="s">
        <v>116</v>
      </c>
      <c r="F30" s="5" t="s">
        <v>1524</v>
      </c>
      <c r="G30" s="5" t="s">
        <v>1385</v>
      </c>
      <c r="H30" s="5">
        <v>7.43</v>
      </c>
      <c r="I30" s="5">
        <v>162.69999999999999</v>
      </c>
      <c r="J30" s="5">
        <v>5.7039999999999997</v>
      </c>
      <c r="K30" s="5"/>
      <c r="L30" s="5">
        <v>2.1259000000000001</v>
      </c>
      <c r="M30" s="5"/>
      <c r="N30" s="151">
        <v>40609.580170653011</v>
      </c>
      <c r="O30" s="4">
        <v>-7</v>
      </c>
      <c r="P30" s="4">
        <v>1</v>
      </c>
    </row>
    <row r="31" spans="1:16" x14ac:dyDescent="0.25">
      <c r="A31" s="144">
        <v>40616.699999999997</v>
      </c>
      <c r="B31" s="5">
        <v>-4</v>
      </c>
      <c r="C31" s="5">
        <v>1100429</v>
      </c>
      <c r="D31" s="5" t="s">
        <v>1309</v>
      </c>
      <c r="E31" s="5" t="s">
        <v>110</v>
      </c>
      <c r="F31" s="5" t="s">
        <v>1523</v>
      </c>
      <c r="G31" s="5" t="s">
        <v>1293</v>
      </c>
      <c r="H31" s="5">
        <v>6.73</v>
      </c>
      <c r="I31" s="5">
        <v>480</v>
      </c>
      <c r="J31" s="5"/>
      <c r="K31" s="5"/>
      <c r="L31" s="5">
        <v>6.6341999999999999</v>
      </c>
      <c r="M31" s="5"/>
      <c r="N31" s="151">
        <v>40632.042142604318</v>
      </c>
      <c r="O31" s="4">
        <v>-7</v>
      </c>
      <c r="P31" s="4">
        <v>3</v>
      </c>
    </row>
    <row r="32" spans="1:16" x14ac:dyDescent="0.25">
      <c r="A32" s="144">
        <v>40616.71597222222</v>
      </c>
      <c r="B32" s="5">
        <v>-4</v>
      </c>
      <c r="C32" s="5">
        <v>1100430</v>
      </c>
      <c r="D32" s="5" t="s">
        <v>1310</v>
      </c>
      <c r="E32" s="5" t="s">
        <v>110</v>
      </c>
      <c r="F32" s="5" t="s">
        <v>1523</v>
      </c>
      <c r="G32" s="5" t="s">
        <v>1293</v>
      </c>
      <c r="H32" s="5">
        <v>7.14</v>
      </c>
      <c r="I32" s="5">
        <v>346</v>
      </c>
      <c r="J32" s="5"/>
      <c r="K32" s="5"/>
      <c r="L32" s="5">
        <v>9.3011999999999997</v>
      </c>
      <c r="M32" s="5"/>
      <c r="N32" s="151">
        <v>40624.8397050809</v>
      </c>
      <c r="O32" s="4">
        <v>-7</v>
      </c>
      <c r="P32" s="4">
        <v>4</v>
      </c>
    </row>
    <row r="33" spans="1:16" x14ac:dyDescent="0.25">
      <c r="A33" s="144">
        <v>40639.62777777778</v>
      </c>
      <c r="B33" s="5">
        <v>-4</v>
      </c>
      <c r="C33" s="5">
        <v>1100553</v>
      </c>
      <c r="D33" s="5" t="s">
        <v>1308</v>
      </c>
      <c r="E33" s="5" t="s">
        <v>110</v>
      </c>
      <c r="F33" s="5" t="s">
        <v>1523</v>
      </c>
      <c r="G33" s="5" t="s">
        <v>1293</v>
      </c>
      <c r="H33" s="5">
        <v>6.99</v>
      </c>
      <c r="I33" s="5">
        <v>202</v>
      </c>
      <c r="J33" s="5">
        <v>1.4970000000000001</v>
      </c>
      <c r="K33" s="5">
        <v>1208.0464910000001</v>
      </c>
      <c r="L33" s="5">
        <v>3.2324000000000002</v>
      </c>
      <c r="M33" s="5"/>
      <c r="N33" s="151">
        <v>40649.747209237968</v>
      </c>
      <c r="O33" s="4">
        <v>-7</v>
      </c>
      <c r="P33" s="4">
        <v>1</v>
      </c>
    </row>
    <row r="34" spans="1:16" x14ac:dyDescent="0.25">
      <c r="A34" s="144">
        <v>40644.600694444445</v>
      </c>
      <c r="B34" s="5">
        <v>-4</v>
      </c>
      <c r="C34" s="5">
        <v>1100563</v>
      </c>
      <c r="D34" s="5" t="s">
        <v>1309</v>
      </c>
      <c r="E34" s="5" t="s">
        <v>110</v>
      </c>
      <c r="F34" s="5" t="s">
        <v>1523</v>
      </c>
      <c r="G34" s="5" t="s">
        <v>1293</v>
      </c>
      <c r="H34" s="5">
        <v>6.92</v>
      </c>
      <c r="I34" s="5">
        <v>291</v>
      </c>
      <c r="J34" s="5"/>
      <c r="K34" s="5"/>
      <c r="L34" s="5">
        <v>2.7702</v>
      </c>
      <c r="M34" s="5"/>
      <c r="N34" s="151">
        <v>40650.724767898071</v>
      </c>
      <c r="O34" s="4">
        <v>-7</v>
      </c>
      <c r="P34" s="4">
        <v>1</v>
      </c>
    </row>
    <row r="35" spans="1:16" x14ac:dyDescent="0.25">
      <c r="A35" s="144">
        <v>40644.681250000001</v>
      </c>
      <c r="B35" s="5">
        <v>-4</v>
      </c>
      <c r="C35" s="5">
        <v>1100564</v>
      </c>
      <c r="D35" s="5" t="s">
        <v>1310</v>
      </c>
      <c r="E35" s="5" t="s">
        <v>110</v>
      </c>
      <c r="F35" s="5" t="s">
        <v>1523</v>
      </c>
      <c r="G35" s="5" t="s">
        <v>1293</v>
      </c>
      <c r="H35" s="5">
        <v>7.48</v>
      </c>
      <c r="I35" s="5">
        <v>369</v>
      </c>
      <c r="J35" s="5"/>
      <c r="K35" s="5"/>
      <c r="L35" s="5">
        <v>8.9138999999999999</v>
      </c>
      <c r="M35" s="5"/>
      <c r="N35" s="151">
        <v>40645.431481247731</v>
      </c>
      <c r="O35" s="4">
        <v>-7</v>
      </c>
      <c r="P35" s="4">
        <v>1</v>
      </c>
    </row>
    <row r="36" spans="1:16" x14ac:dyDescent="0.25">
      <c r="A36" s="144">
        <v>40646</v>
      </c>
      <c r="B36" s="5">
        <v>-4</v>
      </c>
      <c r="C36" s="5">
        <v>1100585</v>
      </c>
      <c r="D36" s="5" t="s">
        <v>1311</v>
      </c>
      <c r="E36" s="5" t="s">
        <v>116</v>
      </c>
      <c r="F36" s="5" t="s">
        <v>1524</v>
      </c>
      <c r="G36" s="5" t="s">
        <v>1385</v>
      </c>
      <c r="H36" s="5">
        <v>7.32</v>
      </c>
      <c r="I36" s="5">
        <v>150</v>
      </c>
      <c r="J36" s="5">
        <v>7.92</v>
      </c>
      <c r="K36" s="5"/>
      <c r="L36" s="5">
        <v>1.5913999999999999</v>
      </c>
      <c r="M36" s="5"/>
      <c r="N36" s="151">
        <v>40661.33402821199</v>
      </c>
      <c r="O36" s="4">
        <v>-7</v>
      </c>
      <c r="P36" s="4">
        <v>1</v>
      </c>
    </row>
    <row r="37" spans="1:16" x14ac:dyDescent="0.25">
      <c r="A37" s="144">
        <v>40646.041666666664</v>
      </c>
      <c r="B37" s="5">
        <v>-4</v>
      </c>
      <c r="C37" s="5">
        <v>1100586</v>
      </c>
      <c r="D37" s="5" t="s">
        <v>1311</v>
      </c>
      <c r="E37" s="5" t="s">
        <v>116</v>
      </c>
      <c r="F37" s="5" t="s">
        <v>1524</v>
      </c>
      <c r="G37" s="5" t="s">
        <v>1385</v>
      </c>
      <c r="H37" s="5">
        <v>7.09</v>
      </c>
      <c r="I37" s="5">
        <v>144.6</v>
      </c>
      <c r="J37" s="5">
        <v>7.3129999999999997</v>
      </c>
      <c r="K37" s="5"/>
      <c r="L37" s="5">
        <v>1.4036999999999999</v>
      </c>
      <c r="M37" s="5"/>
      <c r="N37" s="151">
        <v>40654.776613342307</v>
      </c>
      <c r="O37" s="4">
        <v>-7</v>
      </c>
      <c r="P37" s="4">
        <v>1</v>
      </c>
    </row>
    <row r="38" spans="1:16" x14ac:dyDescent="0.25">
      <c r="A38" s="144">
        <v>40646.083333333336</v>
      </c>
      <c r="B38" s="5">
        <v>-4</v>
      </c>
      <c r="C38" s="5">
        <v>1100587</v>
      </c>
      <c r="D38" s="5" t="s">
        <v>1311</v>
      </c>
      <c r="E38" s="5" t="s">
        <v>116</v>
      </c>
      <c r="F38" s="5" t="s">
        <v>1524</v>
      </c>
      <c r="G38" s="5" t="s">
        <v>1385</v>
      </c>
      <c r="H38" s="5">
        <v>7.23</v>
      </c>
      <c r="I38" s="5">
        <v>128.69999999999999</v>
      </c>
      <c r="J38" s="5">
        <v>8.61</v>
      </c>
      <c r="K38" s="5"/>
      <c r="L38" s="5">
        <v>1.1499999999999999</v>
      </c>
      <c r="M38" s="5"/>
      <c r="N38" s="151">
        <v>40649.954793010635</v>
      </c>
      <c r="O38" s="4">
        <v>-7</v>
      </c>
      <c r="P38" s="4">
        <v>2</v>
      </c>
    </row>
    <row r="39" spans="1:16" x14ac:dyDescent="0.25">
      <c r="A39" s="144">
        <v>40649.583333333336</v>
      </c>
      <c r="B39" s="5">
        <v>-4</v>
      </c>
      <c r="C39" s="5">
        <v>1100604</v>
      </c>
      <c r="D39" s="5" t="s">
        <v>1311</v>
      </c>
      <c r="E39" s="5" t="s">
        <v>116</v>
      </c>
      <c r="F39" s="5" t="s">
        <v>1524</v>
      </c>
      <c r="G39" s="5" t="s">
        <v>1385</v>
      </c>
      <c r="H39" s="5">
        <v>7.81</v>
      </c>
      <c r="I39" s="5">
        <v>215</v>
      </c>
      <c r="J39" s="5">
        <v>2.54</v>
      </c>
      <c r="K39" s="5">
        <v>1073.6165599999999</v>
      </c>
      <c r="L39" s="5">
        <v>3.0602999999999998</v>
      </c>
      <c r="M39" s="5"/>
      <c r="N39" s="151">
        <v>40669.003894740497</v>
      </c>
      <c r="O39" s="4">
        <v>-7</v>
      </c>
      <c r="P39" s="4">
        <v>2</v>
      </c>
    </row>
    <row r="40" spans="1:16" x14ac:dyDescent="0.25">
      <c r="A40" s="144">
        <v>40649.708333333336</v>
      </c>
      <c r="B40" s="5">
        <v>-4</v>
      </c>
      <c r="C40" s="5">
        <v>1100605</v>
      </c>
      <c r="D40" s="5" t="s">
        <v>1311</v>
      </c>
      <c r="E40" s="5" t="s">
        <v>116</v>
      </c>
      <c r="F40" s="5" t="s">
        <v>1524</v>
      </c>
      <c r="G40" s="5" t="s">
        <v>1385</v>
      </c>
      <c r="H40" s="5">
        <v>7.61</v>
      </c>
      <c r="I40" s="5">
        <v>145.5</v>
      </c>
      <c r="J40" s="5">
        <v>6.68</v>
      </c>
      <c r="K40" s="5">
        <v>784.68093480000005</v>
      </c>
      <c r="L40" s="5">
        <v>1.4238999999999999</v>
      </c>
      <c r="M40" s="5"/>
      <c r="N40" s="151">
        <v>40669.604099809643</v>
      </c>
      <c r="O40" s="4">
        <v>-7</v>
      </c>
      <c r="P40" s="4">
        <v>2</v>
      </c>
    </row>
    <row r="41" spans="1:16" x14ac:dyDescent="0.25">
      <c r="A41" s="144">
        <v>40649.791666666664</v>
      </c>
      <c r="B41" s="5">
        <v>-4</v>
      </c>
      <c r="C41" s="5">
        <v>1100606</v>
      </c>
      <c r="D41" s="5" t="s">
        <v>1311</v>
      </c>
      <c r="E41" s="5" t="s">
        <v>116</v>
      </c>
      <c r="F41" s="5" t="s">
        <v>1524</v>
      </c>
      <c r="G41" s="5" t="s">
        <v>1385</v>
      </c>
      <c r="H41" s="5">
        <v>7.39</v>
      </c>
      <c r="I41" s="5">
        <v>121.2</v>
      </c>
      <c r="J41" s="5">
        <v>7.88</v>
      </c>
      <c r="K41" s="5">
        <v>634.0302408</v>
      </c>
      <c r="L41" s="5">
        <v>0.97609999999999997</v>
      </c>
      <c r="M41" s="5"/>
      <c r="N41" s="151">
        <v>40653.642374759183</v>
      </c>
      <c r="O41" s="4">
        <v>-7</v>
      </c>
      <c r="P41" s="4">
        <v>2</v>
      </c>
    </row>
    <row r="42" spans="1:16" x14ac:dyDescent="0.25">
      <c r="A42" s="144">
        <v>40649.833333333336</v>
      </c>
      <c r="B42" s="5">
        <v>-4</v>
      </c>
      <c r="C42" s="5">
        <v>1100607</v>
      </c>
      <c r="D42" s="5" t="s">
        <v>1311</v>
      </c>
      <c r="E42" s="5" t="s">
        <v>116</v>
      </c>
      <c r="F42" s="5" t="s">
        <v>1524</v>
      </c>
      <c r="G42" s="5" t="s">
        <v>1385</v>
      </c>
      <c r="H42" s="5">
        <v>7.38</v>
      </c>
      <c r="I42" s="5">
        <v>107.1</v>
      </c>
      <c r="J42" s="5">
        <v>7.9729999999999999</v>
      </c>
      <c r="K42" s="5">
        <v>564.20489869999994</v>
      </c>
      <c r="L42" s="5">
        <v>0.87139999999999995</v>
      </c>
      <c r="M42" s="5"/>
      <c r="N42" s="151">
        <v>40665.285737468228</v>
      </c>
      <c r="O42" s="4">
        <v>-7</v>
      </c>
      <c r="P42" s="4">
        <v>2</v>
      </c>
    </row>
    <row r="43" spans="1:16" x14ac:dyDescent="0.25">
      <c r="A43" s="144">
        <v>40649.875</v>
      </c>
      <c r="B43" s="5">
        <v>-4</v>
      </c>
      <c r="C43" s="5">
        <v>1100608</v>
      </c>
      <c r="D43" s="5" t="s">
        <v>1311</v>
      </c>
      <c r="E43" s="5" t="s">
        <v>116</v>
      </c>
      <c r="F43" s="5" t="s">
        <v>1524</v>
      </c>
      <c r="G43" s="5" t="s">
        <v>1385</v>
      </c>
      <c r="H43" s="5">
        <v>7.38</v>
      </c>
      <c r="I43" s="5">
        <v>91.8</v>
      </c>
      <c r="J43" s="5">
        <v>8.3469999999999995</v>
      </c>
      <c r="K43" s="5">
        <v>495.1921279</v>
      </c>
      <c r="L43" s="5">
        <v>0.6794</v>
      </c>
      <c r="M43" s="5"/>
      <c r="N43" s="151">
        <v>40663.229261495311</v>
      </c>
      <c r="O43" s="4">
        <v>-7</v>
      </c>
      <c r="P43" s="4">
        <v>2</v>
      </c>
    </row>
    <row r="44" spans="1:16" x14ac:dyDescent="0.25">
      <c r="A44" s="144">
        <v>40649.916666666664</v>
      </c>
      <c r="B44" s="5">
        <v>-4</v>
      </c>
      <c r="C44" s="5">
        <v>1100609</v>
      </c>
      <c r="D44" s="5" t="s">
        <v>1311</v>
      </c>
      <c r="E44" s="5" t="s">
        <v>116</v>
      </c>
      <c r="F44" s="5" t="s">
        <v>1524</v>
      </c>
      <c r="G44" s="5" t="s">
        <v>1385</v>
      </c>
      <c r="H44" s="5">
        <v>7.47</v>
      </c>
      <c r="I44" s="5">
        <v>98.1</v>
      </c>
      <c r="J44" s="5">
        <v>8.0399999999999991</v>
      </c>
      <c r="K44" s="5">
        <v>552.50751839999998</v>
      </c>
      <c r="L44" s="5">
        <v>0.83340000000000003</v>
      </c>
      <c r="M44" s="5"/>
      <c r="N44" s="151">
        <v>40652.023632691576</v>
      </c>
      <c r="O44" s="4">
        <v>-7</v>
      </c>
      <c r="P44" s="4">
        <v>3</v>
      </c>
    </row>
    <row r="45" spans="1:16" x14ac:dyDescent="0.25">
      <c r="A45" s="144">
        <v>40650.041666666664</v>
      </c>
      <c r="B45" s="5">
        <v>-4</v>
      </c>
      <c r="C45" s="5">
        <v>1100610</v>
      </c>
      <c r="D45" s="5" t="s">
        <v>1311</v>
      </c>
      <c r="E45" s="5" t="s">
        <v>116</v>
      </c>
      <c r="F45" s="5" t="s">
        <v>1524</v>
      </c>
      <c r="G45" s="5" t="s">
        <v>1385</v>
      </c>
      <c r="H45" s="5">
        <v>7.52</v>
      </c>
      <c r="I45" s="5">
        <v>106.8</v>
      </c>
      <c r="J45" s="5">
        <v>8.3330000000000002</v>
      </c>
      <c r="K45" s="5">
        <v>621.77133179999998</v>
      </c>
      <c r="L45" s="5">
        <v>0.94030000000000002</v>
      </c>
      <c r="M45" s="5"/>
      <c r="N45" s="151">
        <v>40654.395740116743</v>
      </c>
      <c r="O45" s="4">
        <v>-7</v>
      </c>
      <c r="P45" s="4">
        <v>3</v>
      </c>
    </row>
    <row r="46" spans="1:16" x14ac:dyDescent="0.25">
      <c r="A46" s="144">
        <v>40650.208333333336</v>
      </c>
      <c r="B46" s="5">
        <v>-4</v>
      </c>
      <c r="C46" s="5">
        <v>1100611</v>
      </c>
      <c r="D46" s="5" t="s">
        <v>1311</v>
      </c>
      <c r="E46" s="5" t="s">
        <v>116</v>
      </c>
      <c r="F46" s="5" t="s">
        <v>1524</v>
      </c>
      <c r="G46" s="5" t="s">
        <v>1385</v>
      </c>
      <c r="H46" s="5">
        <v>7.66</v>
      </c>
      <c r="I46" s="5">
        <v>137.69999999999999</v>
      </c>
      <c r="J46" s="5">
        <v>7.1470000000000002</v>
      </c>
      <c r="K46" s="5">
        <v>763.09591599999999</v>
      </c>
      <c r="L46" s="5">
        <v>1.4710000000000001</v>
      </c>
      <c r="M46" s="5"/>
      <c r="N46" s="151">
        <v>40650.327486555143</v>
      </c>
      <c r="O46" s="4">
        <v>-7</v>
      </c>
      <c r="P46" s="4">
        <v>2</v>
      </c>
    </row>
    <row r="47" spans="1:16" x14ac:dyDescent="0.25">
      <c r="A47" s="144">
        <v>40650.375</v>
      </c>
      <c r="B47" s="5">
        <v>-4</v>
      </c>
      <c r="C47" s="5">
        <v>1100612</v>
      </c>
      <c r="D47" s="5" t="s">
        <v>1311</v>
      </c>
      <c r="E47" s="5" t="s">
        <v>116</v>
      </c>
      <c r="F47" s="5" t="s">
        <v>1524</v>
      </c>
      <c r="G47" s="5" t="s">
        <v>1385</v>
      </c>
      <c r="H47" s="5">
        <v>7.75</v>
      </c>
      <c r="I47" s="5">
        <v>163.4</v>
      </c>
      <c r="J47" s="5">
        <v>5.32</v>
      </c>
      <c r="K47" s="5">
        <v>876.88048809999998</v>
      </c>
      <c r="L47" s="5">
        <v>1.9766999999999999</v>
      </c>
      <c r="M47" s="5"/>
      <c r="N47" s="151">
        <v>40663.065439717335</v>
      </c>
      <c r="O47" s="4">
        <v>-7</v>
      </c>
      <c r="P47" s="4">
        <v>2</v>
      </c>
    </row>
    <row r="48" spans="1:16" x14ac:dyDescent="0.25">
      <c r="A48" s="144">
        <v>40650.541666666664</v>
      </c>
      <c r="B48" s="5">
        <v>-4</v>
      </c>
      <c r="C48" s="5">
        <v>1100613</v>
      </c>
      <c r="D48" s="5" t="s">
        <v>1311</v>
      </c>
      <c r="E48" s="5" t="s">
        <v>116</v>
      </c>
      <c r="F48" s="5" t="s">
        <v>1524</v>
      </c>
      <c r="G48" s="5" t="s">
        <v>1385</v>
      </c>
      <c r="H48" s="5">
        <v>7.79</v>
      </c>
      <c r="I48" s="5">
        <v>180.7</v>
      </c>
      <c r="J48" s="5">
        <v>4.08</v>
      </c>
      <c r="K48" s="5">
        <v>944.66254749999996</v>
      </c>
      <c r="L48" s="5">
        <v>2.3449</v>
      </c>
      <c r="M48" s="5"/>
      <c r="N48" s="151">
        <v>40666.220104860171</v>
      </c>
      <c r="O48" s="4">
        <v>-7</v>
      </c>
      <c r="P48" s="4">
        <v>0</v>
      </c>
    </row>
    <row r="49" spans="1:16" x14ac:dyDescent="0.25">
      <c r="A49" s="144">
        <v>40667.638888888891</v>
      </c>
      <c r="B49" s="5">
        <v>-4</v>
      </c>
      <c r="C49" s="5">
        <v>1100741</v>
      </c>
      <c r="D49" s="5" t="s">
        <v>1308</v>
      </c>
      <c r="E49" s="5" t="s">
        <v>110</v>
      </c>
      <c r="F49" s="5" t="s">
        <v>1523</v>
      </c>
      <c r="G49" s="5" t="s">
        <v>1293</v>
      </c>
      <c r="H49" s="5">
        <v>6.56</v>
      </c>
      <c r="I49" s="5">
        <v>172.15</v>
      </c>
      <c r="J49" s="5">
        <v>6.0279999999999996</v>
      </c>
      <c r="K49" s="5">
        <v>1095.4940360000001</v>
      </c>
      <c r="L49" s="5">
        <v>2.0329000000000002</v>
      </c>
      <c r="M49" s="5"/>
      <c r="N49" s="151">
        <v>40685.645686282296</v>
      </c>
      <c r="O49" s="4">
        <v>-7</v>
      </c>
      <c r="P49" s="4">
        <v>2</v>
      </c>
    </row>
    <row r="50" spans="1:16" x14ac:dyDescent="0.25">
      <c r="A50" s="144">
        <v>40695.585416666669</v>
      </c>
      <c r="B50" s="5">
        <v>-4</v>
      </c>
      <c r="C50" s="5">
        <v>1101233</v>
      </c>
      <c r="D50" s="5" t="s">
        <v>1308</v>
      </c>
      <c r="E50" s="5" t="s">
        <v>110</v>
      </c>
      <c r="F50" s="5" t="s">
        <v>1523</v>
      </c>
      <c r="G50" s="5" t="s">
        <v>1293</v>
      </c>
      <c r="H50" s="5">
        <v>6.62</v>
      </c>
      <c r="I50" s="5">
        <v>225</v>
      </c>
      <c r="J50" s="5">
        <v>1.736</v>
      </c>
      <c r="K50" s="5">
        <v>1322.0347919999999</v>
      </c>
      <c r="L50" s="5">
        <v>3.6877</v>
      </c>
      <c r="M50" s="5"/>
      <c r="N50" s="151">
        <v>40706.779526151826</v>
      </c>
      <c r="O50" s="4">
        <v>-7</v>
      </c>
      <c r="P50" s="4">
        <v>1</v>
      </c>
    </row>
    <row r="51" spans="1:16" x14ac:dyDescent="0.25">
      <c r="A51" s="144">
        <v>40707.713194444441</v>
      </c>
      <c r="B51" s="5">
        <v>-4</v>
      </c>
      <c r="C51" s="5">
        <v>1101468</v>
      </c>
      <c r="D51" s="5" t="s">
        <v>1310</v>
      </c>
      <c r="E51" s="5" t="s">
        <v>110</v>
      </c>
      <c r="F51" s="5" t="s">
        <v>1523</v>
      </c>
      <c r="G51" s="5" t="s">
        <v>1293</v>
      </c>
      <c r="H51" s="5">
        <v>7.34</v>
      </c>
      <c r="I51" s="5">
        <v>406</v>
      </c>
      <c r="J51" s="5"/>
      <c r="K51" s="5"/>
      <c r="L51" s="5">
        <v>10.932700000000001</v>
      </c>
      <c r="M51" s="5"/>
      <c r="N51" s="151">
        <v>40724.969370229628</v>
      </c>
      <c r="O51" s="4">
        <v>-7</v>
      </c>
      <c r="P51" s="4">
        <v>3</v>
      </c>
    </row>
    <row r="52" spans="1:16" x14ac:dyDescent="0.25">
      <c r="A52" s="144">
        <v>40718.53125</v>
      </c>
      <c r="B52" s="5">
        <v>-4</v>
      </c>
      <c r="C52" s="5">
        <v>1101579</v>
      </c>
      <c r="D52" s="5" t="s">
        <v>1311</v>
      </c>
      <c r="E52" s="5" t="s">
        <v>116</v>
      </c>
      <c r="F52" s="5" t="s">
        <v>1524</v>
      </c>
      <c r="G52" s="5" t="s">
        <v>1387</v>
      </c>
      <c r="H52" s="5">
        <v>7.29</v>
      </c>
      <c r="I52" s="5">
        <v>200.75</v>
      </c>
      <c r="J52" s="5">
        <v>5.7030000000000003</v>
      </c>
      <c r="K52" s="5">
        <v>977.139724</v>
      </c>
      <c r="L52" s="5">
        <v>3.6280999999999999</v>
      </c>
      <c r="M52" s="5"/>
      <c r="N52" s="151">
        <v>40722.356615438337</v>
      </c>
      <c r="O52" s="4">
        <v>-7</v>
      </c>
      <c r="P52" s="4">
        <v>2</v>
      </c>
    </row>
    <row r="53" spans="1:16" x14ac:dyDescent="0.25">
      <c r="A53" s="144">
        <v>40718.566666666666</v>
      </c>
      <c r="B53" s="5">
        <v>-4</v>
      </c>
      <c r="C53" s="5">
        <v>1101580</v>
      </c>
      <c r="D53" s="5" t="s">
        <v>1311</v>
      </c>
      <c r="E53" s="5" t="s">
        <v>110</v>
      </c>
      <c r="F53" s="5" t="s">
        <v>1523</v>
      </c>
      <c r="G53" s="5" t="s">
        <v>1387</v>
      </c>
      <c r="H53" s="5">
        <v>7.11</v>
      </c>
      <c r="I53" s="5">
        <v>205</v>
      </c>
      <c r="J53" s="5">
        <v>5.7460000000000004</v>
      </c>
      <c r="K53" s="5">
        <v>1035.325953</v>
      </c>
      <c r="L53" s="5">
        <v>3.629</v>
      </c>
      <c r="M53" s="5"/>
      <c r="N53" s="151">
        <v>40731.679175970239</v>
      </c>
      <c r="O53" s="4">
        <v>-7</v>
      </c>
      <c r="P53" s="4">
        <v>1</v>
      </c>
    </row>
    <row r="54" spans="1:16" x14ac:dyDescent="0.25">
      <c r="A54" s="144">
        <v>40718.587500000001</v>
      </c>
      <c r="B54" s="5">
        <v>-4</v>
      </c>
      <c r="C54" s="5">
        <v>1101581</v>
      </c>
      <c r="D54" s="5" t="s">
        <v>1311</v>
      </c>
      <c r="E54" s="5" t="s">
        <v>116</v>
      </c>
      <c r="F54" s="5" t="s">
        <v>1524</v>
      </c>
      <c r="G54" s="5" t="s">
        <v>1293</v>
      </c>
      <c r="H54" s="5">
        <v>7.45</v>
      </c>
      <c r="I54" s="5">
        <v>212</v>
      </c>
      <c r="J54" s="5"/>
      <c r="K54" s="5"/>
      <c r="L54" s="5"/>
      <c r="M54" s="5"/>
      <c r="N54" s="151">
        <v>40719.627932889445</v>
      </c>
      <c r="O54" s="4">
        <v>-7</v>
      </c>
      <c r="P54" s="4">
        <v>4</v>
      </c>
    </row>
    <row r="55" spans="1:16" x14ac:dyDescent="0.25">
      <c r="A55" s="144">
        <v>40718.60833333333</v>
      </c>
      <c r="B55" s="5">
        <v>-4</v>
      </c>
      <c r="C55" s="5">
        <v>1101582</v>
      </c>
      <c r="D55" s="5" t="s">
        <v>1311</v>
      </c>
      <c r="E55" s="5" t="s">
        <v>116</v>
      </c>
      <c r="F55" s="5" t="s">
        <v>1524</v>
      </c>
      <c r="G55" s="5" t="s">
        <v>1293</v>
      </c>
      <c r="H55" s="5">
        <v>7.45</v>
      </c>
      <c r="I55" s="5">
        <v>208</v>
      </c>
      <c r="J55" s="5"/>
      <c r="K55" s="5"/>
      <c r="L55" s="5"/>
      <c r="M55" s="5"/>
      <c r="N55" s="151">
        <v>40728.578950906427</v>
      </c>
      <c r="O55" s="4">
        <v>-7</v>
      </c>
      <c r="P55" s="4">
        <v>1</v>
      </c>
    </row>
    <row r="56" spans="1:16" x14ac:dyDescent="0.25">
      <c r="A56" s="144">
        <v>40718.629166666666</v>
      </c>
      <c r="B56" s="5">
        <v>-4</v>
      </c>
      <c r="C56" s="5">
        <v>1101583</v>
      </c>
      <c r="D56" s="5" t="s">
        <v>1311</v>
      </c>
      <c r="E56" s="5" t="s">
        <v>116</v>
      </c>
      <c r="F56" s="5" t="s">
        <v>1524</v>
      </c>
      <c r="G56" s="5" t="s">
        <v>1293</v>
      </c>
      <c r="H56" s="5">
        <v>7.47</v>
      </c>
      <c r="I56" s="5">
        <v>211</v>
      </c>
      <c r="J56" s="5"/>
      <c r="K56" s="5"/>
      <c r="L56" s="5"/>
      <c r="M56" s="5"/>
      <c r="N56" s="151">
        <v>40724.672837618069</v>
      </c>
      <c r="O56" s="4">
        <v>-7</v>
      </c>
      <c r="P56" s="4">
        <v>1</v>
      </c>
    </row>
    <row r="57" spans="1:16" x14ac:dyDescent="0.25">
      <c r="A57" s="144">
        <v>40718.65</v>
      </c>
      <c r="B57" s="5">
        <v>-4</v>
      </c>
      <c r="C57" s="5">
        <v>1101584</v>
      </c>
      <c r="D57" s="5" t="s">
        <v>1311</v>
      </c>
      <c r="E57" s="5" t="s">
        <v>116</v>
      </c>
      <c r="F57" s="5" t="s">
        <v>1524</v>
      </c>
      <c r="G57" s="5" t="s">
        <v>1293</v>
      </c>
      <c r="H57" s="5">
        <v>7.44</v>
      </c>
      <c r="I57" s="5">
        <v>212</v>
      </c>
      <c r="J57" s="5">
        <v>4.8440000000000003</v>
      </c>
      <c r="K57" s="5">
        <v>1074.04729</v>
      </c>
      <c r="L57" s="5">
        <v>3.3656000000000001</v>
      </c>
      <c r="M57" s="5"/>
      <c r="N57" s="151">
        <v>40719.506138489807</v>
      </c>
      <c r="O57" s="4">
        <v>-7</v>
      </c>
      <c r="P57" s="4">
        <v>2</v>
      </c>
    </row>
    <row r="58" spans="1:16" x14ac:dyDescent="0.25">
      <c r="A58" s="144">
        <v>40718.67083333333</v>
      </c>
      <c r="B58" s="5">
        <v>-4</v>
      </c>
      <c r="C58" s="5">
        <v>1101585</v>
      </c>
      <c r="D58" s="5" t="s">
        <v>1311</v>
      </c>
      <c r="E58" s="5" t="s">
        <v>116</v>
      </c>
      <c r="F58" s="5" t="s">
        <v>1524</v>
      </c>
      <c r="G58" s="5" t="s">
        <v>1293</v>
      </c>
      <c r="H58" s="5">
        <v>7.47</v>
      </c>
      <c r="I58" s="5">
        <v>217</v>
      </c>
      <c r="J58" s="5"/>
      <c r="K58" s="5"/>
      <c r="L58" s="5"/>
      <c r="M58" s="5"/>
      <c r="N58" s="151">
        <v>40720.11771872508</v>
      </c>
      <c r="O58" s="4">
        <v>-7</v>
      </c>
      <c r="P58" s="4">
        <v>0</v>
      </c>
    </row>
    <row r="59" spans="1:16" x14ac:dyDescent="0.25">
      <c r="A59" s="144">
        <v>40718.691666666666</v>
      </c>
      <c r="B59" s="5">
        <v>-4</v>
      </c>
      <c r="C59" s="5">
        <v>1101586</v>
      </c>
      <c r="D59" s="5" t="s">
        <v>1311</v>
      </c>
      <c r="E59" s="5" t="s">
        <v>116</v>
      </c>
      <c r="F59" s="5" t="s">
        <v>1524</v>
      </c>
      <c r="G59" s="5" t="s">
        <v>1293</v>
      </c>
      <c r="H59" s="5">
        <v>7.49</v>
      </c>
      <c r="I59" s="5">
        <v>219</v>
      </c>
      <c r="J59" s="5"/>
      <c r="K59" s="5"/>
      <c r="L59" s="5"/>
      <c r="M59" s="5"/>
      <c r="N59" s="151">
        <v>40736.903477273801</v>
      </c>
      <c r="O59" s="4">
        <v>-7</v>
      </c>
      <c r="P59" s="4">
        <v>0</v>
      </c>
    </row>
    <row r="60" spans="1:16" x14ac:dyDescent="0.25">
      <c r="A60" s="144">
        <v>40718.712500000001</v>
      </c>
      <c r="B60" s="5">
        <v>-4</v>
      </c>
      <c r="C60" s="5">
        <v>1101587</v>
      </c>
      <c r="D60" s="5" t="s">
        <v>1311</v>
      </c>
      <c r="E60" s="5" t="s">
        <v>116</v>
      </c>
      <c r="F60" s="5" t="s">
        <v>1524</v>
      </c>
      <c r="G60" s="5" t="s">
        <v>1293</v>
      </c>
      <c r="H60" s="5">
        <v>7.47</v>
      </c>
      <c r="I60" s="5">
        <v>221</v>
      </c>
      <c r="J60" s="5"/>
      <c r="K60" s="5"/>
      <c r="L60" s="5"/>
      <c r="M60" s="5"/>
      <c r="N60" s="151">
        <v>40720.205877689739</v>
      </c>
      <c r="O60" s="4">
        <v>-7</v>
      </c>
      <c r="P60" s="4">
        <v>2</v>
      </c>
    </row>
    <row r="61" spans="1:16" x14ac:dyDescent="0.25">
      <c r="A61" s="144">
        <v>40718.729166666664</v>
      </c>
      <c r="B61" s="5">
        <v>-4</v>
      </c>
      <c r="C61" s="5">
        <v>1101589</v>
      </c>
      <c r="D61" s="5" t="s">
        <v>1311</v>
      </c>
      <c r="E61" s="5" t="s">
        <v>116</v>
      </c>
      <c r="F61" s="5" t="s">
        <v>1524</v>
      </c>
      <c r="G61" s="5" t="s">
        <v>1293</v>
      </c>
      <c r="H61" s="5">
        <v>7.72</v>
      </c>
      <c r="I61" s="5">
        <v>223</v>
      </c>
      <c r="J61" s="5"/>
      <c r="K61" s="5"/>
      <c r="L61" s="5"/>
      <c r="M61" s="5"/>
      <c r="N61" s="151">
        <v>40733.327200151645</v>
      </c>
      <c r="O61" s="4">
        <v>-7</v>
      </c>
      <c r="P61" s="4">
        <v>0</v>
      </c>
    </row>
    <row r="62" spans="1:16" x14ac:dyDescent="0.25">
      <c r="A62" s="144">
        <v>40718.791666666664</v>
      </c>
      <c r="B62" s="5">
        <v>-4</v>
      </c>
      <c r="C62" s="5">
        <v>1101590</v>
      </c>
      <c r="D62" s="5" t="s">
        <v>1311</v>
      </c>
      <c r="E62" s="5" t="s">
        <v>116</v>
      </c>
      <c r="F62" s="5" t="s">
        <v>1524</v>
      </c>
      <c r="G62" s="5" t="s">
        <v>1293</v>
      </c>
      <c r="H62" s="5">
        <v>7.66</v>
      </c>
      <c r="I62" s="5">
        <v>226</v>
      </c>
      <c r="J62" s="5"/>
      <c r="K62" s="5"/>
      <c r="L62" s="5"/>
      <c r="M62" s="5"/>
      <c r="N62" s="151">
        <v>40737.559433012459</v>
      </c>
      <c r="O62" s="4">
        <v>-7</v>
      </c>
      <c r="P62" s="4">
        <v>1</v>
      </c>
    </row>
    <row r="63" spans="1:16" x14ac:dyDescent="0.25">
      <c r="A63" s="144">
        <v>40718.854166666664</v>
      </c>
      <c r="B63" s="5">
        <v>-4</v>
      </c>
      <c r="C63" s="5">
        <v>1101591</v>
      </c>
      <c r="D63" s="5" t="s">
        <v>1311</v>
      </c>
      <c r="E63" s="5" t="s">
        <v>116</v>
      </c>
      <c r="F63" s="5" t="s">
        <v>1524</v>
      </c>
      <c r="G63" s="5" t="s">
        <v>1293</v>
      </c>
      <c r="H63" s="5">
        <v>7.65</v>
      </c>
      <c r="I63" s="5">
        <v>225</v>
      </c>
      <c r="J63" s="5"/>
      <c r="K63" s="5"/>
      <c r="L63" s="5"/>
      <c r="M63" s="5"/>
      <c r="N63" s="151">
        <v>40727.360594829108</v>
      </c>
      <c r="O63" s="4">
        <v>-7</v>
      </c>
      <c r="P63" s="4">
        <v>1</v>
      </c>
    </row>
    <row r="64" spans="1:16" x14ac:dyDescent="0.25">
      <c r="A64" s="144">
        <v>40718.916666666664</v>
      </c>
      <c r="B64" s="5">
        <v>-4</v>
      </c>
      <c r="C64" s="5">
        <v>1101592</v>
      </c>
      <c r="D64" s="5" t="s">
        <v>1311</v>
      </c>
      <c r="E64" s="5" t="s">
        <v>116</v>
      </c>
      <c r="F64" s="5" t="s">
        <v>1524</v>
      </c>
      <c r="G64" s="5" t="s">
        <v>1293</v>
      </c>
      <c r="H64" s="5">
        <v>7.65</v>
      </c>
      <c r="I64" s="5">
        <v>220</v>
      </c>
      <c r="J64" s="5">
        <v>4.5739999999999998</v>
      </c>
      <c r="K64" s="5">
        <v>1127.9683520000001</v>
      </c>
      <c r="L64" s="5">
        <v>3.4697</v>
      </c>
      <c r="M64" s="5"/>
      <c r="N64" s="151">
        <v>40720.454247297632</v>
      </c>
      <c r="O64" s="4">
        <v>-7</v>
      </c>
      <c r="P64" s="4">
        <v>2</v>
      </c>
    </row>
    <row r="65" spans="1:16" x14ac:dyDescent="0.25">
      <c r="A65" s="144">
        <v>40718.979166666664</v>
      </c>
      <c r="B65" s="5">
        <v>-4</v>
      </c>
      <c r="C65" s="5">
        <v>1101593</v>
      </c>
      <c r="D65" s="5" t="s">
        <v>1311</v>
      </c>
      <c r="E65" s="5" t="s">
        <v>116</v>
      </c>
      <c r="F65" s="5" t="s">
        <v>1524</v>
      </c>
      <c r="G65" s="5" t="s">
        <v>1293</v>
      </c>
      <c r="H65" s="5">
        <v>7.67</v>
      </c>
      <c r="I65" s="5">
        <v>226</v>
      </c>
      <c r="J65" s="5"/>
      <c r="K65" s="5"/>
      <c r="L65" s="5"/>
      <c r="M65" s="5"/>
      <c r="N65" s="151">
        <v>40732.110520423499</v>
      </c>
      <c r="O65" s="4">
        <v>-7</v>
      </c>
      <c r="P65" s="4">
        <v>2</v>
      </c>
    </row>
    <row r="66" spans="1:16" x14ac:dyDescent="0.25">
      <c r="A66" s="144">
        <v>40719.041666666664</v>
      </c>
      <c r="B66" s="5">
        <v>-4</v>
      </c>
      <c r="C66" s="5">
        <v>1101594</v>
      </c>
      <c r="D66" s="5" t="s">
        <v>1311</v>
      </c>
      <c r="E66" s="5" t="s">
        <v>116</v>
      </c>
      <c r="F66" s="5" t="s">
        <v>1524</v>
      </c>
      <c r="G66" s="5" t="s">
        <v>1293</v>
      </c>
      <c r="H66" s="5">
        <v>7.7</v>
      </c>
      <c r="I66" s="5">
        <v>229</v>
      </c>
      <c r="J66" s="5"/>
      <c r="K66" s="5"/>
      <c r="L66" s="5"/>
      <c r="M66" s="5"/>
      <c r="N66" s="151">
        <v>40731.317930746845</v>
      </c>
      <c r="O66" s="4">
        <v>-7</v>
      </c>
      <c r="P66" s="4">
        <v>3</v>
      </c>
    </row>
    <row r="67" spans="1:16" x14ac:dyDescent="0.25">
      <c r="A67" s="144">
        <v>40719.104166666664</v>
      </c>
      <c r="B67" s="5">
        <v>-4</v>
      </c>
      <c r="C67" s="5">
        <v>1101595</v>
      </c>
      <c r="D67" s="5" t="s">
        <v>1311</v>
      </c>
      <c r="E67" s="5" t="s">
        <v>116</v>
      </c>
      <c r="F67" s="5" t="s">
        <v>1524</v>
      </c>
      <c r="G67" s="5" t="s">
        <v>1293</v>
      </c>
      <c r="H67" s="5">
        <v>7.68</v>
      </c>
      <c r="I67" s="5">
        <v>230</v>
      </c>
      <c r="J67" s="5"/>
      <c r="K67" s="5"/>
      <c r="L67" s="5"/>
      <c r="M67" s="5"/>
      <c r="N67" s="151">
        <v>40721.838465088811</v>
      </c>
      <c r="O67" s="4">
        <v>-7</v>
      </c>
      <c r="P67" s="4">
        <v>0</v>
      </c>
    </row>
    <row r="68" spans="1:16" x14ac:dyDescent="0.25">
      <c r="A68" s="144">
        <v>40719.166666666664</v>
      </c>
      <c r="B68" s="5">
        <v>-4</v>
      </c>
      <c r="C68" s="5">
        <v>1101596</v>
      </c>
      <c r="D68" s="5" t="s">
        <v>1311</v>
      </c>
      <c r="E68" s="5" t="s">
        <v>116</v>
      </c>
      <c r="F68" s="5" t="s">
        <v>1524</v>
      </c>
      <c r="G68" s="5" t="s">
        <v>1293</v>
      </c>
      <c r="H68" s="5">
        <v>7.71</v>
      </c>
      <c r="I68" s="5">
        <v>231</v>
      </c>
      <c r="J68" s="5"/>
      <c r="K68" s="5"/>
      <c r="L68" s="5"/>
      <c r="M68" s="5"/>
      <c r="N68" s="151">
        <v>40724.552657922584</v>
      </c>
      <c r="O68" s="4">
        <v>-7</v>
      </c>
      <c r="P68" s="4">
        <v>2</v>
      </c>
    </row>
    <row r="69" spans="1:16" x14ac:dyDescent="0.25">
      <c r="A69" s="144">
        <v>40719.229166666664</v>
      </c>
      <c r="B69" s="5">
        <v>-4</v>
      </c>
      <c r="C69" s="5">
        <v>1101597</v>
      </c>
      <c r="D69" s="5" t="s">
        <v>1311</v>
      </c>
      <c r="E69" s="5" t="s">
        <v>116</v>
      </c>
      <c r="F69" s="5" t="s">
        <v>1524</v>
      </c>
      <c r="G69" s="5" t="s">
        <v>1293</v>
      </c>
      <c r="H69" s="5">
        <v>7.5</v>
      </c>
      <c r="I69" s="5">
        <v>234</v>
      </c>
      <c r="J69" s="5"/>
      <c r="K69" s="5"/>
      <c r="L69" s="5"/>
      <c r="M69" s="5"/>
      <c r="N69" s="151">
        <v>40722.709321474067</v>
      </c>
      <c r="O69" s="4">
        <v>-7</v>
      </c>
      <c r="P69" s="4">
        <v>2</v>
      </c>
    </row>
    <row r="70" spans="1:16" x14ac:dyDescent="0.25">
      <c r="A70" s="144">
        <v>40719.291666666664</v>
      </c>
      <c r="B70" s="5">
        <v>-4</v>
      </c>
      <c r="C70" s="5">
        <v>1101598</v>
      </c>
      <c r="D70" s="5" t="s">
        <v>1311</v>
      </c>
      <c r="E70" s="5" t="s">
        <v>116</v>
      </c>
      <c r="F70" s="5" t="s">
        <v>1524</v>
      </c>
      <c r="G70" s="5" t="s">
        <v>1293</v>
      </c>
      <c r="H70" s="5">
        <v>7.7</v>
      </c>
      <c r="I70" s="5">
        <v>233</v>
      </c>
      <c r="J70" s="5"/>
      <c r="K70" s="5"/>
      <c r="L70" s="5"/>
      <c r="M70" s="5"/>
      <c r="N70" s="151">
        <v>40730.097789597057</v>
      </c>
      <c r="O70" s="4">
        <v>-7</v>
      </c>
      <c r="P70" s="4">
        <v>4</v>
      </c>
    </row>
    <row r="71" spans="1:16" x14ac:dyDescent="0.25">
      <c r="A71" s="144">
        <v>40719.354166666664</v>
      </c>
      <c r="B71" s="5">
        <v>-4</v>
      </c>
      <c r="C71" s="5">
        <v>1101599</v>
      </c>
      <c r="D71" s="5" t="s">
        <v>1311</v>
      </c>
      <c r="E71" s="5" t="s">
        <v>116</v>
      </c>
      <c r="F71" s="5" t="s">
        <v>1524</v>
      </c>
      <c r="G71" s="5" t="s">
        <v>1293</v>
      </c>
      <c r="H71" s="5">
        <v>7.71</v>
      </c>
      <c r="I71" s="5">
        <v>233</v>
      </c>
      <c r="J71" s="5"/>
      <c r="K71" s="5"/>
      <c r="L71" s="5"/>
      <c r="M71" s="5"/>
      <c r="N71" s="151">
        <v>40732.140875934994</v>
      </c>
      <c r="O71" s="4">
        <v>-7</v>
      </c>
      <c r="P71" s="4">
        <v>4</v>
      </c>
    </row>
    <row r="72" spans="1:16" x14ac:dyDescent="0.25">
      <c r="A72" s="144">
        <v>40719.416666666664</v>
      </c>
      <c r="B72" s="5">
        <v>-4</v>
      </c>
      <c r="C72" s="5">
        <v>1101600</v>
      </c>
      <c r="D72" s="5" t="s">
        <v>1311</v>
      </c>
      <c r="E72" s="5" t="s">
        <v>116</v>
      </c>
      <c r="F72" s="5" t="s">
        <v>1524</v>
      </c>
      <c r="G72" s="5" t="s">
        <v>1293</v>
      </c>
      <c r="H72" s="5">
        <v>7.61</v>
      </c>
      <c r="I72" s="5">
        <v>231</v>
      </c>
      <c r="J72" s="5"/>
      <c r="K72" s="5"/>
      <c r="L72" s="5"/>
      <c r="M72" s="5"/>
      <c r="N72" s="151">
        <v>40730.877989360066</v>
      </c>
      <c r="O72" s="4">
        <v>-7</v>
      </c>
      <c r="P72" s="4">
        <v>0</v>
      </c>
    </row>
    <row r="73" spans="1:16" x14ac:dyDescent="0.25">
      <c r="A73" s="144">
        <v>40731.722916666666</v>
      </c>
      <c r="B73" s="5">
        <v>-4</v>
      </c>
      <c r="C73" s="5">
        <v>1101773</v>
      </c>
      <c r="D73" s="5" t="s">
        <v>1308</v>
      </c>
      <c r="E73" s="5" t="s">
        <v>110</v>
      </c>
      <c r="F73" s="5" t="s">
        <v>1523</v>
      </c>
      <c r="G73" s="5" t="s">
        <v>1293</v>
      </c>
      <c r="H73" s="5">
        <v>6.19</v>
      </c>
      <c r="I73" s="5">
        <v>228.5</v>
      </c>
      <c r="J73" s="5">
        <v>1.43</v>
      </c>
      <c r="K73" s="5">
        <v>1357.8826449999999</v>
      </c>
      <c r="L73" s="5">
        <v>3.6747999999999998</v>
      </c>
      <c r="M73" s="5"/>
      <c r="N73" s="151">
        <v>40736.225561504092</v>
      </c>
      <c r="O73" s="4">
        <v>-7</v>
      </c>
      <c r="P73" s="4">
        <v>3</v>
      </c>
    </row>
    <row r="74" spans="1:16" x14ac:dyDescent="0.25">
      <c r="A74" s="144">
        <v>40758.435416666667</v>
      </c>
      <c r="B74" s="5">
        <v>-4</v>
      </c>
      <c r="C74" s="5">
        <v>1102196</v>
      </c>
      <c r="D74" s="5" t="s">
        <v>1314</v>
      </c>
      <c r="E74" s="5" t="s">
        <v>110</v>
      </c>
      <c r="F74" s="5" t="s">
        <v>1523</v>
      </c>
      <c r="G74" s="5" t="s">
        <v>1293</v>
      </c>
      <c r="H74" s="5">
        <v>6.75</v>
      </c>
      <c r="I74" s="5">
        <v>236.5</v>
      </c>
      <c r="J74" s="5">
        <v>1.58</v>
      </c>
      <c r="K74" s="5">
        <v>1344.5533049999999</v>
      </c>
      <c r="L74" s="5">
        <v>3.6770999999999998</v>
      </c>
      <c r="M74" s="5"/>
      <c r="N74" s="151">
        <v>40758.442399812178</v>
      </c>
      <c r="O74" s="4">
        <v>-7</v>
      </c>
      <c r="P74" s="4">
        <v>2</v>
      </c>
    </row>
    <row r="75" spans="1:16" x14ac:dyDescent="0.25">
      <c r="A75" s="144">
        <v>40758.458333333336</v>
      </c>
      <c r="B75" s="5">
        <v>-4</v>
      </c>
      <c r="C75" s="5">
        <v>1102197</v>
      </c>
      <c r="D75" s="5" t="s">
        <v>1313</v>
      </c>
      <c r="E75" s="5" t="s">
        <v>110</v>
      </c>
      <c r="F75" s="5" t="s">
        <v>1523</v>
      </c>
      <c r="G75" s="5" t="s">
        <v>1293</v>
      </c>
      <c r="H75" s="5">
        <v>7.23</v>
      </c>
      <c r="I75" s="5">
        <v>227.5</v>
      </c>
      <c r="J75" s="5">
        <v>1.446</v>
      </c>
      <c r="K75" s="5">
        <v>1235.967273</v>
      </c>
      <c r="L75" s="5">
        <v>3.9413</v>
      </c>
      <c r="M75" s="5"/>
      <c r="N75" s="151">
        <v>40766.604886661051</v>
      </c>
      <c r="O75" s="4">
        <v>-7</v>
      </c>
      <c r="P75" s="4">
        <v>3</v>
      </c>
    </row>
    <row r="76" spans="1:16" x14ac:dyDescent="0.25">
      <c r="A76" s="144">
        <v>40758.525694444441</v>
      </c>
      <c r="B76" s="5">
        <v>-4</v>
      </c>
      <c r="C76" s="5">
        <v>1102198</v>
      </c>
      <c r="D76" s="5" t="s">
        <v>1308</v>
      </c>
      <c r="E76" s="5" t="s">
        <v>110</v>
      </c>
      <c r="F76" s="5" t="s">
        <v>1523</v>
      </c>
      <c r="G76" s="5" t="s">
        <v>1293</v>
      </c>
      <c r="H76" s="5">
        <v>7.28</v>
      </c>
      <c r="I76" s="5">
        <v>227.5</v>
      </c>
      <c r="J76" s="5">
        <v>1.3420000000000001</v>
      </c>
      <c r="K76" s="5">
        <v>1350.323926</v>
      </c>
      <c r="L76" s="5">
        <v>3.7027999999999999</v>
      </c>
      <c r="M76" s="5"/>
      <c r="N76" s="151">
        <v>40775.817591433704</v>
      </c>
      <c r="O76" s="4">
        <v>-7</v>
      </c>
      <c r="P76" s="4">
        <v>1</v>
      </c>
    </row>
    <row r="77" spans="1:16" x14ac:dyDescent="0.25">
      <c r="A77" s="144">
        <v>40800.567361111112</v>
      </c>
      <c r="B77" s="5">
        <v>-4</v>
      </c>
      <c r="C77" s="5">
        <v>1103088</v>
      </c>
      <c r="D77" s="5" t="s">
        <v>1314</v>
      </c>
      <c r="E77" s="5" t="s">
        <v>110</v>
      </c>
      <c r="F77" s="5" t="s">
        <v>1523</v>
      </c>
      <c r="G77" s="5" t="s">
        <v>1293</v>
      </c>
      <c r="H77" s="5">
        <v>6.98</v>
      </c>
      <c r="I77" s="5">
        <v>251</v>
      </c>
      <c r="J77" s="5">
        <v>1.88</v>
      </c>
      <c r="K77" s="5">
        <v>1265.2432349999999</v>
      </c>
      <c r="L77" s="5">
        <v>3.8039000000000001</v>
      </c>
      <c r="M77" s="5"/>
      <c r="N77" s="151">
        <v>40812.9758316562</v>
      </c>
      <c r="O77" s="4">
        <v>-7</v>
      </c>
      <c r="P77" s="4">
        <v>2</v>
      </c>
    </row>
    <row r="78" spans="1:16" x14ac:dyDescent="0.25">
      <c r="A78" s="144">
        <v>40800.604861111111</v>
      </c>
      <c r="B78" s="5">
        <v>-4</v>
      </c>
      <c r="C78" s="5">
        <v>1103090</v>
      </c>
      <c r="D78" s="5" t="s">
        <v>1308</v>
      </c>
      <c r="E78" s="5" t="s">
        <v>110</v>
      </c>
      <c r="F78" s="5" t="s">
        <v>1523</v>
      </c>
      <c r="G78" s="5" t="s">
        <v>1293</v>
      </c>
      <c r="H78" s="5">
        <v>6.92</v>
      </c>
      <c r="I78" s="5">
        <v>240</v>
      </c>
      <c r="J78" s="5">
        <v>1.8380000000000001</v>
      </c>
      <c r="K78" s="5">
        <v>1256.9127169999999</v>
      </c>
      <c r="L78" s="5">
        <v>3.5762</v>
      </c>
      <c r="M78" s="5"/>
      <c r="N78" s="151">
        <v>40817.298350057892</v>
      </c>
      <c r="O78" s="4">
        <v>-7</v>
      </c>
      <c r="P78" s="4">
        <v>1</v>
      </c>
    </row>
    <row r="79" spans="1:16" x14ac:dyDescent="0.25">
      <c r="A79" s="144">
        <v>40800.645833333336</v>
      </c>
      <c r="B79" s="5">
        <v>-4</v>
      </c>
      <c r="C79" s="5">
        <v>1103089</v>
      </c>
      <c r="D79" s="5" t="s">
        <v>1313</v>
      </c>
      <c r="E79" s="5" t="s">
        <v>110</v>
      </c>
      <c r="F79" s="5" t="s">
        <v>1523</v>
      </c>
      <c r="G79" s="5" t="s">
        <v>1293</v>
      </c>
      <c r="H79" s="5">
        <v>6.89</v>
      </c>
      <c r="I79" s="5">
        <v>250</v>
      </c>
      <c r="J79" s="5">
        <v>1.8919999999999999</v>
      </c>
      <c r="K79" s="5">
        <v>1128.3503499999999</v>
      </c>
      <c r="L79" s="5">
        <v>3.8069999999999999</v>
      </c>
      <c r="M79" s="5"/>
      <c r="N79" s="151">
        <v>40802.042081372092</v>
      </c>
      <c r="O79" s="4">
        <v>-7</v>
      </c>
      <c r="P79" s="4">
        <v>2</v>
      </c>
    </row>
    <row r="80" spans="1:16" x14ac:dyDescent="0.25">
      <c r="A80" s="144">
        <v>40821.449305555558</v>
      </c>
      <c r="B80" s="5">
        <v>-4</v>
      </c>
      <c r="C80" s="5">
        <v>1103341</v>
      </c>
      <c r="D80" s="5" t="s">
        <v>1314</v>
      </c>
      <c r="E80" s="5" t="s">
        <v>110</v>
      </c>
      <c r="F80" s="5" t="s">
        <v>1523</v>
      </c>
      <c r="G80" s="5" t="s">
        <v>1293</v>
      </c>
      <c r="H80" s="5">
        <v>7.7080000000000002</v>
      </c>
      <c r="I80" s="5">
        <v>226</v>
      </c>
      <c r="J80" s="5">
        <v>1.714</v>
      </c>
      <c r="K80" s="5">
        <v>1291.3013089999999</v>
      </c>
      <c r="L80" s="5">
        <v>3.7261000000000002</v>
      </c>
      <c r="M80" s="5"/>
      <c r="N80" s="151">
        <v>40826.254417618031</v>
      </c>
      <c r="O80" s="4">
        <v>-7</v>
      </c>
      <c r="P80" s="4">
        <v>3</v>
      </c>
    </row>
    <row r="81" spans="1:16" x14ac:dyDescent="0.25">
      <c r="A81" s="144">
        <v>40821.491666666669</v>
      </c>
      <c r="B81" s="5">
        <v>-4</v>
      </c>
      <c r="C81" s="5">
        <v>1103343</v>
      </c>
      <c r="D81" s="5" t="s">
        <v>1308</v>
      </c>
      <c r="E81" s="5" t="s">
        <v>110</v>
      </c>
      <c r="F81" s="5" t="s">
        <v>1523</v>
      </c>
      <c r="G81" s="5" t="s">
        <v>1293</v>
      </c>
      <c r="H81" s="5">
        <v>7.62</v>
      </c>
      <c r="I81" s="5">
        <v>218.5</v>
      </c>
      <c r="J81" s="5">
        <v>1.712</v>
      </c>
      <c r="K81" s="5">
        <v>1288.4215879999999</v>
      </c>
      <c r="L81" s="5">
        <v>3.5301999999999998</v>
      </c>
      <c r="M81" s="5"/>
      <c r="N81" s="151">
        <v>40840.952279318859</v>
      </c>
      <c r="O81" s="4">
        <v>-7</v>
      </c>
      <c r="P81" s="4">
        <v>1</v>
      </c>
    </row>
    <row r="82" spans="1:16" x14ac:dyDescent="0.25">
      <c r="A82" s="144">
        <v>40821.683333333334</v>
      </c>
      <c r="B82" s="5">
        <v>-4</v>
      </c>
      <c r="C82" s="5">
        <v>1103342</v>
      </c>
      <c r="D82" s="5" t="s">
        <v>1313</v>
      </c>
      <c r="E82" s="5" t="s">
        <v>110</v>
      </c>
      <c r="F82" s="5" t="s">
        <v>1523</v>
      </c>
      <c r="G82" s="5" t="s">
        <v>1387</v>
      </c>
      <c r="H82" s="5">
        <v>7.63</v>
      </c>
      <c r="I82" s="5">
        <v>220</v>
      </c>
      <c r="J82" s="5">
        <v>1.77</v>
      </c>
      <c r="K82" s="5">
        <v>1231.934299</v>
      </c>
      <c r="L82" s="5">
        <v>3.7629000000000001</v>
      </c>
      <c r="M82" s="5"/>
      <c r="N82" s="151">
        <v>40826.710881154191</v>
      </c>
      <c r="O82" s="4">
        <v>-7</v>
      </c>
      <c r="P82" s="4">
        <v>2</v>
      </c>
    </row>
    <row r="83" spans="1:16" x14ac:dyDescent="0.25">
      <c r="A83" s="144">
        <v>40827.780555555553</v>
      </c>
      <c r="B83" s="5">
        <v>-4</v>
      </c>
      <c r="C83" s="5">
        <v>1103386</v>
      </c>
      <c r="D83" s="5" t="s">
        <v>1309</v>
      </c>
      <c r="E83" s="5" t="s">
        <v>110</v>
      </c>
      <c r="F83" s="5" t="s">
        <v>1523</v>
      </c>
      <c r="G83" s="5" t="s">
        <v>1293</v>
      </c>
      <c r="H83" s="5">
        <v>6.976</v>
      </c>
      <c r="I83" s="5">
        <v>293</v>
      </c>
      <c r="J83" s="5"/>
      <c r="K83" s="5"/>
      <c r="L83" s="5">
        <v>1.4883999999999999</v>
      </c>
      <c r="M83" s="5"/>
      <c r="N83" s="151">
        <v>40846.927720080588</v>
      </c>
      <c r="O83" s="4">
        <v>-7</v>
      </c>
      <c r="P83" s="4">
        <v>1</v>
      </c>
    </row>
    <row r="84" spans="1:16" x14ac:dyDescent="0.25">
      <c r="A84" s="144">
        <v>40827.799305555556</v>
      </c>
      <c r="B84" s="5">
        <v>-4</v>
      </c>
      <c r="C84" s="5">
        <v>1103387</v>
      </c>
      <c r="D84" s="5" t="s">
        <v>1310</v>
      </c>
      <c r="E84" s="5" t="s">
        <v>110</v>
      </c>
      <c r="F84" s="5" t="s">
        <v>1523</v>
      </c>
      <c r="G84" s="5" t="s">
        <v>1293</v>
      </c>
      <c r="H84" s="5">
        <v>7.4580000000000002</v>
      </c>
      <c r="I84" s="5">
        <v>356</v>
      </c>
      <c r="J84" s="5"/>
      <c r="K84" s="5"/>
      <c r="L84" s="5">
        <v>9.7346000000000004</v>
      </c>
      <c r="M84" s="5"/>
      <c r="N84" s="151">
        <v>40844.237868700438</v>
      </c>
      <c r="O84" s="4">
        <v>-7</v>
      </c>
      <c r="P84" s="4">
        <v>1</v>
      </c>
    </row>
    <row r="85" spans="1:16" x14ac:dyDescent="0.25">
      <c r="A85" s="144">
        <v>40849.511805555558</v>
      </c>
      <c r="B85" s="5">
        <v>-4</v>
      </c>
      <c r="C85" s="5">
        <v>1103685</v>
      </c>
      <c r="D85" s="5" t="s">
        <v>1314</v>
      </c>
      <c r="E85" s="5" t="s">
        <v>110</v>
      </c>
      <c r="F85" s="5" t="s">
        <v>1523</v>
      </c>
      <c r="G85" s="5" t="s">
        <v>1293</v>
      </c>
      <c r="H85" s="5">
        <v>7.694</v>
      </c>
      <c r="I85" s="5">
        <v>190.1</v>
      </c>
      <c r="J85" s="5">
        <v>1.8080000000000001</v>
      </c>
      <c r="K85" s="5">
        <v>1267.8701370000001</v>
      </c>
      <c r="L85" s="5">
        <v>3.7191999999999998</v>
      </c>
      <c r="M85" s="5"/>
      <c r="N85" s="151">
        <v>40862.011118783608</v>
      </c>
      <c r="O85" s="4">
        <v>-7</v>
      </c>
      <c r="P85" s="4">
        <v>1</v>
      </c>
    </row>
    <row r="86" spans="1:16" x14ac:dyDescent="0.25">
      <c r="A86" s="144">
        <v>40849.560416666667</v>
      </c>
      <c r="B86" s="5">
        <v>-4</v>
      </c>
      <c r="C86" s="5">
        <v>1103687</v>
      </c>
      <c r="D86" s="5" t="s">
        <v>1308</v>
      </c>
      <c r="E86" s="5" t="s">
        <v>110</v>
      </c>
      <c r="F86" s="5" t="s">
        <v>1523</v>
      </c>
      <c r="G86" s="5" t="s">
        <v>1293</v>
      </c>
      <c r="H86" s="5">
        <v>7.6749999999999998</v>
      </c>
      <c r="I86" s="5">
        <v>199.3</v>
      </c>
      <c r="J86" s="5">
        <v>1.7809999999999999</v>
      </c>
      <c r="K86" s="5"/>
      <c r="L86" s="5">
        <v>3.5465</v>
      </c>
      <c r="M86" s="5"/>
      <c r="N86" s="151">
        <v>40858.662611699037</v>
      </c>
      <c r="O86" s="4">
        <v>-7</v>
      </c>
      <c r="P86" s="4">
        <v>3</v>
      </c>
    </row>
    <row r="87" spans="1:16" x14ac:dyDescent="0.25">
      <c r="A87" s="144">
        <v>40849.59097222222</v>
      </c>
      <c r="B87" s="5">
        <v>-4</v>
      </c>
      <c r="C87" s="5">
        <v>1103686</v>
      </c>
      <c r="D87" s="5" t="s">
        <v>1313</v>
      </c>
      <c r="E87" s="5" t="s">
        <v>110</v>
      </c>
      <c r="F87" s="5" t="s">
        <v>1523</v>
      </c>
      <c r="G87" s="5" t="s">
        <v>1293</v>
      </c>
      <c r="H87" s="5">
        <v>7.7110000000000003</v>
      </c>
      <c r="I87" s="5">
        <v>199.1</v>
      </c>
      <c r="J87" s="5">
        <v>1.857</v>
      </c>
      <c r="K87" s="5">
        <v>1193.079986</v>
      </c>
      <c r="L87" s="5">
        <v>3.7437</v>
      </c>
      <c r="M87" s="5"/>
      <c r="N87" s="151">
        <v>40864.75342365593</v>
      </c>
      <c r="O87" s="4">
        <v>-7</v>
      </c>
      <c r="P87" s="4">
        <v>1</v>
      </c>
    </row>
    <row r="88" spans="1:16" x14ac:dyDescent="0.25">
      <c r="A88" s="144">
        <v>40869.5</v>
      </c>
      <c r="B88" s="5">
        <v>-5</v>
      </c>
      <c r="C88" s="5">
        <v>1104011</v>
      </c>
      <c r="D88" s="5" t="s">
        <v>1311</v>
      </c>
      <c r="E88" s="5" t="s">
        <v>116</v>
      </c>
      <c r="F88" s="5" t="s">
        <v>1524</v>
      </c>
      <c r="G88" s="5" t="s">
        <v>1293</v>
      </c>
      <c r="H88" s="5">
        <v>7.5670000000000002</v>
      </c>
      <c r="I88" s="5">
        <v>202</v>
      </c>
      <c r="J88" s="5">
        <v>2.8119999999999998</v>
      </c>
      <c r="K88" s="5">
        <v>958.17050119999999</v>
      </c>
      <c r="L88" s="5">
        <v>3.5222000000000002</v>
      </c>
      <c r="M88" s="5"/>
      <c r="N88" s="151">
        <v>40883.153562470099</v>
      </c>
      <c r="O88" s="4">
        <v>-7</v>
      </c>
      <c r="P88" s="4">
        <v>3</v>
      </c>
    </row>
    <row r="89" spans="1:16" x14ac:dyDescent="0.25">
      <c r="A89" s="144">
        <v>40869.75</v>
      </c>
      <c r="B89" s="5">
        <v>-5</v>
      </c>
      <c r="C89" s="5">
        <v>1104012</v>
      </c>
      <c r="D89" s="5" t="s">
        <v>1311</v>
      </c>
      <c r="E89" s="5" t="s">
        <v>116</v>
      </c>
      <c r="F89" s="5" t="s">
        <v>1524</v>
      </c>
      <c r="G89" s="5" t="s">
        <v>1293</v>
      </c>
      <c r="H89" s="5">
        <v>7.44</v>
      </c>
      <c r="I89" s="5">
        <v>181.7</v>
      </c>
      <c r="J89" s="5">
        <v>6.0140000000000002</v>
      </c>
      <c r="K89" s="5">
        <v>884.30309769999997</v>
      </c>
      <c r="L89" s="5">
        <v>2.3818000000000001</v>
      </c>
      <c r="M89" s="5"/>
      <c r="N89" s="151">
        <v>40878.990539991675</v>
      </c>
      <c r="O89" s="4">
        <v>-7</v>
      </c>
      <c r="P89" s="4">
        <v>1</v>
      </c>
    </row>
    <row r="90" spans="1:16" x14ac:dyDescent="0.25">
      <c r="A90" s="144">
        <v>40869.833333333336</v>
      </c>
      <c r="B90" s="5">
        <v>-5</v>
      </c>
      <c r="C90" s="5">
        <v>1104013</v>
      </c>
      <c r="D90" s="5" t="s">
        <v>1311</v>
      </c>
      <c r="E90" s="5" t="s">
        <v>116</v>
      </c>
      <c r="F90" s="5" t="s">
        <v>1524</v>
      </c>
      <c r="G90" s="5" t="s">
        <v>1293</v>
      </c>
      <c r="H90" s="5">
        <v>7.2750000000000004</v>
      </c>
      <c r="I90" s="5">
        <v>140.6</v>
      </c>
      <c r="J90" s="5">
        <v>9.3059999999999992</v>
      </c>
      <c r="K90" s="5">
        <v>824.32100820000005</v>
      </c>
      <c r="L90" s="5">
        <v>1.5264</v>
      </c>
      <c r="M90" s="5"/>
      <c r="N90" s="151">
        <v>40887.540511449173</v>
      </c>
      <c r="O90" s="4">
        <v>-7</v>
      </c>
      <c r="P90" s="4">
        <v>3</v>
      </c>
    </row>
    <row r="91" spans="1:16" x14ac:dyDescent="0.25">
      <c r="A91" s="144">
        <v>40869.916666666664</v>
      </c>
      <c r="B91" s="5">
        <v>-5</v>
      </c>
      <c r="C91" s="5">
        <v>1104014</v>
      </c>
      <c r="D91" s="5" t="s">
        <v>1311</v>
      </c>
      <c r="E91" s="5" t="s">
        <v>116</v>
      </c>
      <c r="F91" s="5" t="s">
        <v>1524</v>
      </c>
      <c r="G91" s="5" t="s">
        <v>1293</v>
      </c>
      <c r="H91" s="5">
        <v>7.1890000000000001</v>
      </c>
      <c r="I91" s="5">
        <v>106.2</v>
      </c>
      <c r="J91" s="5">
        <v>10.923999999999999</v>
      </c>
      <c r="K91" s="5">
        <v>625.90381290000005</v>
      </c>
      <c r="L91" s="5">
        <v>1.0838000000000001</v>
      </c>
      <c r="M91" s="5"/>
      <c r="N91" s="151">
        <v>40871.011666905033</v>
      </c>
      <c r="O91" s="4">
        <v>-7</v>
      </c>
      <c r="P91" s="4">
        <v>3</v>
      </c>
    </row>
    <row r="92" spans="1:16" x14ac:dyDescent="0.25">
      <c r="A92" s="144">
        <v>40870.166666666664</v>
      </c>
      <c r="B92" s="5">
        <v>-5</v>
      </c>
      <c r="C92" s="5">
        <v>1104015</v>
      </c>
      <c r="D92" s="5" t="s">
        <v>1311</v>
      </c>
      <c r="E92" s="5" t="s">
        <v>116</v>
      </c>
      <c r="F92" s="5" t="s">
        <v>1524</v>
      </c>
      <c r="G92" s="5" t="s">
        <v>1293</v>
      </c>
      <c r="H92" s="5">
        <v>7.1779999999999999</v>
      </c>
      <c r="I92" s="5">
        <v>106.4</v>
      </c>
      <c r="J92" s="5">
        <v>9.3320000000000007</v>
      </c>
      <c r="K92" s="5">
        <v>632.72621130000005</v>
      </c>
      <c r="L92" s="5">
        <v>1.2443</v>
      </c>
      <c r="M92" s="5"/>
      <c r="N92" s="151">
        <v>40874.331449059013</v>
      </c>
      <c r="O92" s="4">
        <v>-7</v>
      </c>
      <c r="P92" s="4">
        <v>1</v>
      </c>
    </row>
    <row r="93" spans="1:16" x14ac:dyDescent="0.25">
      <c r="A93" s="144">
        <v>40870.208333333336</v>
      </c>
      <c r="B93" s="5">
        <v>-5</v>
      </c>
      <c r="C93" s="5">
        <v>1104016</v>
      </c>
      <c r="D93" s="5" t="s">
        <v>1311</v>
      </c>
      <c r="E93" s="5" t="s">
        <v>116</v>
      </c>
      <c r="F93" s="5" t="s">
        <v>1524</v>
      </c>
      <c r="G93" s="5" t="s">
        <v>1293</v>
      </c>
      <c r="H93" s="5">
        <v>7.0510000000000002</v>
      </c>
      <c r="I93" s="5">
        <v>85.8</v>
      </c>
      <c r="J93" s="5">
        <v>9.42</v>
      </c>
      <c r="K93" s="5">
        <v>502.6257961</v>
      </c>
      <c r="L93" s="5">
        <v>0.96830000000000005</v>
      </c>
      <c r="M93" s="5"/>
      <c r="N93" s="151">
        <v>40887.37436479843</v>
      </c>
      <c r="O93" s="4">
        <v>-7</v>
      </c>
      <c r="P93" s="4">
        <v>1</v>
      </c>
    </row>
    <row r="94" spans="1:16" x14ac:dyDescent="0.25">
      <c r="A94" s="144">
        <v>40870.25</v>
      </c>
      <c r="B94" s="5">
        <v>-5</v>
      </c>
      <c r="C94" s="5">
        <v>1104017</v>
      </c>
      <c r="D94" s="5" t="s">
        <v>1311</v>
      </c>
      <c r="E94" s="5" t="s">
        <v>116</v>
      </c>
      <c r="F94" s="5" t="s">
        <v>1524</v>
      </c>
      <c r="G94" s="5" t="s">
        <v>1293</v>
      </c>
      <c r="H94" s="5">
        <v>7.0640000000000001</v>
      </c>
      <c r="I94" s="5">
        <v>70.8</v>
      </c>
      <c r="J94" s="5">
        <v>9.6720000000000006</v>
      </c>
      <c r="K94" s="5">
        <v>449.28787419999998</v>
      </c>
      <c r="L94" s="5">
        <v>0.76919999999999999</v>
      </c>
      <c r="M94" s="5"/>
      <c r="N94" s="151">
        <v>40880.07050497317</v>
      </c>
      <c r="O94" s="4">
        <v>-7</v>
      </c>
      <c r="P94" s="4">
        <v>3</v>
      </c>
    </row>
    <row r="95" spans="1:16" x14ac:dyDescent="0.25">
      <c r="A95" s="144">
        <v>40870.291666666664</v>
      </c>
      <c r="B95" s="5">
        <v>-5</v>
      </c>
      <c r="C95" s="5">
        <v>1104018</v>
      </c>
      <c r="D95" s="5" t="s">
        <v>1311</v>
      </c>
      <c r="E95" s="5" t="s">
        <v>116</v>
      </c>
      <c r="F95" s="5" t="s">
        <v>1524</v>
      </c>
      <c r="G95" s="5" t="s">
        <v>1293</v>
      </c>
      <c r="H95" s="5">
        <v>7.1050000000000004</v>
      </c>
      <c r="I95" s="5">
        <v>76.5</v>
      </c>
      <c r="J95" s="5">
        <v>10.052</v>
      </c>
      <c r="K95" s="5">
        <v>475.58775750000001</v>
      </c>
      <c r="L95" s="5">
        <v>0.79910000000000003</v>
      </c>
      <c r="M95" s="5"/>
      <c r="N95" s="151">
        <v>40885.67369780103</v>
      </c>
      <c r="O95" s="4">
        <v>-7</v>
      </c>
      <c r="P95" s="4">
        <v>1</v>
      </c>
    </row>
    <row r="96" spans="1:16" x14ac:dyDescent="0.25">
      <c r="A96" s="144">
        <v>40870.458333333336</v>
      </c>
      <c r="B96" s="5">
        <v>-5</v>
      </c>
      <c r="C96" s="5">
        <v>1104019</v>
      </c>
      <c r="D96" s="5" t="s">
        <v>1311</v>
      </c>
      <c r="E96" s="5" t="s">
        <v>116</v>
      </c>
      <c r="F96" s="5" t="s">
        <v>1524</v>
      </c>
      <c r="G96" s="5" t="s">
        <v>1293</v>
      </c>
      <c r="H96" s="5">
        <v>7.19</v>
      </c>
      <c r="I96" s="5">
        <v>111.7</v>
      </c>
      <c r="J96" s="5">
        <v>8.532</v>
      </c>
      <c r="K96" s="5">
        <v>698.11234579999996</v>
      </c>
      <c r="L96" s="5">
        <v>1.5230999999999999</v>
      </c>
      <c r="M96" s="5"/>
      <c r="N96" s="151">
        <v>40884.999484736945</v>
      </c>
      <c r="O96" s="4">
        <v>-7</v>
      </c>
      <c r="P96" s="4">
        <v>3</v>
      </c>
    </row>
    <row r="97" spans="1:16" x14ac:dyDescent="0.25">
      <c r="A97" s="144">
        <v>40870.625</v>
      </c>
      <c r="B97" s="5">
        <v>-5</v>
      </c>
      <c r="C97" s="5">
        <v>1104020</v>
      </c>
      <c r="D97" s="5" t="s">
        <v>1311</v>
      </c>
      <c r="E97" s="5" t="s">
        <v>116</v>
      </c>
      <c r="F97" s="5" t="s">
        <v>1524</v>
      </c>
      <c r="G97" s="5" t="s">
        <v>1293</v>
      </c>
      <c r="H97" s="5">
        <v>7.3150000000000004</v>
      </c>
      <c r="I97" s="5">
        <v>130</v>
      </c>
      <c r="J97" s="5">
        <v>8.0879999999999992</v>
      </c>
      <c r="K97" s="5">
        <v>809.68930269999998</v>
      </c>
      <c r="L97" s="5">
        <v>1.6700999999999999</v>
      </c>
      <c r="M97" s="5"/>
      <c r="N97" s="151">
        <v>40888.471557802812</v>
      </c>
      <c r="O97" s="4">
        <v>-7</v>
      </c>
      <c r="P97" s="4">
        <v>0</v>
      </c>
    </row>
    <row r="98" spans="1:16" x14ac:dyDescent="0.25">
      <c r="A98" s="144">
        <v>40891.499305555553</v>
      </c>
      <c r="B98" s="5">
        <v>-5</v>
      </c>
      <c r="C98" s="5">
        <v>1104171</v>
      </c>
      <c r="D98" s="5" t="s">
        <v>1308</v>
      </c>
      <c r="E98" s="5" t="s">
        <v>110</v>
      </c>
      <c r="F98" s="5" t="s">
        <v>1523</v>
      </c>
      <c r="G98" s="5" t="s">
        <v>1293</v>
      </c>
      <c r="H98" s="5">
        <v>7.46</v>
      </c>
      <c r="I98" s="5">
        <v>184.5</v>
      </c>
      <c r="J98" s="5">
        <v>1.294</v>
      </c>
      <c r="K98" s="5">
        <v>1199.483215</v>
      </c>
      <c r="L98" s="5">
        <v>3.7982999999999998</v>
      </c>
      <c r="M98" s="5"/>
      <c r="N98" s="151">
        <v>40910.69853621487</v>
      </c>
      <c r="O98" s="4">
        <v>-7</v>
      </c>
      <c r="P98" s="4">
        <v>3</v>
      </c>
    </row>
    <row r="99" spans="1:16" x14ac:dyDescent="0.25">
      <c r="A99" s="144">
        <v>40891.522222222222</v>
      </c>
      <c r="B99" s="5">
        <v>-5</v>
      </c>
      <c r="C99" s="5">
        <v>1104169</v>
      </c>
      <c r="D99" s="5" t="s">
        <v>1314</v>
      </c>
      <c r="E99" s="5" t="s">
        <v>110</v>
      </c>
      <c r="F99" s="5" t="s">
        <v>1523</v>
      </c>
      <c r="G99" s="5" t="s">
        <v>1293</v>
      </c>
      <c r="H99" s="5">
        <v>7.5010000000000003</v>
      </c>
      <c r="I99" s="5">
        <v>184.7</v>
      </c>
      <c r="J99" s="5">
        <v>1.216</v>
      </c>
      <c r="K99" s="5">
        <v>1186.81862</v>
      </c>
      <c r="L99" s="5">
        <v>4.109</v>
      </c>
      <c r="M99" s="5"/>
      <c r="N99" s="151">
        <v>40910.966275137253</v>
      </c>
      <c r="O99" s="4">
        <v>-7</v>
      </c>
      <c r="P99" s="4">
        <v>1</v>
      </c>
    </row>
    <row r="100" spans="1:16" x14ac:dyDescent="0.25">
      <c r="A100" s="144">
        <v>40891.534722222219</v>
      </c>
      <c r="B100" s="5">
        <v>-5</v>
      </c>
      <c r="C100" s="5">
        <v>1104170</v>
      </c>
      <c r="D100" s="5" t="s">
        <v>1313</v>
      </c>
      <c r="E100" s="5" t="s">
        <v>110</v>
      </c>
      <c r="F100" s="5" t="s">
        <v>1523</v>
      </c>
      <c r="G100" s="5" t="s">
        <v>1293</v>
      </c>
      <c r="H100" s="5">
        <v>7.452</v>
      </c>
      <c r="I100" s="5">
        <v>189.8</v>
      </c>
      <c r="J100" s="5">
        <v>1.294</v>
      </c>
      <c r="K100" s="5">
        <v>1117.7830550000001</v>
      </c>
      <c r="L100" s="5">
        <v>4.0250000000000004</v>
      </c>
      <c r="M100" s="5"/>
      <c r="N100" s="151">
        <v>40900.530358535827</v>
      </c>
      <c r="O100" s="4">
        <v>-7</v>
      </c>
      <c r="P100" s="4">
        <v>1</v>
      </c>
    </row>
    <row r="101" spans="1:16" x14ac:dyDescent="0.25">
      <c r="A101" s="144">
        <v>40912.566666666666</v>
      </c>
      <c r="B101" s="5">
        <v>-5</v>
      </c>
      <c r="C101" s="5">
        <v>1200024</v>
      </c>
      <c r="D101" s="5" t="s">
        <v>1308</v>
      </c>
      <c r="E101" s="5" t="s">
        <v>110</v>
      </c>
      <c r="F101" s="5" t="s">
        <v>1523</v>
      </c>
      <c r="G101" s="5" t="s">
        <v>1293</v>
      </c>
      <c r="H101" s="5">
        <v>7.4729999999999999</v>
      </c>
      <c r="I101" s="5">
        <v>192.1</v>
      </c>
      <c r="J101" s="5">
        <v>0.80200000000000005</v>
      </c>
      <c r="K101" s="5">
        <v>1189.7508399999999</v>
      </c>
      <c r="L101" s="5">
        <v>4.1292</v>
      </c>
      <c r="M101" s="5"/>
      <c r="N101" s="151">
        <v>40914.474985612258</v>
      </c>
      <c r="O101" s="4">
        <v>-7</v>
      </c>
      <c r="P101" s="4">
        <v>2</v>
      </c>
    </row>
    <row r="102" spans="1:16" x14ac:dyDescent="0.25">
      <c r="A102" s="144">
        <v>40912.595833333333</v>
      </c>
      <c r="B102" s="5">
        <v>-5</v>
      </c>
      <c r="C102" s="5">
        <v>1200023</v>
      </c>
      <c r="D102" s="5" t="s">
        <v>1313</v>
      </c>
      <c r="E102" s="5" t="s">
        <v>110</v>
      </c>
      <c r="F102" s="5" t="s">
        <v>1523</v>
      </c>
      <c r="G102" s="5" t="s">
        <v>1293</v>
      </c>
      <c r="H102" s="5">
        <v>7.2679999999999998</v>
      </c>
      <c r="I102" s="5">
        <v>194.6</v>
      </c>
      <c r="J102" s="5">
        <v>0.79800000000000004</v>
      </c>
      <c r="K102" s="5">
        <v>1112.500548</v>
      </c>
      <c r="L102" s="5">
        <v>4.4061000000000003</v>
      </c>
      <c r="M102" s="5"/>
      <c r="N102" s="151">
        <v>40917.395610354011</v>
      </c>
      <c r="O102" s="4">
        <v>-7</v>
      </c>
      <c r="P102" s="4">
        <v>3</v>
      </c>
    </row>
    <row r="103" spans="1:16" x14ac:dyDescent="0.25">
      <c r="A103" s="144">
        <v>40912.613194444442</v>
      </c>
      <c r="B103" s="5">
        <v>-5</v>
      </c>
      <c r="C103" s="5">
        <v>1200022</v>
      </c>
      <c r="D103" s="5" t="s">
        <v>1314</v>
      </c>
      <c r="E103" s="5" t="s">
        <v>110</v>
      </c>
      <c r="F103" s="5" t="s">
        <v>1523</v>
      </c>
      <c r="G103" s="5" t="s">
        <v>1293</v>
      </c>
      <c r="H103" s="5">
        <v>7.4589999999999996</v>
      </c>
      <c r="I103" s="5">
        <v>204</v>
      </c>
      <c r="J103" s="5">
        <v>0.78200000000000003</v>
      </c>
      <c r="K103" s="5">
        <v>1178.485531</v>
      </c>
      <c r="L103" s="5">
        <v>3.6818</v>
      </c>
      <c r="M103" s="5"/>
      <c r="N103" s="151">
        <v>40919.967131393147</v>
      </c>
      <c r="O103" s="4">
        <v>-7</v>
      </c>
      <c r="P103" s="4">
        <v>2</v>
      </c>
    </row>
    <row r="104" spans="1:16" x14ac:dyDescent="0.25">
      <c r="A104" s="144">
        <v>40919.791666666664</v>
      </c>
      <c r="B104" s="5">
        <v>-5</v>
      </c>
      <c r="C104" s="5">
        <v>1200045</v>
      </c>
      <c r="D104" s="5" t="s">
        <v>1316</v>
      </c>
      <c r="E104" s="5" t="s">
        <v>116</v>
      </c>
      <c r="F104" s="5" t="s">
        <v>1524</v>
      </c>
      <c r="G104" s="5" t="s">
        <v>1389</v>
      </c>
      <c r="H104" s="5">
        <v>7.3559999999999999</v>
      </c>
      <c r="I104" s="5">
        <v>153.4</v>
      </c>
      <c r="J104" s="5">
        <v>1.008</v>
      </c>
      <c r="K104" s="5">
        <v>501.3690704</v>
      </c>
      <c r="L104" s="5">
        <v>3.4653</v>
      </c>
      <c r="M104" s="5"/>
      <c r="N104" s="151">
        <v>40931.458262346263</v>
      </c>
      <c r="O104" s="4">
        <v>-7</v>
      </c>
      <c r="P104" s="4">
        <v>1</v>
      </c>
    </row>
    <row r="105" spans="1:16" x14ac:dyDescent="0.25">
      <c r="A105" s="144">
        <v>40919.833333333336</v>
      </c>
      <c r="B105" s="5">
        <v>-5</v>
      </c>
      <c r="C105" s="5">
        <v>1200030</v>
      </c>
      <c r="D105" s="5" t="s">
        <v>1311</v>
      </c>
      <c r="E105" s="5" t="s">
        <v>116</v>
      </c>
      <c r="F105" s="5" t="s">
        <v>1524</v>
      </c>
      <c r="G105" s="5" t="s">
        <v>1385</v>
      </c>
      <c r="H105" s="5">
        <v>7.6050000000000004</v>
      </c>
      <c r="I105" s="5">
        <v>228</v>
      </c>
      <c r="J105" s="5">
        <v>1.1439999999999999</v>
      </c>
      <c r="K105" s="5">
        <v>1059.032604</v>
      </c>
      <c r="L105" s="5">
        <v>4.0959000000000003</v>
      </c>
      <c r="M105" s="5"/>
      <c r="N105" s="151">
        <v>40936.933059467592</v>
      </c>
      <c r="O105" s="4">
        <v>-7</v>
      </c>
      <c r="P105" s="4">
        <v>3</v>
      </c>
    </row>
    <row r="106" spans="1:16" x14ac:dyDescent="0.25">
      <c r="A106" s="144">
        <v>40920</v>
      </c>
      <c r="B106" s="5">
        <v>-5</v>
      </c>
      <c r="C106" s="5">
        <v>1200046</v>
      </c>
      <c r="D106" s="5" t="s">
        <v>1316</v>
      </c>
      <c r="E106" s="5" t="s">
        <v>116</v>
      </c>
      <c r="F106" s="5" t="s">
        <v>1524</v>
      </c>
      <c r="G106" s="5" t="s">
        <v>1389</v>
      </c>
      <c r="H106" s="5">
        <v>7.2640000000000002</v>
      </c>
      <c r="I106" s="5">
        <v>132</v>
      </c>
      <c r="J106" s="5">
        <v>2.5760000000000001</v>
      </c>
      <c r="K106" s="5">
        <v>390.26344180000001</v>
      </c>
      <c r="L106" s="5">
        <v>3.1013999999999999</v>
      </c>
      <c r="M106" s="5"/>
      <c r="N106" s="151">
        <v>40930.119499343833</v>
      </c>
      <c r="O106" s="4">
        <v>-7</v>
      </c>
      <c r="P106" s="4">
        <v>2</v>
      </c>
    </row>
    <row r="107" spans="1:16" x14ac:dyDescent="0.25">
      <c r="A107" s="144">
        <v>40920.041666666664</v>
      </c>
      <c r="B107" s="5">
        <v>-5</v>
      </c>
      <c r="C107" s="5">
        <v>1200031</v>
      </c>
      <c r="D107" s="5" t="s">
        <v>1311</v>
      </c>
      <c r="E107" s="5" t="s">
        <v>116</v>
      </c>
      <c r="F107" s="5" t="s">
        <v>1524</v>
      </c>
      <c r="G107" s="5" t="s">
        <v>1385</v>
      </c>
      <c r="H107" s="5">
        <v>7.4930000000000003</v>
      </c>
      <c r="I107" s="5">
        <v>193.3</v>
      </c>
      <c r="J107" s="5">
        <v>2.411</v>
      </c>
      <c r="K107" s="5">
        <v>850.9793138</v>
      </c>
      <c r="L107" s="5">
        <v>3.4398</v>
      </c>
      <c r="M107" s="5"/>
      <c r="N107" s="151">
        <v>40926.785086711912</v>
      </c>
      <c r="O107" s="4">
        <v>-7</v>
      </c>
      <c r="P107" s="4">
        <v>1</v>
      </c>
    </row>
    <row r="108" spans="1:16" x14ac:dyDescent="0.25">
      <c r="A108" s="144">
        <v>40920.125</v>
      </c>
      <c r="B108" s="5">
        <v>-5</v>
      </c>
      <c r="C108" s="5">
        <v>1200032</v>
      </c>
      <c r="D108" s="5" t="s">
        <v>1311</v>
      </c>
      <c r="E108" s="5" t="s">
        <v>116</v>
      </c>
      <c r="F108" s="5" t="s">
        <v>1524</v>
      </c>
      <c r="G108" s="5" t="s">
        <v>1385</v>
      </c>
      <c r="H108" s="5">
        <v>7.4189999999999996</v>
      </c>
      <c r="I108" s="5">
        <v>166.4</v>
      </c>
      <c r="J108" s="5">
        <v>4.7069999999999999</v>
      </c>
      <c r="K108" s="5">
        <v>771.7780808</v>
      </c>
      <c r="L108" s="5">
        <v>2.3197000000000001</v>
      </c>
      <c r="M108" s="5"/>
      <c r="N108" s="151">
        <v>40932.176785926196</v>
      </c>
      <c r="O108" s="4">
        <v>-7</v>
      </c>
      <c r="P108" s="4">
        <v>0</v>
      </c>
    </row>
    <row r="109" spans="1:16" x14ac:dyDescent="0.25">
      <c r="A109" s="144">
        <v>40920.166666666664</v>
      </c>
      <c r="B109" s="5">
        <v>-5</v>
      </c>
      <c r="C109" s="5">
        <v>1200047</v>
      </c>
      <c r="D109" s="5" t="s">
        <v>1316</v>
      </c>
      <c r="E109" s="5" t="s">
        <v>116</v>
      </c>
      <c r="F109" s="5" t="s">
        <v>1524</v>
      </c>
      <c r="G109" s="5" t="s">
        <v>1389</v>
      </c>
      <c r="H109" s="5">
        <v>6.9450000000000003</v>
      </c>
      <c r="I109" s="5">
        <v>118.6</v>
      </c>
      <c r="J109" s="5">
        <v>3.2879999999999998</v>
      </c>
      <c r="K109" s="5">
        <v>323.96331889999999</v>
      </c>
      <c r="L109" s="5">
        <v>3.2843</v>
      </c>
      <c r="M109" s="5"/>
      <c r="N109" s="151">
        <v>40935.309903761728</v>
      </c>
      <c r="O109" s="4">
        <v>-7</v>
      </c>
      <c r="P109" s="4">
        <v>0</v>
      </c>
    </row>
    <row r="110" spans="1:16" x14ac:dyDescent="0.25">
      <c r="A110" s="144">
        <v>40920.208333333336</v>
      </c>
      <c r="B110" s="5">
        <v>-5</v>
      </c>
      <c r="C110" s="5">
        <v>1200033</v>
      </c>
      <c r="D110" s="5" t="s">
        <v>1311</v>
      </c>
      <c r="E110" s="5" t="s">
        <v>116</v>
      </c>
      <c r="F110" s="5" t="s">
        <v>1524</v>
      </c>
      <c r="G110" s="5" t="s">
        <v>1385</v>
      </c>
      <c r="H110" s="5">
        <v>7.19</v>
      </c>
      <c r="I110" s="5">
        <v>131.1</v>
      </c>
      <c r="J110" s="5">
        <v>6.0529999999999999</v>
      </c>
      <c r="K110" s="5">
        <v>634.37428990000001</v>
      </c>
      <c r="L110" s="5">
        <v>1.6394</v>
      </c>
      <c r="M110" s="5"/>
      <c r="N110" s="151">
        <v>40927.309141266494</v>
      </c>
      <c r="O110" s="4">
        <v>-7</v>
      </c>
      <c r="P110" s="4">
        <v>2</v>
      </c>
    </row>
    <row r="111" spans="1:16" x14ac:dyDescent="0.25">
      <c r="A111" s="144">
        <v>40920.208333333336</v>
      </c>
      <c r="B111" s="5">
        <v>-5</v>
      </c>
      <c r="C111" s="5">
        <v>1200048</v>
      </c>
      <c r="D111" s="5" t="s">
        <v>1316</v>
      </c>
      <c r="E111" s="5" t="s">
        <v>116</v>
      </c>
      <c r="F111" s="5" t="s">
        <v>1524</v>
      </c>
      <c r="G111" s="5" t="s">
        <v>1389</v>
      </c>
      <c r="H111" s="5">
        <v>6.9409999999999998</v>
      </c>
      <c r="I111" s="5">
        <v>74.8</v>
      </c>
      <c r="J111" s="5">
        <v>3.375</v>
      </c>
      <c r="K111" s="5">
        <v>195.87597840000001</v>
      </c>
      <c r="L111" s="5">
        <v>2.1496</v>
      </c>
      <c r="M111" s="5"/>
      <c r="N111" s="151">
        <v>40920.799017661338</v>
      </c>
      <c r="O111" s="4">
        <v>-7</v>
      </c>
      <c r="P111" s="4">
        <v>4</v>
      </c>
    </row>
    <row r="112" spans="1:16" x14ac:dyDescent="0.25">
      <c r="A112" s="144">
        <v>40920.25</v>
      </c>
      <c r="B112" s="5">
        <v>-5</v>
      </c>
      <c r="C112" s="5">
        <v>1200034</v>
      </c>
      <c r="D112" s="5" t="s">
        <v>1311</v>
      </c>
      <c r="E112" s="5" t="s">
        <v>116</v>
      </c>
      <c r="F112" s="5" t="s">
        <v>1524</v>
      </c>
      <c r="G112" s="5" t="s">
        <v>1385</v>
      </c>
      <c r="H112" s="5">
        <v>7.0650000000000004</v>
      </c>
      <c r="I112" s="5">
        <v>86.3</v>
      </c>
      <c r="J112" s="5">
        <v>5.8929999999999998</v>
      </c>
      <c r="K112" s="5">
        <v>416.66583250000002</v>
      </c>
      <c r="L112" s="5">
        <v>0.9234</v>
      </c>
      <c r="M112" s="5"/>
      <c r="N112" s="151">
        <v>40929.246002314612</v>
      </c>
      <c r="O112" s="4">
        <v>-7</v>
      </c>
      <c r="P112" s="4">
        <v>3</v>
      </c>
    </row>
    <row r="113" spans="1:16" x14ac:dyDescent="0.25">
      <c r="A113" s="144">
        <v>40920.291666666664</v>
      </c>
      <c r="B113" s="5">
        <v>-5</v>
      </c>
      <c r="C113" s="5">
        <v>1200035</v>
      </c>
      <c r="D113" s="5" t="s">
        <v>1311</v>
      </c>
      <c r="E113" s="5" t="s">
        <v>116</v>
      </c>
      <c r="F113" s="5" t="s">
        <v>1524</v>
      </c>
      <c r="G113" s="5" t="s">
        <v>1385</v>
      </c>
      <c r="H113" s="5">
        <v>7.069</v>
      </c>
      <c r="I113" s="5">
        <v>65.8</v>
      </c>
      <c r="J113" s="5">
        <v>6.44</v>
      </c>
      <c r="K113" s="5">
        <v>338.7387402</v>
      </c>
      <c r="L113" s="5">
        <v>0.66320000000000001</v>
      </c>
      <c r="M113" s="5"/>
      <c r="N113" s="151">
        <v>40921.712682543141</v>
      </c>
      <c r="O113" s="4">
        <v>-7</v>
      </c>
      <c r="P113" s="4">
        <v>1</v>
      </c>
    </row>
    <row r="114" spans="1:16" x14ac:dyDescent="0.25">
      <c r="A114" s="144">
        <v>40920.333333333336</v>
      </c>
      <c r="B114" s="5">
        <v>-5</v>
      </c>
      <c r="C114" s="5">
        <v>1200036</v>
      </c>
      <c r="D114" s="5" t="s">
        <v>1311</v>
      </c>
      <c r="E114" s="5" t="s">
        <v>116</v>
      </c>
      <c r="F114" s="5" t="s">
        <v>1524</v>
      </c>
      <c r="G114" s="5" t="s">
        <v>1385</v>
      </c>
      <c r="H114" s="5">
        <v>7.1059999999999999</v>
      </c>
      <c r="I114" s="5">
        <v>70.8</v>
      </c>
      <c r="J114" s="5">
        <v>6.56</v>
      </c>
      <c r="K114" s="5">
        <v>394.55959209999997</v>
      </c>
      <c r="L114" s="5">
        <v>0.71289999999999998</v>
      </c>
      <c r="M114" s="5"/>
      <c r="N114" s="151">
        <v>40930.693363851577</v>
      </c>
      <c r="O114" s="4">
        <v>-7</v>
      </c>
      <c r="P114" s="4">
        <v>4</v>
      </c>
    </row>
    <row r="115" spans="1:16" x14ac:dyDescent="0.25">
      <c r="A115" s="144">
        <v>40920.375</v>
      </c>
      <c r="B115" s="5">
        <v>-5</v>
      </c>
      <c r="C115" s="5">
        <v>1200037</v>
      </c>
      <c r="D115" s="5" t="s">
        <v>1311</v>
      </c>
      <c r="E115" s="5" t="s">
        <v>116</v>
      </c>
      <c r="F115" s="5" t="s">
        <v>1524</v>
      </c>
      <c r="G115" s="5" t="s">
        <v>1385</v>
      </c>
      <c r="H115" s="5">
        <v>7.1790000000000003</v>
      </c>
      <c r="I115" s="5">
        <v>86.3</v>
      </c>
      <c r="J115" s="5">
        <v>6.4930000000000003</v>
      </c>
      <c r="K115" s="5">
        <v>473.17622110000002</v>
      </c>
      <c r="L115" s="5">
        <v>0.94140000000000001</v>
      </c>
      <c r="M115" s="5"/>
      <c r="N115" s="151">
        <v>40922.500393542956</v>
      </c>
      <c r="O115" s="4">
        <v>-7</v>
      </c>
      <c r="P115" s="4">
        <v>2</v>
      </c>
    </row>
    <row r="116" spans="1:16" x14ac:dyDescent="0.25">
      <c r="A116" s="144">
        <v>40920.416666666664</v>
      </c>
      <c r="B116" s="5">
        <v>-5</v>
      </c>
      <c r="C116" s="5">
        <v>1200049</v>
      </c>
      <c r="D116" s="5" t="s">
        <v>1316</v>
      </c>
      <c r="E116" s="5" t="s">
        <v>116</v>
      </c>
      <c r="F116" s="5" t="s">
        <v>1524</v>
      </c>
      <c r="G116" s="5" t="s">
        <v>1389</v>
      </c>
      <c r="H116" s="5">
        <v>7.0270000000000001</v>
      </c>
      <c r="I116" s="5">
        <v>80.099999999999994</v>
      </c>
      <c r="J116" s="5">
        <v>4.6269999999999998</v>
      </c>
      <c r="K116" s="5">
        <v>202.5184964</v>
      </c>
      <c r="L116" s="5">
        <v>2.8592</v>
      </c>
      <c r="M116" s="5"/>
      <c r="N116" s="151">
        <v>40930.066633284921</v>
      </c>
      <c r="O116" s="4">
        <v>-7</v>
      </c>
      <c r="P116" s="4">
        <v>0</v>
      </c>
    </row>
    <row r="117" spans="1:16" x14ac:dyDescent="0.25">
      <c r="A117" s="144">
        <v>40920.541666666664</v>
      </c>
      <c r="B117" s="5">
        <v>-5</v>
      </c>
      <c r="C117" s="5">
        <v>1200038</v>
      </c>
      <c r="D117" s="5" t="s">
        <v>1311</v>
      </c>
      <c r="E117" s="5" t="s">
        <v>116</v>
      </c>
      <c r="F117" s="5" t="s">
        <v>1524</v>
      </c>
      <c r="G117" s="5" t="s">
        <v>1293</v>
      </c>
      <c r="H117" s="5">
        <v>7.3879999999999999</v>
      </c>
      <c r="I117" s="5">
        <v>119.9</v>
      </c>
      <c r="J117" s="5">
        <v>5.1870000000000003</v>
      </c>
      <c r="K117" s="5">
        <v>670.61426640000002</v>
      </c>
      <c r="L117" s="5">
        <v>1.7060999999999999</v>
      </c>
      <c r="M117" s="5"/>
      <c r="N117" s="151">
        <v>40927.025065394118</v>
      </c>
      <c r="O117" s="4">
        <v>-7</v>
      </c>
      <c r="P117" s="4">
        <v>3</v>
      </c>
    </row>
    <row r="118" spans="1:16" x14ac:dyDescent="0.25">
      <c r="A118" s="144">
        <v>40920.583333333336</v>
      </c>
      <c r="B118" s="5">
        <v>-5</v>
      </c>
      <c r="C118" s="5">
        <v>1200050</v>
      </c>
      <c r="D118" s="5" t="s">
        <v>1316</v>
      </c>
      <c r="E118" s="5" t="s">
        <v>116</v>
      </c>
      <c r="F118" s="5" t="s">
        <v>1524</v>
      </c>
      <c r="G118" s="5" t="s">
        <v>1389</v>
      </c>
      <c r="H118" s="5">
        <v>7.2539999999999996</v>
      </c>
      <c r="I118" s="5">
        <v>84.6</v>
      </c>
      <c r="J118" s="5">
        <v>2.9990000000000001</v>
      </c>
      <c r="K118" s="5">
        <v>241.34655309999999</v>
      </c>
      <c r="L118" s="5">
        <v>3.3077000000000001</v>
      </c>
      <c r="M118" s="5"/>
      <c r="N118" s="151">
        <v>40925.267190114864</v>
      </c>
      <c r="O118" s="4">
        <v>-7</v>
      </c>
      <c r="P118" s="4">
        <v>2</v>
      </c>
    </row>
    <row r="119" spans="1:16" x14ac:dyDescent="0.25">
      <c r="A119" s="144">
        <v>40920.791666666664</v>
      </c>
      <c r="B119" s="5">
        <v>-5</v>
      </c>
      <c r="C119" s="5">
        <v>1200039</v>
      </c>
      <c r="D119" s="5" t="s">
        <v>1311</v>
      </c>
      <c r="E119" s="5" t="s">
        <v>116</v>
      </c>
      <c r="F119" s="5" t="s">
        <v>1524</v>
      </c>
      <c r="G119" s="5" t="s">
        <v>1293</v>
      </c>
      <c r="H119" s="5">
        <v>7.4480000000000004</v>
      </c>
      <c r="I119" s="5">
        <v>156.69999999999999</v>
      </c>
      <c r="J119" s="5">
        <v>3.4390000000000001</v>
      </c>
      <c r="K119" s="5">
        <v>853.70336299999997</v>
      </c>
      <c r="L119" s="5">
        <v>2.4733999999999998</v>
      </c>
      <c r="M119" s="5"/>
      <c r="N119" s="151">
        <v>40937.659315092722</v>
      </c>
      <c r="O119" s="4">
        <v>-7</v>
      </c>
      <c r="P119" s="4">
        <v>3</v>
      </c>
    </row>
    <row r="120" spans="1:16" x14ac:dyDescent="0.25">
      <c r="A120" s="144">
        <v>40934.509027777778</v>
      </c>
      <c r="B120" s="5">
        <v>-5</v>
      </c>
      <c r="C120" s="5">
        <v>1200090</v>
      </c>
      <c r="D120" s="5" t="s">
        <v>1309</v>
      </c>
      <c r="E120" s="5" t="s">
        <v>110</v>
      </c>
      <c r="F120" s="5" t="s">
        <v>1523</v>
      </c>
      <c r="G120" s="5" t="s">
        <v>1293</v>
      </c>
      <c r="H120" s="5">
        <v>6.8440000000000003</v>
      </c>
      <c r="I120" s="5">
        <v>268</v>
      </c>
      <c r="J120" s="5">
        <v>1.97</v>
      </c>
      <c r="K120" s="5"/>
      <c r="L120" s="5">
        <v>4.6277999999999997</v>
      </c>
      <c r="M120" s="5"/>
      <c r="N120" s="151">
        <v>40941.823450948839</v>
      </c>
      <c r="O120" s="4">
        <v>-7</v>
      </c>
      <c r="P120" s="4">
        <v>4</v>
      </c>
    </row>
    <row r="121" spans="1:16" x14ac:dyDescent="0.25">
      <c r="A121" s="144">
        <v>40934.539583333331</v>
      </c>
      <c r="B121" s="5">
        <v>-5</v>
      </c>
      <c r="C121" s="5">
        <v>1200091</v>
      </c>
      <c r="D121" s="5" t="s">
        <v>1310</v>
      </c>
      <c r="E121" s="5" t="s">
        <v>110</v>
      </c>
      <c r="F121" s="5" t="s">
        <v>1523</v>
      </c>
      <c r="G121" s="5" t="s">
        <v>1293</v>
      </c>
      <c r="H121" s="5">
        <v>7.3419999999999996</v>
      </c>
      <c r="I121" s="5">
        <v>321</v>
      </c>
      <c r="J121" s="5">
        <v>1.413</v>
      </c>
      <c r="K121" s="5"/>
      <c r="L121" s="5">
        <v>9.2428000000000008</v>
      </c>
      <c r="M121" s="5"/>
      <c r="N121" s="151">
        <v>40938.151511619595</v>
      </c>
      <c r="O121" s="4">
        <v>-7</v>
      </c>
      <c r="P121" s="4">
        <v>3</v>
      </c>
    </row>
    <row r="122" spans="1:16" x14ac:dyDescent="0.25">
      <c r="A122" s="144">
        <v>40940.539583333331</v>
      </c>
      <c r="B122" s="5">
        <v>-5</v>
      </c>
      <c r="C122" s="5">
        <v>1200138</v>
      </c>
      <c r="D122" s="5" t="s">
        <v>1308</v>
      </c>
      <c r="E122" s="5" t="s">
        <v>110</v>
      </c>
      <c r="F122" s="5" t="s">
        <v>1523</v>
      </c>
      <c r="G122" s="5" t="s">
        <v>1293</v>
      </c>
      <c r="H122" s="5">
        <v>7.5220000000000002</v>
      </c>
      <c r="I122" s="5">
        <v>178.8</v>
      </c>
      <c r="J122" s="5">
        <v>0.93300000000000005</v>
      </c>
      <c r="K122" s="5">
        <v>1159.0932519999999</v>
      </c>
      <c r="L122" s="5">
        <v>3.7629000000000001</v>
      </c>
      <c r="M122" s="5"/>
      <c r="N122" s="151">
        <v>40957.246226955984</v>
      </c>
      <c r="O122" s="4">
        <v>-7</v>
      </c>
      <c r="P122" s="4">
        <v>2</v>
      </c>
    </row>
    <row r="123" spans="1:16" x14ac:dyDescent="0.25">
      <c r="A123" s="144">
        <v>40940.59652777778</v>
      </c>
      <c r="B123" s="5">
        <v>-5</v>
      </c>
      <c r="C123" s="5">
        <v>1200136</v>
      </c>
      <c r="D123" s="5" t="s">
        <v>1314</v>
      </c>
      <c r="E123" s="5" t="s">
        <v>110</v>
      </c>
      <c r="F123" s="5" t="s">
        <v>1523</v>
      </c>
      <c r="G123" s="5" t="s">
        <v>1293</v>
      </c>
      <c r="H123" s="5">
        <v>7.68</v>
      </c>
      <c r="I123" s="5">
        <v>181.2</v>
      </c>
      <c r="J123" s="5">
        <v>0.94599999999999995</v>
      </c>
      <c r="K123" s="5">
        <v>1132.152979</v>
      </c>
      <c r="L123" s="5">
        <v>4.0262000000000002</v>
      </c>
      <c r="M123" s="5"/>
      <c r="N123" s="151">
        <v>40942.944001043747</v>
      </c>
      <c r="O123" s="4">
        <v>-7</v>
      </c>
      <c r="P123" s="4">
        <v>3</v>
      </c>
    </row>
    <row r="124" spans="1:16" x14ac:dyDescent="0.25">
      <c r="A124" s="144">
        <v>40940.609722222223</v>
      </c>
      <c r="B124" s="5">
        <v>-5</v>
      </c>
      <c r="C124" s="5">
        <v>1200137</v>
      </c>
      <c r="D124" s="5" t="s">
        <v>1313</v>
      </c>
      <c r="E124" s="5" t="s">
        <v>110</v>
      </c>
      <c r="F124" s="5" t="s">
        <v>1523</v>
      </c>
      <c r="G124" s="5" t="s">
        <v>1293</v>
      </c>
      <c r="H124" s="5">
        <v>7.5069999999999997</v>
      </c>
      <c r="I124" s="5">
        <v>183.6</v>
      </c>
      <c r="J124" s="5">
        <v>0.96599999999999997</v>
      </c>
      <c r="K124" s="5">
        <v>1078.067419</v>
      </c>
      <c r="L124" s="5">
        <v>4.0162000000000004</v>
      </c>
      <c r="M124" s="5"/>
      <c r="N124" s="151">
        <v>40953.97718529938</v>
      </c>
      <c r="O124" s="4">
        <v>-7</v>
      </c>
      <c r="P124" s="4">
        <v>3</v>
      </c>
    </row>
    <row r="125" spans="1:16" x14ac:dyDescent="0.25">
      <c r="A125" s="144">
        <v>40968.583333333336</v>
      </c>
      <c r="B125" s="5">
        <v>-5</v>
      </c>
      <c r="C125" s="5">
        <v>1200292</v>
      </c>
      <c r="D125" s="5" t="s">
        <v>1311</v>
      </c>
      <c r="E125" s="5" t="s">
        <v>116</v>
      </c>
      <c r="F125" s="5" t="s">
        <v>1524</v>
      </c>
      <c r="G125" s="5" t="s">
        <v>1389</v>
      </c>
      <c r="H125" s="5">
        <v>7.4749999999999996</v>
      </c>
      <c r="I125" s="5">
        <v>135.19999999999999</v>
      </c>
      <c r="J125" s="5">
        <v>4.4829999999999997</v>
      </c>
      <c r="K125" s="5"/>
      <c r="L125" s="5"/>
      <c r="M125" s="5"/>
      <c r="N125" s="151">
        <v>40985.620015422428</v>
      </c>
      <c r="O125" s="4">
        <v>-7</v>
      </c>
      <c r="P125" s="4">
        <v>2</v>
      </c>
    </row>
    <row r="126" spans="1:16" x14ac:dyDescent="0.25">
      <c r="A126" s="144">
        <v>40968.916666666664</v>
      </c>
      <c r="B126" s="5">
        <v>-5</v>
      </c>
      <c r="C126" s="5">
        <v>1200293</v>
      </c>
      <c r="D126" s="5" t="s">
        <v>1311</v>
      </c>
      <c r="E126" s="5" t="s">
        <v>116</v>
      </c>
      <c r="F126" s="5" t="s">
        <v>1524</v>
      </c>
      <c r="G126" s="5" t="s">
        <v>1389</v>
      </c>
      <c r="H126" s="5">
        <v>7.3109999999999999</v>
      </c>
      <c r="I126" s="5">
        <v>115.4</v>
      </c>
      <c r="J126" s="5">
        <v>5.423</v>
      </c>
      <c r="K126" s="5"/>
      <c r="L126" s="5"/>
      <c r="M126" s="5"/>
      <c r="N126" s="151">
        <v>40973.420209469827</v>
      </c>
      <c r="O126" s="4">
        <v>-7</v>
      </c>
      <c r="P126" s="4">
        <v>3</v>
      </c>
    </row>
    <row r="127" spans="1:16" x14ac:dyDescent="0.25">
      <c r="A127" s="144">
        <v>40969.375</v>
      </c>
      <c r="B127" s="5">
        <v>-5</v>
      </c>
      <c r="C127" s="5">
        <v>1200294</v>
      </c>
      <c r="D127" s="5" t="s">
        <v>1311</v>
      </c>
      <c r="E127" s="5" t="s">
        <v>116</v>
      </c>
      <c r="F127" s="5" t="s">
        <v>1524</v>
      </c>
      <c r="G127" s="5" t="s">
        <v>1389</v>
      </c>
      <c r="H127" s="5">
        <v>7.4480000000000004</v>
      </c>
      <c r="I127" s="5">
        <v>154.19999999999999</v>
      </c>
      <c r="J127" s="5">
        <v>3.0830000000000002</v>
      </c>
      <c r="K127" s="5"/>
      <c r="L127" s="5"/>
      <c r="M127" s="5"/>
      <c r="N127" s="151">
        <v>40988.686638024548</v>
      </c>
      <c r="O127" s="4">
        <v>-7</v>
      </c>
      <c r="P127" s="4">
        <v>0</v>
      </c>
    </row>
    <row r="128" spans="1:16" x14ac:dyDescent="0.25">
      <c r="A128" s="144">
        <v>40975.568749999999</v>
      </c>
      <c r="B128" s="5">
        <v>-5</v>
      </c>
      <c r="C128" s="5">
        <v>1200346</v>
      </c>
      <c r="D128" s="5" t="s">
        <v>1308</v>
      </c>
      <c r="E128" s="5" t="s">
        <v>110</v>
      </c>
      <c r="F128" s="5" t="s">
        <v>1523</v>
      </c>
      <c r="G128" s="5" t="s">
        <v>1293</v>
      </c>
      <c r="H128" s="5">
        <v>7.5819999999999999</v>
      </c>
      <c r="I128" s="5">
        <v>184.6</v>
      </c>
      <c r="J128" s="5">
        <v>1.0469999999999999</v>
      </c>
      <c r="K128" s="5">
        <v>1198.7989239999999</v>
      </c>
      <c r="L128" s="5">
        <v>3.7881</v>
      </c>
      <c r="M128" s="5"/>
      <c r="N128" s="151">
        <v>40980.733721873126</v>
      </c>
      <c r="O128" s="4">
        <v>-7</v>
      </c>
      <c r="P128" s="4">
        <v>2</v>
      </c>
    </row>
    <row r="129" spans="1:16" x14ac:dyDescent="0.25">
      <c r="A129" s="144">
        <v>40975.645833333336</v>
      </c>
      <c r="B129" s="5">
        <v>-5</v>
      </c>
      <c r="C129" s="5">
        <v>1200345</v>
      </c>
      <c r="D129" s="5" t="s">
        <v>1313</v>
      </c>
      <c r="E129" s="5" t="s">
        <v>110</v>
      </c>
      <c r="F129" s="5" t="s">
        <v>1523</v>
      </c>
      <c r="G129" s="5" t="s">
        <v>1293</v>
      </c>
      <c r="H129" s="5">
        <v>7.54</v>
      </c>
      <c r="I129" s="5">
        <v>176.8</v>
      </c>
      <c r="J129" s="5">
        <v>1.1499999999999999</v>
      </c>
      <c r="K129" s="5">
        <v>1128.4343240000001</v>
      </c>
      <c r="L129" s="5">
        <v>4.0792000000000002</v>
      </c>
      <c r="M129" s="5"/>
      <c r="N129" s="151">
        <v>40986.555814371721</v>
      </c>
      <c r="O129" s="4">
        <v>-7</v>
      </c>
      <c r="P129" s="4">
        <v>3</v>
      </c>
    </row>
    <row r="130" spans="1:16" x14ac:dyDescent="0.25">
      <c r="A130" s="144">
        <v>40975.657638888886</v>
      </c>
      <c r="B130" s="5">
        <v>-5</v>
      </c>
      <c r="C130" s="5">
        <v>1200344</v>
      </c>
      <c r="D130" s="5" t="s">
        <v>1314</v>
      </c>
      <c r="E130" s="5" t="s">
        <v>110</v>
      </c>
      <c r="F130" s="5" t="s">
        <v>1523</v>
      </c>
      <c r="G130" s="5" t="s">
        <v>1293</v>
      </c>
      <c r="H130" s="5">
        <v>7.5430000000000001</v>
      </c>
      <c r="I130" s="5">
        <v>180.7</v>
      </c>
      <c r="J130" s="5">
        <v>1.093</v>
      </c>
      <c r="K130" s="5">
        <v>1182.5894559999999</v>
      </c>
      <c r="L130" s="5">
        <v>4.0664999999999996</v>
      </c>
      <c r="M130" s="5"/>
      <c r="N130" s="151">
        <v>40977.884044050748</v>
      </c>
      <c r="O130" s="4">
        <v>-7</v>
      </c>
      <c r="P130" s="4">
        <v>0</v>
      </c>
    </row>
    <row r="131" spans="1:16" x14ac:dyDescent="0.25">
      <c r="A131" s="144">
        <v>41003.661111111112</v>
      </c>
      <c r="B131" s="5">
        <v>-4</v>
      </c>
      <c r="C131" s="5">
        <v>1200517</v>
      </c>
      <c r="D131" s="5" t="s">
        <v>1308</v>
      </c>
      <c r="E131" s="5" t="s">
        <v>110</v>
      </c>
      <c r="F131" s="5" t="s">
        <v>1523</v>
      </c>
      <c r="G131" s="5" t="s">
        <v>1293</v>
      </c>
      <c r="H131" s="5">
        <v>7.5049999999999999</v>
      </c>
      <c r="I131" s="5">
        <v>184.8</v>
      </c>
      <c r="J131" s="5">
        <v>1.353</v>
      </c>
      <c r="K131" s="5">
        <v>1261.6749279999999</v>
      </c>
      <c r="L131" s="5">
        <v>3.3959999999999999</v>
      </c>
      <c r="M131" s="5"/>
      <c r="N131" s="151">
        <v>41009.234928260354</v>
      </c>
      <c r="O131" s="4">
        <v>-7</v>
      </c>
      <c r="P131" s="4">
        <v>2</v>
      </c>
    </row>
    <row r="132" spans="1:16" x14ac:dyDescent="0.25">
      <c r="A132" s="144">
        <v>41003.694444444445</v>
      </c>
      <c r="B132" s="5">
        <v>-4</v>
      </c>
      <c r="C132" s="5">
        <v>1200516</v>
      </c>
      <c r="D132" s="5" t="s">
        <v>1313</v>
      </c>
      <c r="E132" s="5" t="s">
        <v>110</v>
      </c>
      <c r="F132" s="5" t="s">
        <v>1523</v>
      </c>
      <c r="G132" s="5" t="s">
        <v>1293</v>
      </c>
      <c r="H132" s="5">
        <v>7.7050000000000001</v>
      </c>
      <c r="I132" s="5">
        <v>192.8</v>
      </c>
      <c r="J132" s="5">
        <v>1.31</v>
      </c>
      <c r="K132" s="5">
        <v>1186.18696</v>
      </c>
      <c r="L132" s="5">
        <v>3.7467000000000001</v>
      </c>
      <c r="M132" s="5"/>
      <c r="N132" s="151">
        <v>41012.591300537177</v>
      </c>
      <c r="O132" s="4">
        <v>-7</v>
      </c>
      <c r="P132" s="4">
        <v>1</v>
      </c>
    </row>
    <row r="133" spans="1:16" x14ac:dyDescent="0.25">
      <c r="A133" s="144">
        <v>41003.711805555555</v>
      </c>
      <c r="B133" s="5">
        <v>-4</v>
      </c>
      <c r="C133" s="5">
        <v>1200515</v>
      </c>
      <c r="D133" s="5" t="s">
        <v>1314</v>
      </c>
      <c r="E133" s="5" t="s">
        <v>110</v>
      </c>
      <c r="F133" s="5" t="s">
        <v>1523</v>
      </c>
      <c r="G133" s="5" t="s">
        <v>1293</v>
      </c>
      <c r="H133" s="5">
        <v>7.79</v>
      </c>
      <c r="I133" s="5">
        <v>181.3</v>
      </c>
      <c r="J133" s="5">
        <v>1.31</v>
      </c>
      <c r="K133" s="5">
        <v>1252.2361969999999</v>
      </c>
      <c r="L133" s="5">
        <v>3.7239</v>
      </c>
      <c r="M133" s="5"/>
      <c r="N133" s="151">
        <v>41017.971574246774</v>
      </c>
      <c r="O133" s="4">
        <v>-7</v>
      </c>
      <c r="P133" s="4">
        <v>3</v>
      </c>
    </row>
    <row r="134" spans="1:16" x14ac:dyDescent="0.25">
      <c r="A134" s="144">
        <v>41009.749305555553</v>
      </c>
      <c r="B134" s="5">
        <v>-4</v>
      </c>
      <c r="C134" s="5">
        <v>1200529</v>
      </c>
      <c r="D134" s="5" t="s">
        <v>1309</v>
      </c>
      <c r="E134" s="5" t="s">
        <v>110</v>
      </c>
      <c r="F134" s="5" t="s">
        <v>1523</v>
      </c>
      <c r="G134" s="5" t="s">
        <v>1293</v>
      </c>
      <c r="H134" s="5">
        <v>7.0220000000000002</v>
      </c>
      <c r="I134" s="5">
        <v>379</v>
      </c>
      <c r="J134" s="5">
        <v>2.5499999999999998</v>
      </c>
      <c r="K134" s="5"/>
      <c r="L134" s="5">
        <v>3.5766</v>
      </c>
      <c r="M134" s="5"/>
      <c r="N134" s="151">
        <v>41023.212562296671</v>
      </c>
      <c r="O134" s="4">
        <v>-7</v>
      </c>
      <c r="P134" s="4">
        <v>2</v>
      </c>
    </row>
    <row r="135" spans="1:16" x14ac:dyDescent="0.25">
      <c r="A135" s="144">
        <v>41009.76458333333</v>
      </c>
      <c r="B135" s="5">
        <v>-4</v>
      </c>
      <c r="C135" s="5">
        <v>1200530</v>
      </c>
      <c r="D135" s="5" t="s">
        <v>1310</v>
      </c>
      <c r="E135" s="5" t="s">
        <v>110</v>
      </c>
      <c r="F135" s="5" t="s">
        <v>1523</v>
      </c>
      <c r="G135" s="5" t="s">
        <v>1293</v>
      </c>
      <c r="H135" s="5">
        <v>7.585</v>
      </c>
      <c r="I135" s="5">
        <v>401</v>
      </c>
      <c r="J135" s="5">
        <v>1.327</v>
      </c>
      <c r="K135" s="5"/>
      <c r="L135" s="5">
        <v>11.1021</v>
      </c>
      <c r="M135" s="5"/>
      <c r="N135" s="151">
        <v>41011.898423220024</v>
      </c>
      <c r="O135" s="4">
        <v>-7</v>
      </c>
      <c r="P135" s="4">
        <v>0</v>
      </c>
    </row>
    <row r="136" spans="1:16" x14ac:dyDescent="0.25">
      <c r="A136" s="144">
        <v>41020.583333333336</v>
      </c>
      <c r="B136" s="5">
        <v>-4</v>
      </c>
      <c r="C136" s="5">
        <v>1200779</v>
      </c>
      <c r="D136" s="5" t="s">
        <v>1311</v>
      </c>
      <c r="E136" s="5" t="s">
        <v>116</v>
      </c>
      <c r="F136" s="5" t="s">
        <v>1524</v>
      </c>
      <c r="G136" s="5" t="s">
        <v>1389</v>
      </c>
      <c r="H136" s="5">
        <v>7.6319999999999997</v>
      </c>
      <c r="I136" s="5">
        <v>209</v>
      </c>
      <c r="J136" s="5">
        <v>2.6640000000000001</v>
      </c>
      <c r="K136" s="5">
        <v>1259.3761440000001</v>
      </c>
      <c r="L136" s="5">
        <v>3.4026999999999998</v>
      </c>
      <c r="M136" s="5"/>
      <c r="N136" s="151">
        <v>41036.375432605659</v>
      </c>
      <c r="O136" s="4">
        <v>-7</v>
      </c>
      <c r="P136" s="4">
        <v>3</v>
      </c>
    </row>
    <row r="137" spans="1:16" x14ac:dyDescent="0.25">
      <c r="A137" s="144">
        <v>41021.458333333336</v>
      </c>
      <c r="B137" s="5">
        <v>-4</v>
      </c>
      <c r="C137" s="5">
        <v>1200780</v>
      </c>
      <c r="D137" s="5" t="s">
        <v>1311</v>
      </c>
      <c r="E137" s="5" t="s">
        <v>116</v>
      </c>
      <c r="F137" s="5" t="s">
        <v>1524</v>
      </c>
      <c r="G137" s="5" t="s">
        <v>1389</v>
      </c>
      <c r="H137" s="5">
        <v>7.766</v>
      </c>
      <c r="I137" s="5">
        <v>211</v>
      </c>
      <c r="J137" s="5">
        <v>2.3969999999999998</v>
      </c>
      <c r="K137" s="5">
        <v>1227.9886859999999</v>
      </c>
      <c r="L137" s="5">
        <v>3.4157000000000002</v>
      </c>
      <c r="M137" s="5"/>
      <c r="N137" s="151">
        <v>41026.994301796636</v>
      </c>
      <c r="O137" s="4">
        <v>-7</v>
      </c>
      <c r="P137" s="4">
        <v>0</v>
      </c>
    </row>
    <row r="138" spans="1:16" x14ac:dyDescent="0.25">
      <c r="A138" s="144">
        <v>41021.666666666664</v>
      </c>
      <c r="B138" s="5">
        <v>-4</v>
      </c>
      <c r="C138" s="5">
        <v>1200781</v>
      </c>
      <c r="D138" s="5" t="s">
        <v>1311</v>
      </c>
      <c r="E138" s="5" t="s">
        <v>116</v>
      </c>
      <c r="F138" s="5" t="s">
        <v>1524</v>
      </c>
      <c r="G138" s="5" t="s">
        <v>1389</v>
      </c>
      <c r="H138" s="5">
        <v>7.6139999999999999</v>
      </c>
      <c r="I138" s="5">
        <v>190.5</v>
      </c>
      <c r="J138" s="5">
        <v>3.6320000000000001</v>
      </c>
      <c r="K138" s="5">
        <v>1129.3081609999999</v>
      </c>
      <c r="L138" s="5">
        <v>2.7587000000000002</v>
      </c>
      <c r="M138" s="5"/>
      <c r="N138" s="151">
        <v>41037.874199166996</v>
      </c>
      <c r="O138" s="4">
        <v>-7</v>
      </c>
      <c r="P138" s="4">
        <v>2</v>
      </c>
    </row>
    <row r="139" spans="1:16" x14ac:dyDescent="0.25">
      <c r="A139" s="144">
        <v>41021.833333333336</v>
      </c>
      <c r="B139" s="5">
        <v>-4</v>
      </c>
      <c r="C139" s="5">
        <v>1200782</v>
      </c>
      <c r="D139" s="5" t="s">
        <v>1311</v>
      </c>
      <c r="E139" s="5" t="s">
        <v>116</v>
      </c>
      <c r="F139" s="5" t="s">
        <v>1524</v>
      </c>
      <c r="G139" s="5" t="s">
        <v>1389</v>
      </c>
      <c r="H139" s="5">
        <v>7.4619999999999997</v>
      </c>
      <c r="I139" s="5">
        <v>148.30000000000001</v>
      </c>
      <c r="J139" s="5">
        <v>7.92</v>
      </c>
      <c r="K139" s="5">
        <v>834.03997019999997</v>
      </c>
      <c r="L139" s="5">
        <v>1.5792999999999999</v>
      </c>
      <c r="M139" s="5"/>
      <c r="N139" s="151">
        <v>41026.651596238713</v>
      </c>
      <c r="O139" s="4">
        <v>-7</v>
      </c>
      <c r="P139" s="4">
        <v>2</v>
      </c>
    </row>
    <row r="140" spans="1:16" x14ac:dyDescent="0.25">
      <c r="A140" s="144">
        <v>41021.875</v>
      </c>
      <c r="B140" s="5">
        <v>-4</v>
      </c>
      <c r="C140" s="5">
        <v>1200783</v>
      </c>
      <c r="D140" s="5" t="s">
        <v>1311</v>
      </c>
      <c r="E140" s="5" t="s">
        <v>116</v>
      </c>
      <c r="F140" s="5" t="s">
        <v>1524</v>
      </c>
      <c r="G140" s="5" t="s">
        <v>1389</v>
      </c>
      <c r="H140" s="5">
        <v>7.335</v>
      </c>
      <c r="I140" s="5">
        <v>120.2</v>
      </c>
      <c r="J140" s="5">
        <v>9.24</v>
      </c>
      <c r="K140" s="5">
        <v>682.66688039999997</v>
      </c>
      <c r="L140" s="5">
        <v>1.1954</v>
      </c>
      <c r="M140" s="5"/>
      <c r="N140" s="151">
        <v>41038.221548754067</v>
      </c>
      <c r="O140" s="4">
        <v>-7</v>
      </c>
      <c r="P140" s="4">
        <v>2</v>
      </c>
    </row>
    <row r="141" spans="1:16" x14ac:dyDescent="0.25">
      <c r="A141" s="144">
        <v>41021.916666666664</v>
      </c>
      <c r="B141" s="5">
        <v>-4</v>
      </c>
      <c r="C141" s="5">
        <v>1200784</v>
      </c>
      <c r="D141" s="5" t="s">
        <v>1311</v>
      </c>
      <c r="E141" s="5" t="s">
        <v>116</v>
      </c>
      <c r="F141" s="5" t="s">
        <v>1524</v>
      </c>
      <c r="G141" s="5" t="s">
        <v>1389</v>
      </c>
      <c r="H141" s="5">
        <v>7.3360000000000003</v>
      </c>
      <c r="I141" s="5">
        <v>100.8</v>
      </c>
      <c r="J141" s="5">
        <v>10.026999999999999</v>
      </c>
      <c r="K141" s="5">
        <v>580.30830109999999</v>
      </c>
      <c r="L141" s="5">
        <v>0.96740000000000004</v>
      </c>
      <c r="M141" s="5"/>
      <c r="N141" s="151">
        <v>41025.807665845932</v>
      </c>
      <c r="O141" s="4">
        <v>-7</v>
      </c>
      <c r="P141" s="4">
        <v>3</v>
      </c>
    </row>
    <row r="142" spans="1:16" x14ac:dyDescent="0.25">
      <c r="A142" s="144">
        <v>41021.958333333336</v>
      </c>
      <c r="B142" s="5">
        <v>-4</v>
      </c>
      <c r="C142" s="5">
        <v>1200785</v>
      </c>
      <c r="D142" s="5" t="s">
        <v>1311</v>
      </c>
      <c r="E142" s="5" t="s">
        <v>116</v>
      </c>
      <c r="F142" s="5" t="s">
        <v>1524</v>
      </c>
      <c r="G142" s="5" t="s">
        <v>1389</v>
      </c>
      <c r="H142" s="5">
        <v>7.2619999999999996</v>
      </c>
      <c r="I142" s="5">
        <v>93.1</v>
      </c>
      <c r="J142" s="5">
        <v>10.227</v>
      </c>
      <c r="K142" s="5">
        <v>550.00774799999999</v>
      </c>
      <c r="L142" s="5">
        <v>0.89049999999999996</v>
      </c>
      <c r="M142" s="5"/>
      <c r="N142" s="151">
        <v>41036.164630186329</v>
      </c>
      <c r="O142" s="4">
        <v>-7</v>
      </c>
      <c r="P142" s="4">
        <v>0</v>
      </c>
    </row>
    <row r="143" spans="1:16" x14ac:dyDescent="0.25">
      <c r="A143" s="144">
        <v>41022.125</v>
      </c>
      <c r="B143" s="5">
        <v>-4</v>
      </c>
      <c r="C143" s="5">
        <v>1200789</v>
      </c>
      <c r="D143" s="5" t="s">
        <v>1311</v>
      </c>
      <c r="E143" s="5" t="s">
        <v>116</v>
      </c>
      <c r="F143" s="5" t="s">
        <v>1524</v>
      </c>
      <c r="G143" s="5" t="s">
        <v>1389</v>
      </c>
      <c r="H143" s="5">
        <v>7.3209999999999997</v>
      </c>
      <c r="I143" s="5">
        <v>108.1</v>
      </c>
      <c r="J143" s="5">
        <v>9.4269999999999996</v>
      </c>
      <c r="K143" s="5">
        <v>632.66774429999998</v>
      </c>
      <c r="L143" s="5">
        <v>1.0879000000000001</v>
      </c>
      <c r="M143" s="5"/>
      <c r="N143" s="151">
        <v>41025.683768858966</v>
      </c>
      <c r="O143" s="4">
        <v>-7</v>
      </c>
      <c r="P143" s="4">
        <v>2</v>
      </c>
    </row>
    <row r="144" spans="1:16" x14ac:dyDescent="0.25">
      <c r="A144" s="144">
        <v>41022.416666666664</v>
      </c>
      <c r="B144" s="5">
        <v>-4</v>
      </c>
      <c r="C144" s="5">
        <v>1200790</v>
      </c>
      <c r="D144" s="5" t="s">
        <v>1311</v>
      </c>
      <c r="E144" s="5" t="s">
        <v>116</v>
      </c>
      <c r="F144" s="5" t="s">
        <v>1524</v>
      </c>
      <c r="G144" s="5" t="s">
        <v>1389</v>
      </c>
      <c r="H144" s="5">
        <v>7.4880000000000004</v>
      </c>
      <c r="I144" s="5">
        <v>153.5</v>
      </c>
      <c r="J144" s="5">
        <v>6.4</v>
      </c>
      <c r="K144" s="5">
        <v>883.49983320000001</v>
      </c>
      <c r="L144" s="5">
        <v>1.8666</v>
      </c>
      <c r="M144" s="5"/>
      <c r="N144" s="151">
        <v>41038.0414546389</v>
      </c>
      <c r="O144" s="4">
        <v>-7</v>
      </c>
      <c r="P144" s="4">
        <v>3</v>
      </c>
    </row>
    <row r="145" spans="1:16" x14ac:dyDescent="0.25">
      <c r="A145" s="144">
        <v>41023.125</v>
      </c>
      <c r="B145" s="5">
        <v>-4</v>
      </c>
      <c r="C145" s="5">
        <v>1200791</v>
      </c>
      <c r="D145" s="5" t="s">
        <v>1311</v>
      </c>
      <c r="E145" s="5" t="s">
        <v>116</v>
      </c>
      <c r="F145" s="5" t="s">
        <v>1524</v>
      </c>
      <c r="G145" s="5" t="s">
        <v>1389</v>
      </c>
      <c r="H145" s="5">
        <v>7.5190000000000001</v>
      </c>
      <c r="I145" s="5">
        <v>167.8</v>
      </c>
      <c r="J145" s="5">
        <v>2.7349999999999999</v>
      </c>
      <c r="K145" s="5">
        <v>1125.15437</v>
      </c>
      <c r="L145" s="5">
        <v>3.0977999999999999</v>
      </c>
      <c r="M145" s="5"/>
      <c r="N145" s="151">
        <v>41024.266784917301</v>
      </c>
      <c r="O145" s="4">
        <v>-7</v>
      </c>
      <c r="P145" s="4">
        <v>0</v>
      </c>
    </row>
    <row r="146" spans="1:16" x14ac:dyDescent="0.25">
      <c r="A146" s="144">
        <v>41031.556250000001</v>
      </c>
      <c r="B146" s="5">
        <v>-4</v>
      </c>
      <c r="C146" s="5">
        <v>1200881</v>
      </c>
      <c r="D146" s="5" t="s">
        <v>1308</v>
      </c>
      <c r="E146" s="5" t="s">
        <v>110</v>
      </c>
      <c r="F146" s="5" t="s">
        <v>1523</v>
      </c>
      <c r="G146" s="5" t="s">
        <v>1293</v>
      </c>
      <c r="H146" s="5">
        <v>7.4530000000000003</v>
      </c>
      <c r="I146" s="5">
        <v>181.6</v>
      </c>
      <c r="J146" s="5">
        <v>1.92</v>
      </c>
      <c r="K146" s="5">
        <v>1300.434976</v>
      </c>
      <c r="L146" s="5">
        <v>3.0327000000000002</v>
      </c>
      <c r="M146" s="5"/>
      <c r="N146" s="151">
        <v>41032.842215926605</v>
      </c>
      <c r="O146" s="4">
        <v>-7</v>
      </c>
      <c r="P146" s="4">
        <v>4</v>
      </c>
    </row>
    <row r="147" spans="1:16" x14ac:dyDescent="0.25">
      <c r="A147" s="144">
        <v>41031.595138888886</v>
      </c>
      <c r="B147" s="5">
        <v>-4</v>
      </c>
      <c r="C147" s="5">
        <v>1200879</v>
      </c>
      <c r="D147" s="5" t="s">
        <v>1314</v>
      </c>
      <c r="E147" s="5" t="s">
        <v>110</v>
      </c>
      <c r="F147" s="5" t="s">
        <v>1523</v>
      </c>
      <c r="G147" s="5" t="s">
        <v>1293</v>
      </c>
      <c r="H147" s="5">
        <v>7.74</v>
      </c>
      <c r="I147" s="5">
        <v>189.6</v>
      </c>
      <c r="J147" s="5">
        <v>1.65</v>
      </c>
      <c r="K147" s="5">
        <v>1257.8545489999999</v>
      </c>
      <c r="L147" s="5">
        <v>3.5011000000000001</v>
      </c>
      <c r="M147" s="5"/>
      <c r="N147" s="151">
        <v>41046.460237232335</v>
      </c>
      <c r="O147" s="4">
        <v>-7</v>
      </c>
      <c r="P147" s="4">
        <v>3</v>
      </c>
    </row>
    <row r="148" spans="1:16" x14ac:dyDescent="0.25">
      <c r="A148" s="144">
        <v>41031.627083333333</v>
      </c>
      <c r="B148" s="5">
        <v>-4</v>
      </c>
      <c r="C148" s="5">
        <v>1200880</v>
      </c>
      <c r="D148" s="5" t="s">
        <v>1313</v>
      </c>
      <c r="E148" s="5" t="s">
        <v>110</v>
      </c>
      <c r="F148" s="5" t="s">
        <v>1523</v>
      </c>
      <c r="G148" s="5" t="s">
        <v>1293</v>
      </c>
      <c r="H148" s="5">
        <v>7.5919999999999996</v>
      </c>
      <c r="I148" s="5">
        <v>192.2</v>
      </c>
      <c r="J148" s="5">
        <v>1.87</v>
      </c>
      <c r="K148" s="5">
        <v>1222.4232509999999</v>
      </c>
      <c r="L148" s="5">
        <v>3.3414000000000001</v>
      </c>
      <c r="M148" s="5"/>
      <c r="N148" s="151">
        <v>41039.120061438407</v>
      </c>
      <c r="O148" s="4">
        <v>-7</v>
      </c>
      <c r="P148" s="4">
        <v>3</v>
      </c>
    </row>
    <row r="149" spans="1:16" x14ac:dyDescent="0.25">
      <c r="A149" s="144">
        <v>41066.651388888888</v>
      </c>
      <c r="B149" s="5">
        <v>-4</v>
      </c>
      <c r="C149" s="5">
        <v>1201280</v>
      </c>
      <c r="D149" s="5" t="s">
        <v>1308</v>
      </c>
      <c r="E149" s="5" t="s">
        <v>110</v>
      </c>
      <c r="F149" s="5" t="s">
        <v>1523</v>
      </c>
      <c r="G149" s="5" t="s">
        <v>1293</v>
      </c>
      <c r="H149" s="5">
        <v>7.5049999999999999</v>
      </c>
      <c r="I149" s="5">
        <v>213</v>
      </c>
      <c r="J149" s="5">
        <v>1.3340000000000001</v>
      </c>
      <c r="K149" s="5">
        <v>1392.592455</v>
      </c>
      <c r="L149" s="5">
        <v>3.4992000000000001</v>
      </c>
      <c r="M149" s="5"/>
      <c r="N149" s="151">
        <v>41068.510694527948</v>
      </c>
      <c r="O149" s="4">
        <v>-7</v>
      </c>
      <c r="P149" s="4">
        <v>1</v>
      </c>
    </row>
    <row r="150" spans="1:16" x14ac:dyDescent="0.25">
      <c r="A150" s="144">
        <v>41066.67291666667</v>
      </c>
      <c r="B150" s="5">
        <v>-4</v>
      </c>
      <c r="C150" s="5">
        <v>1201278</v>
      </c>
      <c r="D150" s="5" t="s">
        <v>1314</v>
      </c>
      <c r="E150" s="5" t="s">
        <v>110</v>
      </c>
      <c r="F150" s="5" t="s">
        <v>1523</v>
      </c>
      <c r="G150" s="5" t="s">
        <v>1293</v>
      </c>
      <c r="H150" s="5">
        <v>7.6630000000000003</v>
      </c>
      <c r="I150" s="5">
        <v>207</v>
      </c>
      <c r="J150" s="5">
        <v>1.4019999999999999</v>
      </c>
      <c r="K150" s="5">
        <v>1378.6522580000001</v>
      </c>
      <c r="L150" s="5">
        <v>3.6892</v>
      </c>
      <c r="M150" s="5"/>
      <c r="N150" s="151">
        <v>41075.941898348763</v>
      </c>
      <c r="O150" s="4">
        <v>-7</v>
      </c>
      <c r="P150" s="4">
        <v>1</v>
      </c>
    </row>
    <row r="151" spans="1:16" x14ac:dyDescent="0.25">
      <c r="A151" s="144">
        <v>41066.688194444447</v>
      </c>
      <c r="B151" s="5">
        <v>-4</v>
      </c>
      <c r="C151" s="5">
        <v>1201279</v>
      </c>
      <c r="D151" s="5" t="s">
        <v>1313</v>
      </c>
      <c r="E151" s="5" t="s">
        <v>110</v>
      </c>
      <c r="F151" s="5" t="s">
        <v>1523</v>
      </c>
      <c r="G151" s="5" t="s">
        <v>1293</v>
      </c>
      <c r="H151" s="5">
        <v>7.5460000000000003</v>
      </c>
      <c r="I151" s="5">
        <v>223</v>
      </c>
      <c r="J151" s="5">
        <v>1.3779999999999999</v>
      </c>
      <c r="K151" s="5">
        <v>1297.24692</v>
      </c>
      <c r="L151" s="5">
        <v>3.7732000000000001</v>
      </c>
      <c r="M151" s="5"/>
      <c r="N151" s="151">
        <v>41086.531392281257</v>
      </c>
      <c r="O151" s="4">
        <v>-7</v>
      </c>
      <c r="P151" s="4">
        <v>4</v>
      </c>
    </row>
    <row r="152" spans="1:16" x14ac:dyDescent="0.25">
      <c r="A152" s="144">
        <v>41082.783333333333</v>
      </c>
      <c r="B152" s="5">
        <v>-4</v>
      </c>
      <c r="C152" s="5">
        <v>1201403</v>
      </c>
      <c r="D152" s="5" t="s">
        <v>1310</v>
      </c>
      <c r="E152" s="5" t="s">
        <v>110</v>
      </c>
      <c r="F152" s="5" t="s">
        <v>1523</v>
      </c>
      <c r="G152" s="5" t="s">
        <v>1293</v>
      </c>
      <c r="H152" s="5">
        <v>7.5460000000000003</v>
      </c>
      <c r="I152" s="5">
        <v>424</v>
      </c>
      <c r="J152" s="5">
        <v>1.643</v>
      </c>
      <c r="K152" s="5"/>
      <c r="L152" s="5">
        <v>11.885400000000001</v>
      </c>
      <c r="M152" s="5"/>
      <c r="N152" s="151">
        <v>41102.186473329741</v>
      </c>
      <c r="O152" s="4">
        <v>-7</v>
      </c>
      <c r="P152" s="4">
        <v>1</v>
      </c>
    </row>
    <row r="153" spans="1:16" x14ac:dyDescent="0.25">
      <c r="A153" s="144">
        <v>41101.703472222223</v>
      </c>
      <c r="B153" s="5">
        <v>-4</v>
      </c>
      <c r="C153" s="5">
        <v>1201706</v>
      </c>
      <c r="D153" s="5" t="s">
        <v>1308</v>
      </c>
      <c r="E153" s="5" t="s">
        <v>110</v>
      </c>
      <c r="F153" s="5" t="s">
        <v>1523</v>
      </c>
      <c r="G153" s="5" t="s">
        <v>1293</v>
      </c>
      <c r="H153" s="5">
        <v>7.6589999999999998</v>
      </c>
      <c r="I153" s="5">
        <v>203</v>
      </c>
      <c r="J153" s="5">
        <v>1.2130000000000001</v>
      </c>
      <c r="K153" s="5">
        <v>1403.677439</v>
      </c>
      <c r="L153" s="5">
        <v>3.7189000000000001</v>
      </c>
      <c r="M153" s="5"/>
      <c r="N153" s="151">
        <v>41111.853737536505</v>
      </c>
      <c r="O153" s="4">
        <v>-7</v>
      </c>
      <c r="P153" s="4">
        <v>3</v>
      </c>
    </row>
    <row r="154" spans="1:16" x14ac:dyDescent="0.25">
      <c r="A154" s="144">
        <v>41101.727777777778</v>
      </c>
      <c r="B154" s="5">
        <v>-4</v>
      </c>
      <c r="C154" s="5">
        <v>1201704</v>
      </c>
      <c r="D154" s="5" t="s">
        <v>1314</v>
      </c>
      <c r="E154" s="5" t="s">
        <v>110</v>
      </c>
      <c r="F154" s="5" t="s">
        <v>1523</v>
      </c>
      <c r="G154" s="5" t="s">
        <v>1293</v>
      </c>
      <c r="H154" s="5">
        <v>7.9870000000000001</v>
      </c>
      <c r="I154" s="5">
        <v>189.9</v>
      </c>
      <c r="J154" s="5">
        <v>1.28</v>
      </c>
      <c r="K154" s="5">
        <v>1411.2045149999999</v>
      </c>
      <c r="L154" s="5">
        <v>3.8706999999999998</v>
      </c>
      <c r="M154" s="5"/>
      <c r="N154" s="151">
        <v>41117.68037690418</v>
      </c>
      <c r="O154" s="4">
        <v>-7</v>
      </c>
      <c r="P154" s="4">
        <v>2</v>
      </c>
    </row>
    <row r="155" spans="1:16" x14ac:dyDescent="0.25">
      <c r="A155" s="144">
        <v>41101.754861111112</v>
      </c>
      <c r="B155" s="5">
        <v>-4</v>
      </c>
      <c r="C155" s="5">
        <v>1201705</v>
      </c>
      <c r="D155" s="5" t="s">
        <v>1313</v>
      </c>
      <c r="E155" s="5" t="s">
        <v>110</v>
      </c>
      <c r="F155" s="5" t="s">
        <v>1523</v>
      </c>
      <c r="G155" s="5" t="s">
        <v>1293</v>
      </c>
      <c r="H155" s="5">
        <v>7.7220000000000004</v>
      </c>
      <c r="I155" s="5">
        <v>201</v>
      </c>
      <c r="J155" s="5">
        <v>1.25</v>
      </c>
      <c r="K155" s="5">
        <v>1346.024666</v>
      </c>
      <c r="L155" s="5">
        <v>4.0084</v>
      </c>
      <c r="M155" s="5"/>
      <c r="N155" s="151">
        <v>41106.440985674155</v>
      </c>
      <c r="O155" s="4">
        <v>-7</v>
      </c>
      <c r="P155" s="4">
        <v>2</v>
      </c>
    </row>
    <row r="156" spans="1:16" x14ac:dyDescent="0.25">
      <c r="A156" s="144">
        <v>41108.688194444447</v>
      </c>
      <c r="B156" s="5">
        <v>-4</v>
      </c>
      <c r="C156" s="5">
        <v>1201756</v>
      </c>
      <c r="D156" s="5" t="s">
        <v>1310</v>
      </c>
      <c r="E156" s="5" t="s">
        <v>110</v>
      </c>
      <c r="F156" s="5" t="s">
        <v>1523</v>
      </c>
      <c r="G156" s="5" t="s">
        <v>1293</v>
      </c>
      <c r="H156" s="5">
        <v>7.4640000000000004</v>
      </c>
      <c r="I156" s="5">
        <v>451</v>
      </c>
      <c r="J156" s="5">
        <v>2.0230000000000001</v>
      </c>
      <c r="K156" s="5"/>
      <c r="L156" s="5">
        <v>12.4695</v>
      </c>
      <c r="M156" s="5"/>
      <c r="N156" s="151">
        <v>41127.073253695773</v>
      </c>
      <c r="O156" s="4">
        <v>-7</v>
      </c>
      <c r="P156" s="4">
        <v>1</v>
      </c>
    </row>
    <row r="157" spans="1:16" x14ac:dyDescent="0.25">
      <c r="A157" s="144">
        <v>41129.659722222219</v>
      </c>
      <c r="B157" s="5">
        <v>-4</v>
      </c>
      <c r="C157" s="5">
        <v>1202111</v>
      </c>
      <c r="D157" s="5" t="s">
        <v>1314</v>
      </c>
      <c r="E157" s="5" t="s">
        <v>110</v>
      </c>
      <c r="F157" s="5" t="s">
        <v>1523</v>
      </c>
      <c r="G157" s="5" t="s">
        <v>1293</v>
      </c>
      <c r="H157" s="5">
        <v>7.69</v>
      </c>
      <c r="I157" s="5">
        <v>219</v>
      </c>
      <c r="J157" s="5">
        <v>1.514</v>
      </c>
      <c r="K157" s="5">
        <v>1434.712499</v>
      </c>
      <c r="L157" s="5">
        <v>3.5636999999999999</v>
      </c>
      <c r="M157" s="5"/>
      <c r="N157" s="151">
        <v>41135.7938671831</v>
      </c>
      <c r="O157" s="4">
        <v>-7</v>
      </c>
      <c r="P157" s="4">
        <v>3</v>
      </c>
    </row>
    <row r="158" spans="1:16" x14ac:dyDescent="0.25">
      <c r="A158" s="144">
        <v>41129.695138888892</v>
      </c>
      <c r="B158" s="5">
        <v>-4</v>
      </c>
      <c r="C158" s="5">
        <v>1202112</v>
      </c>
      <c r="D158" s="5" t="s">
        <v>1313</v>
      </c>
      <c r="E158" s="5" t="s">
        <v>110</v>
      </c>
      <c r="F158" s="5" t="s">
        <v>1523</v>
      </c>
      <c r="G158" s="5" t="s">
        <v>1293</v>
      </c>
      <c r="H158" s="5">
        <v>7.6040000000000001</v>
      </c>
      <c r="I158" s="5">
        <v>211</v>
      </c>
      <c r="J158" s="5">
        <v>1.4079999999999999</v>
      </c>
      <c r="K158" s="5">
        <v>1376.1448370000001</v>
      </c>
      <c r="L158" s="5">
        <v>3.8052000000000001</v>
      </c>
      <c r="M158" s="5"/>
      <c r="N158" s="151">
        <v>41143.704592196133</v>
      </c>
      <c r="O158" s="4">
        <v>-7</v>
      </c>
      <c r="P158" s="4">
        <v>3</v>
      </c>
    </row>
    <row r="159" spans="1:16" x14ac:dyDescent="0.25">
      <c r="A159" s="144">
        <v>41129.720833333333</v>
      </c>
      <c r="B159" s="5">
        <v>-4</v>
      </c>
      <c r="C159" s="5">
        <v>1202113</v>
      </c>
      <c r="D159" s="5" t="s">
        <v>1308</v>
      </c>
      <c r="E159" s="5" t="s">
        <v>110</v>
      </c>
      <c r="F159" s="5" t="s">
        <v>1523</v>
      </c>
      <c r="G159" s="5" t="s">
        <v>1293</v>
      </c>
      <c r="H159" s="5">
        <v>7.5629999999999997</v>
      </c>
      <c r="I159" s="5">
        <v>204</v>
      </c>
      <c r="J159" s="5">
        <v>1.3380000000000001</v>
      </c>
      <c r="K159" s="5">
        <v>1436.712583</v>
      </c>
      <c r="L159" s="5">
        <v>3.5630999999999999</v>
      </c>
      <c r="M159" s="5"/>
      <c r="N159" s="151">
        <v>41138.495484862513</v>
      </c>
      <c r="O159" s="4">
        <v>-7</v>
      </c>
      <c r="P159" s="4">
        <v>2</v>
      </c>
    </row>
    <row r="160" spans="1:16" x14ac:dyDescent="0.25">
      <c r="A160" s="144">
        <v>41137.575694444444</v>
      </c>
      <c r="B160" s="5">
        <v>-4</v>
      </c>
      <c r="C160" s="5">
        <v>1202219</v>
      </c>
      <c r="D160" s="5" t="s">
        <v>1310</v>
      </c>
      <c r="E160" s="5" t="s">
        <v>110</v>
      </c>
      <c r="F160" s="5" t="s">
        <v>1523</v>
      </c>
      <c r="G160" s="5" t="s">
        <v>1293</v>
      </c>
      <c r="H160" s="5">
        <v>7.827</v>
      </c>
      <c r="I160" s="5">
        <v>474</v>
      </c>
      <c r="J160" s="5">
        <v>2.036</v>
      </c>
      <c r="K160" s="5"/>
      <c r="L160" s="5">
        <v>12.4665</v>
      </c>
      <c r="M160" s="5"/>
      <c r="N160" s="151">
        <v>41140.047575682256</v>
      </c>
      <c r="O160" s="4">
        <v>-7</v>
      </c>
      <c r="P160" s="4">
        <v>1</v>
      </c>
    </row>
    <row r="161" spans="1:16" x14ac:dyDescent="0.25">
      <c r="A161" s="144">
        <v>41157.459722222222</v>
      </c>
      <c r="B161" s="5">
        <v>-4</v>
      </c>
      <c r="C161" s="5">
        <v>1202392</v>
      </c>
      <c r="D161" s="5" t="s">
        <v>1308</v>
      </c>
      <c r="E161" s="5" t="s">
        <v>110</v>
      </c>
      <c r="F161" s="5" t="s">
        <v>1523</v>
      </c>
      <c r="G161" s="5" t="s">
        <v>1293</v>
      </c>
      <c r="H161" s="5">
        <v>7.4450000000000003</v>
      </c>
      <c r="I161" s="5">
        <v>211</v>
      </c>
      <c r="J161" s="5">
        <v>2.3769999999999998</v>
      </c>
      <c r="K161" s="5">
        <v>1466.212761</v>
      </c>
      <c r="L161" s="5">
        <v>3.3224</v>
      </c>
      <c r="M161" s="5"/>
      <c r="N161" s="151">
        <v>41166.623983047612</v>
      </c>
      <c r="O161" s="4">
        <v>-7</v>
      </c>
      <c r="P161" s="4">
        <v>2</v>
      </c>
    </row>
    <row r="162" spans="1:16" x14ac:dyDescent="0.25">
      <c r="A162" s="144">
        <v>41157.515972222223</v>
      </c>
      <c r="B162" s="5">
        <v>-4</v>
      </c>
      <c r="C162" s="5">
        <v>1202391</v>
      </c>
      <c r="D162" s="5" t="s">
        <v>1313</v>
      </c>
      <c r="E162" s="5" t="s">
        <v>110</v>
      </c>
      <c r="F162" s="5" t="s">
        <v>1523</v>
      </c>
      <c r="G162" s="5" t="s">
        <v>1293</v>
      </c>
      <c r="H162" s="5">
        <v>7.4290000000000003</v>
      </c>
      <c r="I162" s="5">
        <v>207</v>
      </c>
      <c r="J162" s="5">
        <v>2.42</v>
      </c>
      <c r="K162" s="5">
        <v>1385.410815</v>
      </c>
      <c r="L162" s="5">
        <v>3.5831</v>
      </c>
      <c r="M162" s="5"/>
      <c r="N162" s="151">
        <v>41159.732966672833</v>
      </c>
      <c r="O162" s="4">
        <v>-7</v>
      </c>
      <c r="P162" s="4">
        <v>2</v>
      </c>
    </row>
    <row r="163" spans="1:16" x14ac:dyDescent="0.25">
      <c r="A163" s="144">
        <v>41157.540277777778</v>
      </c>
      <c r="B163" s="5">
        <v>-4</v>
      </c>
      <c r="C163" s="5">
        <v>1202390</v>
      </c>
      <c r="D163" s="5" t="s">
        <v>1314</v>
      </c>
      <c r="E163" s="5" t="s">
        <v>110</v>
      </c>
      <c r="F163" s="5" t="s">
        <v>1523</v>
      </c>
      <c r="G163" s="5" t="s">
        <v>1293</v>
      </c>
      <c r="H163" s="5">
        <v>7.69</v>
      </c>
      <c r="I163" s="5">
        <v>213</v>
      </c>
      <c r="J163" s="5">
        <v>2.5299999999999998</v>
      </c>
      <c r="K163" s="5">
        <v>1431.5215020000001</v>
      </c>
      <c r="L163" s="5">
        <v>2.5914999999999999</v>
      </c>
      <c r="M163" s="5"/>
      <c r="N163" s="151">
        <v>41160.125305151152</v>
      </c>
      <c r="O163" s="4">
        <v>-7</v>
      </c>
      <c r="P163" s="4">
        <v>1</v>
      </c>
    </row>
    <row r="164" spans="1:16" x14ac:dyDescent="0.25">
      <c r="A164" s="144">
        <v>41170.041666666664</v>
      </c>
      <c r="B164" s="5">
        <v>-4</v>
      </c>
      <c r="C164" s="5">
        <v>1202621</v>
      </c>
      <c r="D164" s="5" t="s">
        <v>1311</v>
      </c>
      <c r="E164" s="5" t="s">
        <v>116</v>
      </c>
      <c r="F164" s="5" t="s">
        <v>1524</v>
      </c>
      <c r="G164" s="5" t="s">
        <v>1385</v>
      </c>
      <c r="H164" s="5"/>
      <c r="I164" s="5"/>
      <c r="J164" s="5"/>
      <c r="K164" s="5"/>
      <c r="L164" s="5"/>
      <c r="M164" s="5"/>
      <c r="N164" s="151">
        <v>41177.830208800988</v>
      </c>
      <c r="O164" s="4">
        <v>-7</v>
      </c>
      <c r="P164" s="4">
        <v>1</v>
      </c>
    </row>
    <row r="165" spans="1:16" x14ac:dyDescent="0.25">
      <c r="A165" s="144">
        <v>41170.291666666664</v>
      </c>
      <c r="B165" s="5">
        <v>-4</v>
      </c>
      <c r="C165" s="5">
        <v>1202622</v>
      </c>
      <c r="D165" s="5" t="s">
        <v>1311</v>
      </c>
      <c r="E165" s="5" t="s">
        <v>116</v>
      </c>
      <c r="F165" s="5" t="s">
        <v>1524</v>
      </c>
      <c r="G165" s="5" t="s">
        <v>1385</v>
      </c>
      <c r="H165" s="5"/>
      <c r="I165" s="5"/>
      <c r="J165" s="5"/>
      <c r="K165" s="5"/>
      <c r="L165" s="5"/>
      <c r="M165" s="5"/>
      <c r="N165" s="151">
        <v>41184.474463125036</v>
      </c>
      <c r="O165" s="4">
        <v>-7</v>
      </c>
      <c r="P165" s="4">
        <v>3</v>
      </c>
    </row>
    <row r="166" spans="1:16" x14ac:dyDescent="0.25">
      <c r="A166" s="144">
        <v>41170.666666666664</v>
      </c>
      <c r="B166" s="5">
        <v>-4</v>
      </c>
      <c r="C166" s="5">
        <v>1202623</v>
      </c>
      <c r="D166" s="5" t="s">
        <v>1311</v>
      </c>
      <c r="E166" s="5" t="s">
        <v>116</v>
      </c>
      <c r="F166" s="5" t="s">
        <v>1524</v>
      </c>
      <c r="G166" s="5" t="s">
        <v>1385</v>
      </c>
      <c r="H166" s="5">
        <v>8.0269999999999992</v>
      </c>
      <c r="I166" s="5">
        <v>215</v>
      </c>
      <c r="J166" s="5">
        <v>5.2729999999999997</v>
      </c>
      <c r="K166" s="5">
        <v>1168.943399</v>
      </c>
      <c r="L166" s="5">
        <v>2.8031999999999999</v>
      </c>
      <c r="M166" s="5"/>
      <c r="N166" s="151">
        <v>41174.216739653944</v>
      </c>
      <c r="O166" s="4">
        <v>-7</v>
      </c>
      <c r="P166" s="4">
        <v>2</v>
      </c>
    </row>
    <row r="167" spans="1:16" x14ac:dyDescent="0.25">
      <c r="A167" s="144">
        <v>41170.708333333336</v>
      </c>
      <c r="B167" s="5">
        <v>-4</v>
      </c>
      <c r="C167" s="5">
        <v>1202624</v>
      </c>
      <c r="D167" s="5" t="s">
        <v>1311</v>
      </c>
      <c r="E167" s="5" t="s">
        <v>116</v>
      </c>
      <c r="F167" s="5" t="s">
        <v>1524</v>
      </c>
      <c r="G167" s="5" t="s">
        <v>1385</v>
      </c>
      <c r="H167" s="5">
        <v>7.9029999999999996</v>
      </c>
      <c r="I167" s="5">
        <v>204</v>
      </c>
      <c r="J167" s="5">
        <v>5.0469999999999997</v>
      </c>
      <c r="K167" s="5">
        <v>1112.017077</v>
      </c>
      <c r="L167" s="5">
        <v>2.6474000000000002</v>
      </c>
      <c r="M167" s="5"/>
      <c r="N167" s="151">
        <v>41174.223711606886</v>
      </c>
      <c r="O167" s="4">
        <v>-7</v>
      </c>
      <c r="P167" s="4">
        <v>3</v>
      </c>
    </row>
    <row r="168" spans="1:16" x14ac:dyDescent="0.25">
      <c r="A168" s="144">
        <v>41170.75</v>
      </c>
      <c r="B168" s="5">
        <v>-4</v>
      </c>
      <c r="C168" s="5">
        <v>1202625</v>
      </c>
      <c r="D168" s="5" t="s">
        <v>1311</v>
      </c>
      <c r="E168" s="5" t="s">
        <v>116</v>
      </c>
      <c r="F168" s="5" t="s">
        <v>1524</v>
      </c>
      <c r="G168" s="5" t="s">
        <v>1385</v>
      </c>
      <c r="H168" s="5">
        <v>7.6109999999999998</v>
      </c>
      <c r="I168" s="5">
        <v>152.30000000000001</v>
      </c>
      <c r="J168" s="5">
        <v>8.0399999999999991</v>
      </c>
      <c r="K168" s="5">
        <v>724.36104399999999</v>
      </c>
      <c r="L168" s="5">
        <v>1.8281000000000001</v>
      </c>
      <c r="M168" s="5"/>
      <c r="N168" s="151">
        <v>41188.453381968451</v>
      </c>
      <c r="O168" s="4">
        <v>-7</v>
      </c>
      <c r="P168" s="4">
        <v>2</v>
      </c>
    </row>
    <row r="169" spans="1:16" x14ac:dyDescent="0.25">
      <c r="A169" s="144">
        <v>41170.791666666664</v>
      </c>
      <c r="B169" s="5">
        <v>-4</v>
      </c>
      <c r="C169" s="5">
        <v>1202626</v>
      </c>
      <c r="D169" s="5" t="s">
        <v>1311</v>
      </c>
      <c r="E169" s="5" t="s">
        <v>116</v>
      </c>
      <c r="F169" s="5" t="s">
        <v>1524</v>
      </c>
      <c r="G169" s="5" t="s">
        <v>1385</v>
      </c>
      <c r="H169" s="5">
        <v>7.6189999999999998</v>
      </c>
      <c r="I169" s="5">
        <v>166.4</v>
      </c>
      <c r="J169" s="5">
        <v>7.6769999999999996</v>
      </c>
      <c r="K169" s="5">
        <v>851.67350859999999</v>
      </c>
      <c r="L169" s="5">
        <v>2.07E-2</v>
      </c>
      <c r="M169" s="5"/>
      <c r="N169" s="151">
        <v>41180.744025609732</v>
      </c>
      <c r="O169" s="4">
        <v>-7</v>
      </c>
      <c r="P169" s="4">
        <v>4</v>
      </c>
    </row>
    <row r="170" spans="1:16" x14ac:dyDescent="0.25">
      <c r="A170" s="144">
        <v>41170.833333333336</v>
      </c>
      <c r="B170" s="5">
        <v>-4</v>
      </c>
      <c r="C170" s="5">
        <v>1202627</v>
      </c>
      <c r="D170" s="5" t="s">
        <v>1311</v>
      </c>
      <c r="E170" s="5" t="s">
        <v>116</v>
      </c>
      <c r="F170" s="5" t="s">
        <v>1524</v>
      </c>
      <c r="G170" s="5" t="s">
        <v>1385</v>
      </c>
      <c r="H170" s="5">
        <v>7.976</v>
      </c>
      <c r="I170" s="5">
        <v>158.1</v>
      </c>
      <c r="J170" s="5">
        <v>8.4830000000000005</v>
      </c>
      <c r="K170" s="5">
        <v>737.66102339999998</v>
      </c>
      <c r="L170" s="5">
        <v>1.8070999999999999</v>
      </c>
      <c r="M170" s="5"/>
      <c r="N170" s="151">
        <v>41171.879756453505</v>
      </c>
      <c r="O170" s="4">
        <v>-7</v>
      </c>
      <c r="P170" s="4">
        <v>3</v>
      </c>
    </row>
    <row r="171" spans="1:16" x14ac:dyDescent="0.25">
      <c r="A171" s="144">
        <v>41170.875</v>
      </c>
      <c r="B171" s="5">
        <v>-4</v>
      </c>
      <c r="C171" s="5">
        <v>1202628</v>
      </c>
      <c r="D171" s="5" t="s">
        <v>1311</v>
      </c>
      <c r="E171" s="5" t="s">
        <v>116</v>
      </c>
      <c r="F171" s="5" t="s">
        <v>1524</v>
      </c>
      <c r="G171" s="5" t="s">
        <v>1385</v>
      </c>
      <c r="H171" s="5">
        <v>7.8179999999999996</v>
      </c>
      <c r="I171" s="5">
        <v>160.80000000000001</v>
      </c>
      <c r="J171" s="5">
        <v>9.1170000000000009</v>
      </c>
      <c r="K171" s="5">
        <v>714.57465060000004</v>
      </c>
      <c r="L171" s="5">
        <v>1.7418</v>
      </c>
      <c r="M171" s="5"/>
      <c r="N171" s="151">
        <v>41171.830161601152</v>
      </c>
      <c r="O171" s="4">
        <v>-7</v>
      </c>
      <c r="P171" s="4">
        <v>2</v>
      </c>
    </row>
    <row r="172" spans="1:16" x14ac:dyDescent="0.25">
      <c r="A172" s="144">
        <v>41170.958333333336</v>
      </c>
      <c r="B172" s="5">
        <v>-4</v>
      </c>
      <c r="C172" s="5">
        <v>1202629</v>
      </c>
      <c r="D172" s="5" t="s">
        <v>1311</v>
      </c>
      <c r="E172" s="5" t="s">
        <v>116</v>
      </c>
      <c r="F172" s="5" t="s">
        <v>1524</v>
      </c>
      <c r="G172" s="5" t="s">
        <v>1385</v>
      </c>
      <c r="H172" s="5">
        <v>7.9320000000000004</v>
      </c>
      <c r="I172" s="5">
        <v>204</v>
      </c>
      <c r="J172" s="5">
        <v>9.2870000000000008</v>
      </c>
      <c r="K172" s="5">
        <v>767.9636951</v>
      </c>
      <c r="L172" s="5">
        <v>1.6595</v>
      </c>
      <c r="M172" s="5"/>
      <c r="N172" s="151">
        <v>41181.746999697119</v>
      </c>
      <c r="O172" s="4">
        <v>-7</v>
      </c>
      <c r="P172" s="4">
        <v>0</v>
      </c>
    </row>
    <row r="173" spans="1:16" x14ac:dyDescent="0.25">
      <c r="A173" s="144">
        <v>41171.041666666664</v>
      </c>
      <c r="B173" s="5">
        <v>-4</v>
      </c>
      <c r="C173" s="5">
        <v>1202630</v>
      </c>
      <c r="D173" s="5" t="s">
        <v>1311</v>
      </c>
      <c r="E173" s="5" t="s">
        <v>116</v>
      </c>
      <c r="F173" s="5" t="s">
        <v>1524</v>
      </c>
      <c r="G173" s="5" t="s">
        <v>1385</v>
      </c>
      <c r="H173" s="5">
        <v>7.8929999999999998</v>
      </c>
      <c r="I173" s="5">
        <v>195.4</v>
      </c>
      <c r="J173" s="5">
        <v>8.7769999999999992</v>
      </c>
      <c r="K173" s="5">
        <v>886.2544054</v>
      </c>
      <c r="L173" s="5">
        <v>1.9221999999999999</v>
      </c>
      <c r="M173" s="5"/>
      <c r="N173" s="151">
        <v>41179.154262389857</v>
      </c>
      <c r="O173" s="4">
        <v>-7</v>
      </c>
      <c r="P173" s="4">
        <v>2</v>
      </c>
    </row>
    <row r="174" spans="1:16" x14ac:dyDescent="0.25">
      <c r="A174" s="144">
        <v>41171.166666666664</v>
      </c>
      <c r="B174" s="5">
        <v>-4</v>
      </c>
      <c r="C174" s="5">
        <v>1202631</v>
      </c>
      <c r="D174" s="5" t="s">
        <v>1311</v>
      </c>
      <c r="E174" s="5" t="s">
        <v>116</v>
      </c>
      <c r="F174" s="5" t="s">
        <v>1524</v>
      </c>
      <c r="G174" s="5" t="s">
        <v>1385</v>
      </c>
      <c r="H174" s="5">
        <v>7.91</v>
      </c>
      <c r="I174" s="5">
        <v>202</v>
      </c>
      <c r="J174" s="5">
        <v>8.423</v>
      </c>
      <c r="K174" s="5">
        <v>946.4797264</v>
      </c>
      <c r="L174" s="5">
        <v>2.1573000000000002</v>
      </c>
      <c r="M174" s="5"/>
      <c r="N174" s="151">
        <v>41174.61010004484</v>
      </c>
      <c r="O174" s="4">
        <v>-7</v>
      </c>
      <c r="P174" s="4">
        <v>3</v>
      </c>
    </row>
    <row r="175" spans="1:16" x14ac:dyDescent="0.25">
      <c r="A175" s="144">
        <v>41171.416666666664</v>
      </c>
      <c r="B175" s="5">
        <v>-4</v>
      </c>
      <c r="C175" s="5">
        <v>1202632</v>
      </c>
      <c r="D175" s="5" t="s">
        <v>1311</v>
      </c>
      <c r="E175" s="5" t="s">
        <v>116</v>
      </c>
      <c r="F175" s="5" t="s">
        <v>1524</v>
      </c>
      <c r="G175" s="5" t="s">
        <v>1385</v>
      </c>
      <c r="H175" s="5">
        <v>8.0009999999999994</v>
      </c>
      <c r="I175" s="5">
        <v>225</v>
      </c>
      <c r="J175" s="5">
        <v>5.8029999999999999</v>
      </c>
      <c r="K175" s="5">
        <v>1125.8961830000001</v>
      </c>
      <c r="L175" s="5">
        <v>2.6023999999999998</v>
      </c>
      <c r="M175" s="5"/>
      <c r="N175" s="151">
        <v>41177.696694353472</v>
      </c>
      <c r="O175" s="4">
        <v>-7</v>
      </c>
      <c r="P175" s="4">
        <v>4</v>
      </c>
    </row>
    <row r="176" spans="1:16" x14ac:dyDescent="0.25">
      <c r="A176" s="144">
        <v>41185.666666666664</v>
      </c>
      <c r="B176" s="5">
        <v>-4</v>
      </c>
      <c r="C176" s="5">
        <v>1202872</v>
      </c>
      <c r="D176" s="5" t="s">
        <v>1308</v>
      </c>
      <c r="E176" s="5" t="s">
        <v>110</v>
      </c>
      <c r="F176" s="5" t="s">
        <v>1523</v>
      </c>
      <c r="G176" s="5" t="s">
        <v>1293</v>
      </c>
      <c r="H176" s="5">
        <v>7.4169999999999998</v>
      </c>
      <c r="I176" s="5">
        <v>197.1</v>
      </c>
      <c r="J176" s="5">
        <v>3.2930000000000001</v>
      </c>
      <c r="K176" s="5">
        <v>1347.68812</v>
      </c>
      <c r="L176" s="5">
        <v>2.7824</v>
      </c>
      <c r="M176" s="5"/>
      <c r="N176" s="151">
        <v>41192.343490316569</v>
      </c>
      <c r="O176" s="4">
        <v>-7</v>
      </c>
      <c r="P176" s="4">
        <v>0</v>
      </c>
    </row>
    <row r="177" spans="1:16" x14ac:dyDescent="0.25">
      <c r="A177" s="144">
        <v>41185.695833333331</v>
      </c>
      <c r="B177" s="5">
        <v>-4</v>
      </c>
      <c r="C177" s="5">
        <v>1202870</v>
      </c>
      <c r="D177" s="5" t="s">
        <v>1314</v>
      </c>
      <c r="E177" s="5" t="s">
        <v>110</v>
      </c>
      <c r="F177" s="5" t="s">
        <v>1523</v>
      </c>
      <c r="G177" s="5" t="s">
        <v>1293</v>
      </c>
      <c r="H177" s="5">
        <v>7.5519999999999996</v>
      </c>
      <c r="I177" s="5">
        <v>209</v>
      </c>
      <c r="J177" s="5">
        <v>3.74</v>
      </c>
      <c r="K177" s="5">
        <v>1294.1429310000001</v>
      </c>
      <c r="L177" s="5">
        <v>2.7063999999999999</v>
      </c>
      <c r="M177" s="5"/>
      <c r="N177" s="151">
        <v>41204.181343532066</v>
      </c>
      <c r="O177" s="4">
        <v>-7</v>
      </c>
      <c r="P177" s="4">
        <v>1</v>
      </c>
    </row>
    <row r="178" spans="1:16" x14ac:dyDescent="0.25">
      <c r="A178" s="144">
        <v>41185.71875</v>
      </c>
      <c r="B178" s="5">
        <v>-4</v>
      </c>
      <c r="C178" s="5">
        <v>1202871</v>
      </c>
      <c r="D178" s="5" t="s">
        <v>1313</v>
      </c>
      <c r="E178" s="5" t="s">
        <v>110</v>
      </c>
      <c r="F178" s="5" t="s">
        <v>1523</v>
      </c>
      <c r="G178" s="5" t="s">
        <v>1293</v>
      </c>
      <c r="H178" s="5">
        <v>7.4710000000000001</v>
      </c>
      <c r="I178" s="5">
        <v>199.4</v>
      </c>
      <c r="J178" s="5">
        <v>3.5129999999999999</v>
      </c>
      <c r="K178" s="5">
        <v>1246.021896</v>
      </c>
      <c r="L178" s="5">
        <v>2.9110999999999998</v>
      </c>
      <c r="M178" s="5"/>
      <c r="N178" s="151">
        <v>41186.082392335651</v>
      </c>
      <c r="O178" s="4">
        <v>-7</v>
      </c>
      <c r="P178" s="4">
        <v>3</v>
      </c>
    </row>
    <row r="179" spans="1:16" x14ac:dyDescent="0.25">
      <c r="A179" s="144">
        <v>41193.62222222222</v>
      </c>
      <c r="B179" s="5">
        <v>-4</v>
      </c>
      <c r="C179" s="5">
        <v>1202965</v>
      </c>
      <c r="D179" s="5" t="s">
        <v>1310</v>
      </c>
      <c r="E179" s="5" t="s">
        <v>110</v>
      </c>
      <c r="F179" s="5" t="s">
        <v>1523</v>
      </c>
      <c r="G179" s="5" t="s">
        <v>1293</v>
      </c>
      <c r="H179" s="5">
        <v>7.4950000000000001</v>
      </c>
      <c r="I179" s="5">
        <v>416</v>
      </c>
      <c r="J179" s="5">
        <v>1.91</v>
      </c>
      <c r="K179" s="5"/>
      <c r="L179" s="5">
        <v>11.215199999999999</v>
      </c>
      <c r="M179" s="5"/>
      <c r="N179" s="151">
        <v>41199.830022816466</v>
      </c>
      <c r="O179" s="4">
        <v>-7</v>
      </c>
      <c r="P179" s="4">
        <v>4</v>
      </c>
    </row>
    <row r="180" spans="1:16" x14ac:dyDescent="0.25">
      <c r="A180" s="144">
        <v>41227.709027777775</v>
      </c>
      <c r="B180" s="5">
        <v>-5</v>
      </c>
      <c r="C180" s="5">
        <v>1204026</v>
      </c>
      <c r="D180" s="5" t="s">
        <v>1314</v>
      </c>
      <c r="E180" s="5" t="s">
        <v>110</v>
      </c>
      <c r="F180" s="5" t="s">
        <v>1523</v>
      </c>
      <c r="G180" s="5" t="s">
        <v>1386</v>
      </c>
      <c r="H180" s="5">
        <v>7.6</v>
      </c>
      <c r="I180" s="5">
        <v>212</v>
      </c>
      <c r="J180" s="5">
        <v>1.702</v>
      </c>
      <c r="K180" s="5">
        <v>1329.700781</v>
      </c>
      <c r="L180" s="5">
        <v>3.6179999999999999</v>
      </c>
      <c r="M180" s="5"/>
      <c r="N180" s="151">
        <v>41229.005921606738</v>
      </c>
      <c r="O180" s="4">
        <v>-7</v>
      </c>
      <c r="P180" s="4">
        <v>3</v>
      </c>
    </row>
    <row r="181" spans="1:16" x14ac:dyDescent="0.25">
      <c r="A181" s="144">
        <v>41227.715277777781</v>
      </c>
      <c r="B181" s="5">
        <v>-5</v>
      </c>
      <c r="C181" s="5">
        <v>1204028</v>
      </c>
      <c r="D181" s="5" t="s">
        <v>1308</v>
      </c>
      <c r="E181" s="5" t="s">
        <v>110</v>
      </c>
      <c r="F181" s="5" t="s">
        <v>1523</v>
      </c>
      <c r="G181" s="5" t="s">
        <v>1293</v>
      </c>
      <c r="H181" s="5">
        <v>7.4960000000000004</v>
      </c>
      <c r="I181" s="5">
        <v>189.1</v>
      </c>
      <c r="J181" s="5">
        <v>1.6619999999999999</v>
      </c>
      <c r="K181" s="5">
        <v>1359.325544</v>
      </c>
      <c r="L181" s="5">
        <v>3.4056000000000002</v>
      </c>
      <c r="M181" s="5"/>
      <c r="N181" s="151">
        <v>41238.597591145757</v>
      </c>
      <c r="O181" s="4">
        <v>-7</v>
      </c>
      <c r="P181" s="4">
        <v>1</v>
      </c>
    </row>
    <row r="182" spans="1:16" x14ac:dyDescent="0.25">
      <c r="A182" s="144">
        <v>41227.731249999997</v>
      </c>
      <c r="B182" s="5">
        <v>-5</v>
      </c>
      <c r="C182" s="5">
        <v>1204027</v>
      </c>
      <c r="D182" s="5" t="s">
        <v>1313</v>
      </c>
      <c r="E182" s="5" t="s">
        <v>110</v>
      </c>
      <c r="F182" s="5" t="s">
        <v>1523</v>
      </c>
      <c r="G182" s="5" t="s">
        <v>1293</v>
      </c>
      <c r="H182" s="5">
        <v>7.5259999999999998</v>
      </c>
      <c r="I182" s="5">
        <v>200</v>
      </c>
      <c r="J182" s="5">
        <v>1.6659999999999999</v>
      </c>
      <c r="K182" s="5">
        <v>1276.1391570000001</v>
      </c>
      <c r="L182" s="5">
        <v>3.6707000000000001</v>
      </c>
      <c r="M182" s="5"/>
      <c r="N182" s="151">
        <v>41241.855085143492</v>
      </c>
      <c r="O182" s="4">
        <v>-7</v>
      </c>
      <c r="P182" s="4">
        <v>3</v>
      </c>
    </row>
    <row r="183" spans="1:16" x14ac:dyDescent="0.25">
      <c r="A183" s="144">
        <v>41241.547222222223</v>
      </c>
      <c r="B183" s="5">
        <v>-5</v>
      </c>
      <c r="C183" s="5">
        <v>1204430</v>
      </c>
      <c r="D183" s="5" t="s">
        <v>1309</v>
      </c>
      <c r="E183" s="5" t="s">
        <v>110</v>
      </c>
      <c r="F183" s="5" t="s">
        <v>1523</v>
      </c>
      <c r="G183" s="5" t="s">
        <v>1293</v>
      </c>
      <c r="H183" s="5">
        <v>6.9950000000000001</v>
      </c>
      <c r="I183" s="5">
        <v>398</v>
      </c>
      <c r="J183" s="5">
        <v>4.6399999999999997</v>
      </c>
      <c r="K183" s="5"/>
      <c r="L183" s="5">
        <v>2.5179999999999998</v>
      </c>
      <c r="M183" s="5"/>
      <c r="N183" s="151">
        <v>41247.097196662209</v>
      </c>
      <c r="O183" s="4">
        <v>-7</v>
      </c>
      <c r="P183" s="4">
        <v>4</v>
      </c>
    </row>
    <row r="184" spans="1:16" x14ac:dyDescent="0.25">
      <c r="A184" s="144">
        <v>41241.563888888886</v>
      </c>
      <c r="B184" s="5">
        <v>-5</v>
      </c>
      <c r="C184" s="5">
        <v>1204431</v>
      </c>
      <c r="D184" s="5" t="s">
        <v>1310</v>
      </c>
      <c r="E184" s="5" t="s">
        <v>110</v>
      </c>
      <c r="F184" s="5" t="s">
        <v>1523</v>
      </c>
      <c r="G184" s="5" t="s">
        <v>1293</v>
      </c>
      <c r="H184" s="5">
        <v>7.4729999999999999</v>
      </c>
      <c r="I184" s="5">
        <v>400</v>
      </c>
      <c r="J184" s="5">
        <v>1.883</v>
      </c>
      <c r="K184" s="5"/>
      <c r="L184" s="5">
        <v>10.504899999999999</v>
      </c>
      <c r="M184" s="5"/>
      <c r="N184" s="151">
        <v>41247.933508336144</v>
      </c>
      <c r="O184" s="4">
        <v>-7</v>
      </c>
      <c r="P184" s="4">
        <v>2</v>
      </c>
    </row>
    <row r="185" spans="1:16" x14ac:dyDescent="0.25">
      <c r="A185" s="144">
        <v>41248.552083333336</v>
      </c>
      <c r="B185" s="5">
        <v>-5</v>
      </c>
      <c r="C185" s="5">
        <v>1204593</v>
      </c>
      <c r="D185" s="5" t="s">
        <v>1308</v>
      </c>
      <c r="E185" s="5" t="s">
        <v>110</v>
      </c>
      <c r="F185" s="5" t="s">
        <v>1523</v>
      </c>
      <c r="G185" s="5" t="s">
        <v>1293</v>
      </c>
      <c r="H185" s="5">
        <v>7.8620000000000001</v>
      </c>
      <c r="I185" s="5">
        <v>200</v>
      </c>
      <c r="J185" s="5">
        <v>1.343</v>
      </c>
      <c r="K185" s="5">
        <v>1381.8882249999999</v>
      </c>
      <c r="L185" s="5">
        <v>3.2168000000000001</v>
      </c>
      <c r="M185" s="5"/>
      <c r="N185" s="151">
        <v>41252.635616842505</v>
      </c>
      <c r="O185" s="4">
        <v>-7</v>
      </c>
      <c r="P185" s="4">
        <v>1</v>
      </c>
    </row>
    <row r="186" spans="1:16" x14ac:dyDescent="0.25">
      <c r="A186" s="144">
        <v>41248.591666666667</v>
      </c>
      <c r="B186" s="5">
        <v>-5</v>
      </c>
      <c r="C186" s="5">
        <v>1204592</v>
      </c>
      <c r="D186" s="5" t="s">
        <v>1313</v>
      </c>
      <c r="E186" s="5" t="s">
        <v>110</v>
      </c>
      <c r="F186" s="5" t="s">
        <v>1523</v>
      </c>
      <c r="G186" s="5" t="s">
        <v>1293</v>
      </c>
      <c r="H186" s="5">
        <v>8.5190000000000001</v>
      </c>
      <c r="I186" s="5">
        <v>202</v>
      </c>
      <c r="J186" s="5">
        <v>1.407</v>
      </c>
      <c r="K186" s="5">
        <v>1292.620838</v>
      </c>
      <c r="L186" s="5">
        <v>3.8311999999999999</v>
      </c>
      <c r="M186" s="5"/>
      <c r="N186" s="151">
        <v>41260.892372237366</v>
      </c>
      <c r="O186" s="4">
        <v>-7</v>
      </c>
      <c r="P186" s="4">
        <v>1</v>
      </c>
    </row>
    <row r="187" spans="1:16" x14ac:dyDescent="0.25">
      <c r="A187" s="144">
        <v>41248.611111111109</v>
      </c>
      <c r="B187" s="5">
        <v>-5</v>
      </c>
      <c r="C187" s="5">
        <v>1204591</v>
      </c>
      <c r="D187" s="5" t="s">
        <v>1314</v>
      </c>
      <c r="E187" s="5" t="s">
        <v>110</v>
      </c>
      <c r="F187" s="5" t="s">
        <v>1523</v>
      </c>
      <c r="G187" s="5" t="s">
        <v>1293</v>
      </c>
      <c r="H187" s="5">
        <v>8.4860000000000007</v>
      </c>
      <c r="I187" s="5">
        <v>199.4</v>
      </c>
      <c r="J187" s="5">
        <v>1.413</v>
      </c>
      <c r="K187" s="5">
        <v>1352.872562</v>
      </c>
      <c r="L187" s="5">
        <v>3.7852000000000001</v>
      </c>
      <c r="M187" s="5"/>
      <c r="N187" s="151">
        <v>41252.626230214773</v>
      </c>
      <c r="O187" s="4">
        <v>-7</v>
      </c>
      <c r="P187" s="4">
        <v>4</v>
      </c>
    </row>
    <row r="188" spans="1:16" x14ac:dyDescent="0.25">
      <c r="A188" s="144">
        <v>41255.682638888888</v>
      </c>
      <c r="B188" s="5">
        <v>-5</v>
      </c>
      <c r="C188" s="5">
        <v>1204683</v>
      </c>
      <c r="D188" s="5" t="s">
        <v>1309</v>
      </c>
      <c r="E188" s="5" t="s">
        <v>110</v>
      </c>
      <c r="F188" s="5" t="s">
        <v>1523</v>
      </c>
      <c r="G188" s="5" t="s">
        <v>1293</v>
      </c>
      <c r="H188" s="5">
        <v>6.8659999999999997</v>
      </c>
      <c r="I188" s="5">
        <v>378</v>
      </c>
      <c r="J188" s="5">
        <v>2.83</v>
      </c>
      <c r="K188" s="5"/>
      <c r="L188" s="5">
        <v>3.0767000000000002</v>
      </c>
      <c r="M188" s="5"/>
      <c r="N188" s="151">
        <v>41257.198882144345</v>
      </c>
      <c r="O188" s="4">
        <v>-7</v>
      </c>
      <c r="P188" s="4">
        <v>3</v>
      </c>
    </row>
    <row r="189" spans="1:16" x14ac:dyDescent="0.25">
      <c r="A189" s="144">
        <v>41255.697222222225</v>
      </c>
      <c r="B189" s="5">
        <v>-5</v>
      </c>
      <c r="C189" s="5">
        <v>1204684</v>
      </c>
      <c r="D189" s="5" t="s">
        <v>1310</v>
      </c>
      <c r="E189" s="5" t="s">
        <v>110</v>
      </c>
      <c r="F189" s="5" t="s">
        <v>1523</v>
      </c>
      <c r="G189" s="5" t="s">
        <v>1293</v>
      </c>
      <c r="H189" s="5">
        <v>7.4509999999999996</v>
      </c>
      <c r="I189" s="5">
        <v>364</v>
      </c>
      <c r="J189" s="5">
        <v>1.593</v>
      </c>
      <c r="K189" s="5"/>
      <c r="L189" s="5">
        <v>10.9716</v>
      </c>
      <c r="M189" s="5"/>
      <c r="N189" s="151">
        <v>41259.361489673254</v>
      </c>
      <c r="O189" s="4">
        <v>-7</v>
      </c>
      <c r="P189" s="4">
        <v>3</v>
      </c>
    </row>
    <row r="190" spans="1:16" x14ac:dyDescent="0.25">
      <c r="A190" s="144">
        <v>41277.573611111111</v>
      </c>
      <c r="B190" s="5">
        <v>-5</v>
      </c>
      <c r="C190" s="5">
        <v>1300003</v>
      </c>
      <c r="D190" s="5" t="s">
        <v>1308</v>
      </c>
      <c r="E190" s="5" t="s">
        <v>110</v>
      </c>
      <c r="F190" s="5" t="s">
        <v>1523</v>
      </c>
      <c r="G190" s="5" t="s">
        <v>1293</v>
      </c>
      <c r="H190" s="5">
        <v>7.5810000000000004</v>
      </c>
      <c r="I190" s="5">
        <v>209</v>
      </c>
      <c r="J190" s="5">
        <v>1.07</v>
      </c>
      <c r="K190" s="5">
        <v>1344.574748</v>
      </c>
      <c r="L190" s="5">
        <v>3.7624</v>
      </c>
      <c r="M190" s="5"/>
      <c r="N190" s="151">
        <v>41294.644988476008</v>
      </c>
      <c r="O190" s="4">
        <v>-7</v>
      </c>
      <c r="P190" s="4">
        <v>2</v>
      </c>
    </row>
    <row r="191" spans="1:16" x14ac:dyDescent="0.25">
      <c r="A191" s="144">
        <v>41277.606944444444</v>
      </c>
      <c r="B191" s="5">
        <v>-5</v>
      </c>
      <c r="C191" s="5">
        <v>1300001</v>
      </c>
      <c r="D191" s="5" t="s">
        <v>1314</v>
      </c>
      <c r="E191" s="5" t="s">
        <v>110</v>
      </c>
      <c r="F191" s="5" t="s">
        <v>1523</v>
      </c>
      <c r="G191" s="5" t="s">
        <v>1293</v>
      </c>
      <c r="H191" s="5">
        <v>7.633</v>
      </c>
      <c r="I191" s="5">
        <v>206</v>
      </c>
      <c r="J191" s="5">
        <v>1.073</v>
      </c>
      <c r="K191" s="5">
        <v>1322.2395779999999</v>
      </c>
      <c r="L191" s="5">
        <v>4.3121999999999998</v>
      </c>
      <c r="M191" s="5"/>
      <c r="N191" s="151">
        <v>41288.93936787112</v>
      </c>
      <c r="O191" s="4">
        <v>-7</v>
      </c>
      <c r="P191" s="4">
        <v>0</v>
      </c>
    </row>
    <row r="192" spans="1:16" x14ac:dyDescent="0.25">
      <c r="A192" s="144">
        <v>41277.622916666667</v>
      </c>
      <c r="B192" s="5">
        <v>-5</v>
      </c>
      <c r="C192" s="5">
        <v>1300002</v>
      </c>
      <c r="D192" s="5" t="s">
        <v>1313</v>
      </c>
      <c r="E192" s="5" t="s">
        <v>110</v>
      </c>
      <c r="F192" s="5" t="s">
        <v>1523</v>
      </c>
      <c r="G192" s="5" t="s">
        <v>1293</v>
      </c>
      <c r="H192" s="5">
        <v>7.5259999999999998</v>
      </c>
      <c r="I192" s="5">
        <v>203</v>
      </c>
      <c r="J192" s="5">
        <v>1.1200000000000001</v>
      </c>
      <c r="K192" s="5">
        <v>1250.395659</v>
      </c>
      <c r="L192" s="5">
        <v>4.3432000000000004</v>
      </c>
      <c r="M192" s="5"/>
      <c r="N192" s="151">
        <v>41285.051757710942</v>
      </c>
      <c r="O192" s="4">
        <v>-7</v>
      </c>
      <c r="P192" s="4">
        <v>2</v>
      </c>
    </row>
    <row r="193" spans="1:16" x14ac:dyDescent="0.25">
      <c r="A193" s="144">
        <v>41291.583333333336</v>
      </c>
      <c r="B193" s="5">
        <v>-5</v>
      </c>
      <c r="C193" s="5">
        <v>1300176</v>
      </c>
      <c r="D193" s="5" t="s">
        <v>1309</v>
      </c>
      <c r="E193" s="5" t="s">
        <v>110</v>
      </c>
      <c r="F193" s="5" t="s">
        <v>1523</v>
      </c>
      <c r="G193" s="5" t="s">
        <v>1293</v>
      </c>
      <c r="H193" s="5">
        <v>6.8520000000000003</v>
      </c>
      <c r="I193" s="5">
        <v>240</v>
      </c>
      <c r="J193" s="5">
        <v>8.0030000000000001</v>
      </c>
      <c r="K193" s="5"/>
      <c r="L193" s="5">
        <v>1.5004</v>
      </c>
      <c r="M193" s="5"/>
      <c r="N193" s="151">
        <v>41297.623127865016</v>
      </c>
      <c r="O193" s="4">
        <v>-7</v>
      </c>
      <c r="P193" s="4">
        <v>1</v>
      </c>
    </row>
    <row r="194" spans="1:16" x14ac:dyDescent="0.25">
      <c r="A194" s="144">
        <v>41291.61041666667</v>
      </c>
      <c r="B194" s="5">
        <v>-5</v>
      </c>
      <c r="C194" s="5">
        <v>1300177</v>
      </c>
      <c r="D194" s="5" t="s">
        <v>1310</v>
      </c>
      <c r="E194" s="5" t="s">
        <v>110</v>
      </c>
      <c r="F194" s="5" t="s">
        <v>1523</v>
      </c>
      <c r="G194" s="5" t="s">
        <v>1293</v>
      </c>
      <c r="H194" s="5">
        <v>7.3170000000000002</v>
      </c>
      <c r="I194" s="5">
        <v>310</v>
      </c>
      <c r="J194" s="5">
        <v>2.6970000000000001</v>
      </c>
      <c r="K194" s="5"/>
      <c r="L194" s="5">
        <v>8.3203999999999994</v>
      </c>
      <c r="M194" s="5"/>
      <c r="N194" s="151">
        <v>41299.553281363857</v>
      </c>
      <c r="O194" s="4">
        <v>-7</v>
      </c>
      <c r="P194" s="4">
        <v>0</v>
      </c>
    </row>
    <row r="195" spans="1:16" x14ac:dyDescent="0.25">
      <c r="A195" s="144">
        <v>41318.688194444447</v>
      </c>
      <c r="B195" s="5">
        <v>-5</v>
      </c>
      <c r="C195" s="5">
        <v>1300428</v>
      </c>
      <c r="D195" s="5" t="s">
        <v>1308</v>
      </c>
      <c r="E195" s="5" t="s">
        <v>110</v>
      </c>
      <c r="F195" s="5" t="s">
        <v>1523</v>
      </c>
      <c r="G195" s="5" t="s">
        <v>1293</v>
      </c>
      <c r="H195" s="5">
        <v>7.6260000000000003</v>
      </c>
      <c r="I195" s="5">
        <v>213</v>
      </c>
      <c r="J195" s="5">
        <v>1.1890000000000001</v>
      </c>
      <c r="K195" s="5"/>
      <c r="L195" s="5">
        <v>3.4664999999999999</v>
      </c>
      <c r="M195" s="5">
        <v>24.745000000000001</v>
      </c>
      <c r="N195" s="151">
        <v>41322.501560553152</v>
      </c>
      <c r="O195" s="4">
        <v>-7</v>
      </c>
      <c r="P195" s="4">
        <v>1</v>
      </c>
    </row>
    <row r="196" spans="1:16" x14ac:dyDescent="0.25">
      <c r="A196" s="144">
        <v>41318.690972222219</v>
      </c>
      <c r="B196" s="5">
        <v>-5</v>
      </c>
      <c r="C196" s="5">
        <v>1300426</v>
      </c>
      <c r="D196" s="5" t="s">
        <v>1314</v>
      </c>
      <c r="E196" s="5" t="s">
        <v>110</v>
      </c>
      <c r="F196" s="5" t="s">
        <v>1523</v>
      </c>
      <c r="G196" s="5" t="s">
        <v>1386</v>
      </c>
      <c r="H196" s="5">
        <v>7.6289999999999996</v>
      </c>
      <c r="I196" s="5">
        <v>224</v>
      </c>
      <c r="J196" s="5">
        <v>1.234</v>
      </c>
      <c r="K196" s="5">
        <v>1263.915352</v>
      </c>
      <c r="L196" s="5">
        <v>3.7302</v>
      </c>
      <c r="M196" s="5">
        <v>24.384</v>
      </c>
      <c r="N196" s="151">
        <v>41321.089187499303</v>
      </c>
      <c r="O196" s="4">
        <v>-7</v>
      </c>
      <c r="P196" s="4">
        <v>1</v>
      </c>
    </row>
    <row r="197" spans="1:16" x14ac:dyDescent="0.25">
      <c r="A197" s="144">
        <v>41318.700694444444</v>
      </c>
      <c r="B197" s="5">
        <v>-5</v>
      </c>
      <c r="C197" s="5">
        <v>1300427</v>
      </c>
      <c r="D197" s="5" t="s">
        <v>1313</v>
      </c>
      <c r="E197" s="5" t="s">
        <v>110</v>
      </c>
      <c r="F197" s="5" t="s">
        <v>1523</v>
      </c>
      <c r="G197" s="5" t="s">
        <v>1293</v>
      </c>
      <c r="H197" s="5">
        <v>7.4420000000000002</v>
      </c>
      <c r="I197" s="5">
        <v>206</v>
      </c>
      <c r="J197" s="5">
        <v>1.1930000000000001</v>
      </c>
      <c r="K197" s="5">
        <v>1198.9881700000001</v>
      </c>
      <c r="L197" s="5">
        <v>3.7480000000000002</v>
      </c>
      <c r="M197" s="5">
        <v>22.864999999999998</v>
      </c>
      <c r="N197" s="151">
        <v>41320.379754705915</v>
      </c>
      <c r="O197" s="4">
        <v>-7</v>
      </c>
      <c r="P197" s="4">
        <v>4</v>
      </c>
    </row>
    <row r="198" spans="1:16" x14ac:dyDescent="0.25">
      <c r="A198" s="144">
        <v>41339.656944444447</v>
      </c>
      <c r="B198" s="5">
        <v>-5</v>
      </c>
      <c r="C198" s="5">
        <v>1300554</v>
      </c>
      <c r="D198" s="5" t="s">
        <v>1308</v>
      </c>
      <c r="E198" s="5" t="s">
        <v>110</v>
      </c>
      <c r="F198" s="5" t="s">
        <v>1523</v>
      </c>
      <c r="G198" s="5" t="s">
        <v>1293</v>
      </c>
      <c r="H198" s="5">
        <v>7.6689999999999996</v>
      </c>
      <c r="I198" s="5">
        <v>213</v>
      </c>
      <c r="J198" s="5">
        <v>1.67</v>
      </c>
      <c r="K198" s="5">
        <v>1261.8691960000001</v>
      </c>
      <c r="L198" s="5">
        <v>3.2923</v>
      </c>
      <c r="M198" s="5">
        <v>24.236000000000001</v>
      </c>
      <c r="N198" s="151">
        <v>41345.033904092124</v>
      </c>
      <c r="O198" s="4">
        <v>-7</v>
      </c>
      <c r="P198" s="4">
        <v>0</v>
      </c>
    </row>
    <row r="199" spans="1:16" x14ac:dyDescent="0.25">
      <c r="A199" s="144">
        <v>41339.677083333336</v>
      </c>
      <c r="B199" s="5">
        <v>-5</v>
      </c>
      <c r="C199" s="5">
        <v>1300552</v>
      </c>
      <c r="D199" s="5" t="s">
        <v>1314</v>
      </c>
      <c r="E199" s="5" t="s">
        <v>110</v>
      </c>
      <c r="F199" s="5" t="s">
        <v>1523</v>
      </c>
      <c r="G199" s="5" t="s">
        <v>1293</v>
      </c>
      <c r="H199" s="5">
        <v>7.5709999999999997</v>
      </c>
      <c r="I199" s="5">
        <v>204</v>
      </c>
      <c r="J199" s="5">
        <v>1.53</v>
      </c>
      <c r="K199" s="5">
        <v>1250.794995</v>
      </c>
      <c r="L199" s="5">
        <v>3.6175999999999999</v>
      </c>
      <c r="M199" s="5">
        <v>23.332000000000001</v>
      </c>
      <c r="N199" s="151">
        <v>41348.633639514803</v>
      </c>
      <c r="O199" s="4">
        <v>-7</v>
      </c>
      <c r="P199" s="4">
        <v>2</v>
      </c>
    </row>
    <row r="200" spans="1:16" x14ac:dyDescent="0.25">
      <c r="A200" s="144">
        <v>41339.689583333333</v>
      </c>
      <c r="B200" s="5">
        <v>-5</v>
      </c>
      <c r="C200" s="5">
        <v>1300553</v>
      </c>
      <c r="D200" s="5" t="s">
        <v>1313</v>
      </c>
      <c r="E200" s="5" t="s">
        <v>110</v>
      </c>
      <c r="F200" s="5" t="s">
        <v>1523</v>
      </c>
      <c r="G200" s="5" t="s">
        <v>1293</v>
      </c>
      <c r="H200" s="5">
        <v>7.5970000000000004</v>
      </c>
      <c r="I200" s="5">
        <v>206</v>
      </c>
      <c r="J200" s="5">
        <v>1.617</v>
      </c>
      <c r="K200" s="5">
        <v>1180.2092090000001</v>
      </c>
      <c r="L200" s="5">
        <v>3.5535999999999999</v>
      </c>
      <c r="M200" s="5">
        <v>23.449000000000002</v>
      </c>
      <c r="N200" s="151">
        <v>41352.182902512672</v>
      </c>
      <c r="O200" s="4">
        <v>-7</v>
      </c>
      <c r="P200" s="4">
        <v>2</v>
      </c>
    </row>
    <row r="201" spans="1:16" x14ac:dyDescent="0.25">
      <c r="A201" s="144">
        <v>41367.62777777778</v>
      </c>
      <c r="B201" s="5">
        <v>-4</v>
      </c>
      <c r="C201" s="5">
        <v>1300760</v>
      </c>
      <c r="D201" s="5" t="s">
        <v>1308</v>
      </c>
      <c r="E201" s="5" t="s">
        <v>110</v>
      </c>
      <c r="F201" s="5" t="s">
        <v>1523</v>
      </c>
      <c r="G201" s="5" t="s">
        <v>1293</v>
      </c>
      <c r="H201" s="5">
        <v>7.53</v>
      </c>
      <c r="I201" s="5">
        <v>207</v>
      </c>
      <c r="J201" s="5">
        <v>1.19</v>
      </c>
      <c r="K201" s="5"/>
      <c r="L201" s="5">
        <v>3.4445999999999999</v>
      </c>
      <c r="M201" s="5">
        <v>24.001999999999999</v>
      </c>
      <c r="N201" s="151">
        <v>41373.293321998739</v>
      </c>
      <c r="O201" s="4">
        <v>-7</v>
      </c>
      <c r="P201" s="4">
        <v>2</v>
      </c>
    </row>
    <row r="202" spans="1:16" x14ac:dyDescent="0.25">
      <c r="A202" s="144">
        <v>41367.648611111108</v>
      </c>
      <c r="B202" s="5">
        <v>-4</v>
      </c>
      <c r="C202" s="5">
        <v>1300758</v>
      </c>
      <c r="D202" s="5" t="s">
        <v>1314</v>
      </c>
      <c r="E202" s="5" t="s">
        <v>110</v>
      </c>
      <c r="F202" s="5" t="s">
        <v>1523</v>
      </c>
      <c r="G202" s="5" t="s">
        <v>1293</v>
      </c>
      <c r="H202" s="5">
        <v>7.8079999999999998</v>
      </c>
      <c r="I202" s="5">
        <v>216</v>
      </c>
      <c r="J202" s="5">
        <v>1.2</v>
      </c>
      <c r="K202" s="5"/>
      <c r="L202" s="5">
        <v>3.7097000000000002</v>
      </c>
      <c r="M202" s="5">
        <v>24.966000000000001</v>
      </c>
      <c r="N202" s="151">
        <v>41385.199501416602</v>
      </c>
      <c r="O202" s="4">
        <v>-7</v>
      </c>
      <c r="P202" s="4">
        <v>2</v>
      </c>
    </row>
    <row r="203" spans="1:16" x14ac:dyDescent="0.25">
      <c r="A203" s="144">
        <v>41367.662499999999</v>
      </c>
      <c r="B203" s="5">
        <v>-4</v>
      </c>
      <c r="C203" s="5">
        <v>1300759</v>
      </c>
      <c r="D203" s="5" t="s">
        <v>1313</v>
      </c>
      <c r="E203" s="5" t="s">
        <v>110</v>
      </c>
      <c r="F203" s="5" t="s">
        <v>1523</v>
      </c>
      <c r="G203" s="5" t="s">
        <v>1293</v>
      </c>
      <c r="H203" s="5">
        <v>7.6189999999999998</v>
      </c>
      <c r="I203" s="5">
        <v>213</v>
      </c>
      <c r="J203" s="5">
        <v>1.21</v>
      </c>
      <c r="K203" s="5"/>
      <c r="L203" s="5">
        <v>3.7281</v>
      </c>
      <c r="M203" s="5">
        <v>23.614000000000001</v>
      </c>
      <c r="N203" s="151">
        <v>41382.141719430569</v>
      </c>
      <c r="O203" s="4">
        <v>-7</v>
      </c>
      <c r="P203" s="4">
        <v>1</v>
      </c>
    </row>
    <row r="204" spans="1:16" x14ac:dyDescent="0.25">
      <c r="A204" s="144">
        <v>41373.586111111108</v>
      </c>
      <c r="B204" s="5">
        <v>-4</v>
      </c>
      <c r="C204" s="5">
        <v>1300773</v>
      </c>
      <c r="D204" s="5" t="s">
        <v>1309</v>
      </c>
      <c r="E204" s="5" t="s">
        <v>110</v>
      </c>
      <c r="F204" s="5" t="s">
        <v>1523</v>
      </c>
      <c r="G204" s="5" t="s">
        <v>1293</v>
      </c>
      <c r="H204" s="5">
        <v>6.8650000000000002</v>
      </c>
      <c r="I204" s="5">
        <v>374</v>
      </c>
      <c r="J204" s="5"/>
      <c r="K204" s="5"/>
      <c r="L204" s="5">
        <v>1.8415999999999999</v>
      </c>
      <c r="M204" s="5">
        <v>41.084000000000003</v>
      </c>
      <c r="N204" s="151">
        <v>41375.437002875464</v>
      </c>
      <c r="O204" s="4">
        <v>-7</v>
      </c>
      <c r="P204" s="4">
        <v>1</v>
      </c>
    </row>
    <row r="205" spans="1:16" x14ac:dyDescent="0.25">
      <c r="A205" s="144">
        <v>41373.614583333336</v>
      </c>
      <c r="B205" s="5">
        <v>-4</v>
      </c>
      <c r="C205" s="5">
        <v>1300774</v>
      </c>
      <c r="D205" s="5" t="s">
        <v>1310</v>
      </c>
      <c r="E205" s="5" t="s">
        <v>110</v>
      </c>
      <c r="F205" s="5" t="s">
        <v>1523</v>
      </c>
      <c r="G205" s="5" t="s">
        <v>1293</v>
      </c>
      <c r="H205" s="5">
        <v>7.9509999999999996</v>
      </c>
      <c r="I205" s="5">
        <v>409</v>
      </c>
      <c r="J205" s="5">
        <v>1.85</v>
      </c>
      <c r="K205" s="5"/>
      <c r="L205" s="5">
        <v>9.5555000000000003</v>
      </c>
      <c r="M205" s="5">
        <v>38.442999999999998</v>
      </c>
      <c r="N205" s="151">
        <v>41384.642784286669</v>
      </c>
      <c r="O205" s="4">
        <v>-7</v>
      </c>
      <c r="P205" s="4">
        <v>3</v>
      </c>
    </row>
    <row r="206" spans="1:16" x14ac:dyDescent="0.25">
      <c r="A206" s="144">
        <v>41376.208333333336</v>
      </c>
      <c r="B206" s="5">
        <v>-4</v>
      </c>
      <c r="C206" s="5">
        <v>1300790</v>
      </c>
      <c r="D206" s="5" t="s">
        <v>1311</v>
      </c>
      <c r="E206" s="5" t="s">
        <v>116</v>
      </c>
      <c r="F206" s="5" t="s">
        <v>1524</v>
      </c>
      <c r="G206" s="5" t="s">
        <v>1390</v>
      </c>
      <c r="H206" s="5">
        <v>7.7240000000000002</v>
      </c>
      <c r="I206" s="5">
        <v>216</v>
      </c>
      <c r="J206" s="5">
        <v>1.87</v>
      </c>
      <c r="K206" s="5"/>
      <c r="L206" s="5">
        <v>3.3751000000000002</v>
      </c>
      <c r="M206" s="5">
        <v>26.1</v>
      </c>
      <c r="N206" s="151">
        <v>41376.412606740414</v>
      </c>
      <c r="O206" s="4">
        <v>-7</v>
      </c>
      <c r="P206" s="4">
        <v>3</v>
      </c>
    </row>
    <row r="207" spans="1:16" x14ac:dyDescent="0.25">
      <c r="A207" s="144">
        <v>41376.375</v>
      </c>
      <c r="B207" s="5">
        <v>-4</v>
      </c>
      <c r="C207" s="5">
        <v>1300791</v>
      </c>
      <c r="D207" s="5" t="s">
        <v>1311</v>
      </c>
      <c r="E207" s="5" t="s">
        <v>116</v>
      </c>
      <c r="F207" s="5" t="s">
        <v>1524</v>
      </c>
      <c r="G207" s="5" t="s">
        <v>1390</v>
      </c>
      <c r="H207" s="5">
        <v>7.7839999999999998</v>
      </c>
      <c r="I207" s="5">
        <v>204</v>
      </c>
      <c r="J207" s="5">
        <v>2.673</v>
      </c>
      <c r="K207" s="5"/>
      <c r="L207" s="5">
        <v>3.2637</v>
      </c>
      <c r="M207" s="5">
        <v>23.9</v>
      </c>
      <c r="N207" s="151">
        <v>41384.912963994306</v>
      </c>
      <c r="O207" s="4">
        <v>-7</v>
      </c>
      <c r="P207" s="4">
        <v>2</v>
      </c>
    </row>
    <row r="208" spans="1:16" x14ac:dyDescent="0.25">
      <c r="A208" s="144">
        <v>41376.458333333336</v>
      </c>
      <c r="B208" s="5">
        <v>-4</v>
      </c>
      <c r="C208" s="5">
        <v>1300793</v>
      </c>
      <c r="D208" s="5" t="s">
        <v>1311</v>
      </c>
      <c r="E208" s="5" t="s">
        <v>116</v>
      </c>
      <c r="F208" s="5" t="s">
        <v>1524</v>
      </c>
      <c r="G208" s="5" t="s">
        <v>1390</v>
      </c>
      <c r="H208" s="5">
        <v>7.6609999999999996</v>
      </c>
      <c r="I208" s="5">
        <v>198.8</v>
      </c>
      <c r="J208" s="5">
        <v>4.3070000000000004</v>
      </c>
      <c r="K208" s="5">
        <v>1137.1496400000001</v>
      </c>
      <c r="L208" s="5">
        <v>2.8711000000000002</v>
      </c>
      <c r="M208" s="5">
        <v>21.948</v>
      </c>
      <c r="N208" s="151">
        <v>41383.951878463071</v>
      </c>
      <c r="O208" s="4">
        <v>-7</v>
      </c>
      <c r="P208" s="4">
        <v>2</v>
      </c>
    </row>
    <row r="209" spans="1:16" x14ac:dyDescent="0.25">
      <c r="A209" s="144">
        <v>41376.5</v>
      </c>
      <c r="B209" s="5">
        <v>-4</v>
      </c>
      <c r="C209" s="5">
        <v>1300794</v>
      </c>
      <c r="D209" s="5" t="s">
        <v>1311</v>
      </c>
      <c r="E209" s="5" t="s">
        <v>116</v>
      </c>
      <c r="F209" s="5" t="s">
        <v>1524</v>
      </c>
      <c r="G209" s="5" t="s">
        <v>1390</v>
      </c>
      <c r="H209" s="5">
        <v>7.601</v>
      </c>
      <c r="I209" s="5">
        <v>191.6</v>
      </c>
      <c r="J209" s="5">
        <v>4.4029999999999996</v>
      </c>
      <c r="K209" s="5"/>
      <c r="L209" s="5">
        <v>2.8605999999999998</v>
      </c>
      <c r="M209" s="5">
        <v>20.984000000000002</v>
      </c>
      <c r="N209" s="151">
        <v>41380.311814477092</v>
      </c>
      <c r="O209" s="4">
        <v>-7</v>
      </c>
      <c r="P209" s="4">
        <v>2</v>
      </c>
    </row>
    <row r="210" spans="1:16" x14ac:dyDescent="0.25">
      <c r="A210" s="144">
        <v>41376.625</v>
      </c>
      <c r="B210" s="5">
        <v>-4</v>
      </c>
      <c r="C210" s="5">
        <v>1300796</v>
      </c>
      <c r="D210" s="5" t="s">
        <v>1311</v>
      </c>
      <c r="E210" s="5" t="s">
        <v>116</v>
      </c>
      <c r="F210" s="5" t="s">
        <v>1524</v>
      </c>
      <c r="G210" s="5" t="s">
        <v>1390</v>
      </c>
      <c r="H210" s="5">
        <v>7.66</v>
      </c>
      <c r="I210" s="5">
        <v>189.3</v>
      </c>
      <c r="J210" s="5">
        <v>6.4269999999999996</v>
      </c>
      <c r="K210" s="5"/>
      <c r="L210" s="5">
        <v>2.2480000000000002</v>
      </c>
      <c r="M210" s="5">
        <v>20.204999999999998</v>
      </c>
      <c r="N210" s="151">
        <v>41385.61292701582</v>
      </c>
      <c r="O210" s="4">
        <v>-7</v>
      </c>
      <c r="P210" s="4">
        <v>2</v>
      </c>
    </row>
    <row r="211" spans="1:16" x14ac:dyDescent="0.25">
      <c r="A211" s="144">
        <v>41376.875</v>
      </c>
      <c r="B211" s="5">
        <v>-4</v>
      </c>
      <c r="C211" s="5">
        <v>1300797</v>
      </c>
      <c r="D211" s="5" t="s">
        <v>1311</v>
      </c>
      <c r="E211" s="5" t="s">
        <v>116</v>
      </c>
      <c r="F211" s="5" t="s">
        <v>1524</v>
      </c>
      <c r="G211" s="5" t="s">
        <v>1390</v>
      </c>
      <c r="H211" s="5">
        <v>7.6539999999999999</v>
      </c>
      <c r="I211" s="5">
        <v>201</v>
      </c>
      <c r="J211" s="5">
        <v>4.6970000000000001</v>
      </c>
      <c r="K211" s="5"/>
      <c r="L211" s="5">
        <v>2.5741999999999998</v>
      </c>
      <c r="M211" s="5">
        <v>21.396999999999998</v>
      </c>
      <c r="N211" s="151">
        <v>41393.649848923706</v>
      </c>
      <c r="O211" s="4">
        <v>-7</v>
      </c>
      <c r="P211" s="4">
        <v>3</v>
      </c>
    </row>
    <row r="212" spans="1:16" x14ac:dyDescent="0.25">
      <c r="A212" s="144">
        <v>41376.958333333336</v>
      </c>
      <c r="B212" s="5">
        <v>-4</v>
      </c>
      <c r="C212" s="5">
        <v>1300798</v>
      </c>
      <c r="D212" s="5" t="s">
        <v>1311</v>
      </c>
      <c r="E212" s="5" t="s">
        <v>116</v>
      </c>
      <c r="F212" s="5" t="s">
        <v>1524</v>
      </c>
      <c r="G212" s="5" t="s">
        <v>1390</v>
      </c>
      <c r="H212" s="5">
        <v>7.6390000000000002</v>
      </c>
      <c r="I212" s="5">
        <v>197.9</v>
      </c>
      <c r="J212" s="5">
        <v>4.38</v>
      </c>
      <c r="K212" s="5"/>
      <c r="L212" s="5">
        <v>2.5</v>
      </c>
      <c r="M212" s="5">
        <v>20.559000000000001</v>
      </c>
      <c r="N212" s="151">
        <v>41396.678650830203</v>
      </c>
      <c r="O212" s="4">
        <v>-7</v>
      </c>
      <c r="P212" s="4">
        <v>0</v>
      </c>
    </row>
    <row r="213" spans="1:16" x14ac:dyDescent="0.25">
      <c r="A213" s="144">
        <v>41377.041666666664</v>
      </c>
      <c r="B213" s="5">
        <v>-4</v>
      </c>
      <c r="C213" s="5">
        <v>1300799</v>
      </c>
      <c r="D213" s="5" t="s">
        <v>1311</v>
      </c>
      <c r="E213" s="5" t="s">
        <v>116</v>
      </c>
      <c r="F213" s="5" t="s">
        <v>1524</v>
      </c>
      <c r="G213" s="5" t="s">
        <v>1390</v>
      </c>
      <c r="H213" s="5">
        <v>7.649</v>
      </c>
      <c r="I213" s="5">
        <v>173.1</v>
      </c>
      <c r="J213" s="5">
        <v>6.31</v>
      </c>
      <c r="K213" s="5"/>
      <c r="L213" s="5">
        <v>1.9328000000000001</v>
      </c>
      <c r="M213" s="5">
        <v>15.920999999999999</v>
      </c>
      <c r="N213" s="151">
        <v>41380.849151406183</v>
      </c>
      <c r="O213" s="4">
        <v>-7</v>
      </c>
      <c r="P213" s="4">
        <v>1</v>
      </c>
    </row>
    <row r="214" spans="1:16" x14ac:dyDescent="0.25">
      <c r="A214" s="144">
        <v>41377.291666666664</v>
      </c>
      <c r="B214" s="5">
        <v>-4</v>
      </c>
      <c r="C214" s="5">
        <v>1300800</v>
      </c>
      <c r="D214" s="5" t="s">
        <v>1311</v>
      </c>
      <c r="E214" s="5" t="s">
        <v>116</v>
      </c>
      <c r="F214" s="5" t="s">
        <v>1524</v>
      </c>
      <c r="G214" s="5" t="s">
        <v>1390</v>
      </c>
      <c r="H214" s="5">
        <v>7.548</v>
      </c>
      <c r="I214" s="5">
        <v>188.3</v>
      </c>
      <c r="J214" s="5">
        <v>6.14</v>
      </c>
      <c r="K214" s="5">
        <v>1062.7909440000001</v>
      </c>
      <c r="L214" s="5">
        <v>2.3155000000000001</v>
      </c>
      <c r="M214" s="5">
        <v>17.196999999999999</v>
      </c>
      <c r="N214" s="151">
        <v>41388.787785009306</v>
      </c>
      <c r="O214" s="4">
        <v>-7</v>
      </c>
      <c r="P214" s="4">
        <v>3</v>
      </c>
    </row>
    <row r="215" spans="1:16" x14ac:dyDescent="0.25">
      <c r="A215" s="144">
        <v>41378.291666666664</v>
      </c>
      <c r="B215" s="5">
        <v>-4</v>
      </c>
      <c r="C215" s="5">
        <v>1300801</v>
      </c>
      <c r="D215" s="5" t="s">
        <v>1311</v>
      </c>
      <c r="E215" s="5" t="s">
        <v>116</v>
      </c>
      <c r="F215" s="5" t="s">
        <v>1524</v>
      </c>
      <c r="G215" s="5" t="s">
        <v>1390</v>
      </c>
      <c r="H215" s="5">
        <v>7.6349999999999998</v>
      </c>
      <c r="I215" s="5">
        <v>223</v>
      </c>
      <c r="J215" s="5">
        <v>2.133</v>
      </c>
      <c r="K215" s="5"/>
      <c r="L215" s="5">
        <v>3.2155999999999998</v>
      </c>
      <c r="M215" s="5">
        <v>20.713000000000001</v>
      </c>
      <c r="N215" s="151">
        <v>41392.701670179325</v>
      </c>
      <c r="O215" s="4">
        <v>-7</v>
      </c>
      <c r="P215" s="4">
        <v>4</v>
      </c>
    </row>
    <row r="216" spans="1:16" x14ac:dyDescent="0.25">
      <c r="A216" s="144">
        <v>41395.705555555556</v>
      </c>
      <c r="B216" s="5">
        <v>-4</v>
      </c>
      <c r="C216" s="5">
        <v>1301020</v>
      </c>
      <c r="D216" s="5" t="s">
        <v>1308</v>
      </c>
      <c r="E216" s="5" t="s">
        <v>110</v>
      </c>
      <c r="F216" s="5" t="s">
        <v>1523</v>
      </c>
      <c r="G216" s="5" t="s">
        <v>1293</v>
      </c>
      <c r="H216" s="5">
        <v>7.8029999999999999</v>
      </c>
      <c r="I216" s="5">
        <v>204</v>
      </c>
      <c r="J216" s="5">
        <v>1.6970000000000001</v>
      </c>
      <c r="K216" s="5"/>
      <c r="L216" s="5">
        <v>3.0981999999999998</v>
      </c>
      <c r="M216" s="5">
        <v>21.475000000000001</v>
      </c>
      <c r="N216" s="151">
        <v>41405.479910360249</v>
      </c>
      <c r="O216" s="4">
        <v>-7</v>
      </c>
      <c r="P216" s="4">
        <v>3</v>
      </c>
    </row>
    <row r="217" spans="1:16" x14ac:dyDescent="0.25">
      <c r="A217" s="144">
        <v>41395.725694444445</v>
      </c>
      <c r="B217" s="5">
        <v>-4</v>
      </c>
      <c r="C217" s="5">
        <v>1301018</v>
      </c>
      <c r="D217" s="5" t="s">
        <v>1314</v>
      </c>
      <c r="E217" s="5" t="s">
        <v>110</v>
      </c>
      <c r="F217" s="5" t="s">
        <v>1523</v>
      </c>
      <c r="G217" s="5" t="s">
        <v>1293</v>
      </c>
      <c r="H217" s="5">
        <v>8.0640000000000001</v>
      </c>
      <c r="I217" s="5">
        <v>194.2</v>
      </c>
      <c r="J217" s="5">
        <v>1.69</v>
      </c>
      <c r="K217" s="5"/>
      <c r="L217" s="5">
        <v>3.3304999999999998</v>
      </c>
      <c r="M217" s="5">
        <v>21.611000000000001</v>
      </c>
      <c r="N217" s="151">
        <v>41410.508995244163</v>
      </c>
      <c r="O217" s="4">
        <v>-7</v>
      </c>
      <c r="P217" s="4">
        <v>1</v>
      </c>
    </row>
    <row r="218" spans="1:16" x14ac:dyDescent="0.25">
      <c r="A218" s="144">
        <v>41395.741666666669</v>
      </c>
      <c r="B218" s="5">
        <v>-4</v>
      </c>
      <c r="C218" s="5">
        <v>1301019</v>
      </c>
      <c r="D218" s="5" t="s">
        <v>1313</v>
      </c>
      <c r="E218" s="5" t="s">
        <v>110</v>
      </c>
      <c r="F218" s="5" t="s">
        <v>1523</v>
      </c>
      <c r="G218" s="5" t="s">
        <v>1293</v>
      </c>
      <c r="H218" s="5">
        <v>7.835</v>
      </c>
      <c r="I218" s="5">
        <v>198.7</v>
      </c>
      <c r="J218" s="5">
        <v>1.657</v>
      </c>
      <c r="K218" s="5"/>
      <c r="L218" s="5">
        <v>3.3799000000000001</v>
      </c>
      <c r="M218" s="5">
        <v>21.835000000000001</v>
      </c>
      <c r="N218" s="151">
        <v>41402.365270832488</v>
      </c>
      <c r="O218" s="4">
        <v>-7</v>
      </c>
      <c r="P218" s="4">
        <v>1</v>
      </c>
    </row>
    <row r="219" spans="1:16" x14ac:dyDescent="0.25">
      <c r="A219" s="144">
        <v>41431.460416666669</v>
      </c>
      <c r="B219" s="5">
        <v>-4</v>
      </c>
      <c r="C219" s="5">
        <v>1301208</v>
      </c>
      <c r="D219" s="5" t="s">
        <v>1308</v>
      </c>
      <c r="E219" s="5" t="s">
        <v>110</v>
      </c>
      <c r="F219" s="5" t="s">
        <v>1523</v>
      </c>
      <c r="G219" s="5" t="s">
        <v>1293</v>
      </c>
      <c r="H219" s="5">
        <v>7.6139999999999999</v>
      </c>
      <c r="I219" s="5">
        <v>209</v>
      </c>
      <c r="J219" s="5">
        <v>1.357</v>
      </c>
      <c r="K219" s="5">
        <v>1431.8408010000001</v>
      </c>
      <c r="L219" s="5">
        <v>3.4247999999999998</v>
      </c>
      <c r="M219" s="5">
        <v>23.745000000000001</v>
      </c>
      <c r="N219" s="151">
        <v>41433.836405561495</v>
      </c>
      <c r="O219" s="4">
        <v>-7</v>
      </c>
      <c r="P219" s="4">
        <v>2</v>
      </c>
    </row>
    <row r="220" spans="1:16" x14ac:dyDescent="0.25">
      <c r="A220" s="144">
        <v>41431.475694444445</v>
      </c>
      <c r="B220" s="5">
        <v>-4</v>
      </c>
      <c r="C220" s="5">
        <v>1301207</v>
      </c>
      <c r="D220" s="5" t="s">
        <v>1313</v>
      </c>
      <c r="E220" s="5" t="s">
        <v>110</v>
      </c>
      <c r="F220" s="5" t="s">
        <v>1523</v>
      </c>
      <c r="G220" s="5" t="s">
        <v>1293</v>
      </c>
      <c r="H220" s="5">
        <v>7.6619999999999999</v>
      </c>
      <c r="I220" s="5">
        <v>207</v>
      </c>
      <c r="J220" s="5">
        <v>1.41</v>
      </c>
      <c r="K220" s="5">
        <v>1336.4446</v>
      </c>
      <c r="L220" s="5">
        <v>3.6886999999999999</v>
      </c>
      <c r="M220" s="5">
        <v>22.12</v>
      </c>
      <c r="N220" s="151">
        <v>41447.475768037715</v>
      </c>
      <c r="O220" s="4">
        <v>-7</v>
      </c>
      <c r="P220" s="4">
        <v>0</v>
      </c>
    </row>
    <row r="221" spans="1:16" x14ac:dyDescent="0.25">
      <c r="A221" s="144">
        <v>41431.49722222222</v>
      </c>
      <c r="B221" s="5">
        <v>-4</v>
      </c>
      <c r="C221" s="5">
        <v>1301206</v>
      </c>
      <c r="D221" s="5" t="s">
        <v>1314</v>
      </c>
      <c r="E221" s="5" t="s">
        <v>110</v>
      </c>
      <c r="F221" s="5" t="s">
        <v>1523</v>
      </c>
      <c r="G221" s="5" t="s">
        <v>1293</v>
      </c>
      <c r="H221" s="5">
        <v>7.8940000000000001</v>
      </c>
      <c r="I221" s="5">
        <v>214</v>
      </c>
      <c r="J221" s="5">
        <v>1.47</v>
      </c>
      <c r="K221" s="5">
        <v>1406.2586759999999</v>
      </c>
      <c r="L221" s="5">
        <v>3.5849000000000002</v>
      </c>
      <c r="M221" s="5">
        <v>22.628</v>
      </c>
      <c r="N221" s="151">
        <v>41433.141384822076</v>
      </c>
      <c r="O221" s="4">
        <v>-7</v>
      </c>
      <c r="P221" s="4">
        <v>2</v>
      </c>
    </row>
    <row r="222" spans="1:16" x14ac:dyDescent="0.25">
      <c r="A222" s="144">
        <v>41431.791666666664</v>
      </c>
      <c r="B222" s="5">
        <v>-4</v>
      </c>
      <c r="C222" s="5">
        <v>1301235</v>
      </c>
      <c r="D222" s="5" t="s">
        <v>1311</v>
      </c>
      <c r="E222" s="5" t="s">
        <v>116</v>
      </c>
      <c r="F222" s="5" t="s">
        <v>1524</v>
      </c>
      <c r="G222" s="5" t="s">
        <v>1385</v>
      </c>
      <c r="H222" s="5">
        <v>7.9710000000000001</v>
      </c>
      <c r="I222" s="5">
        <v>223</v>
      </c>
      <c r="J222" s="5">
        <v>2.2010000000000001</v>
      </c>
      <c r="K222" s="5">
        <v>1333.151728</v>
      </c>
      <c r="L222" s="5">
        <v>3.5996999999999999</v>
      </c>
      <c r="M222" s="5">
        <v>21.72</v>
      </c>
      <c r="N222" s="151">
        <v>41442.885832333435</v>
      </c>
      <c r="O222" s="4">
        <v>-7</v>
      </c>
      <c r="P222" s="4">
        <v>3</v>
      </c>
    </row>
    <row r="223" spans="1:16" x14ac:dyDescent="0.25">
      <c r="A223" s="144">
        <v>41432.25</v>
      </c>
      <c r="B223" s="5">
        <v>-4</v>
      </c>
      <c r="C223" s="5">
        <v>1301236</v>
      </c>
      <c r="D223" s="5" t="s">
        <v>1311</v>
      </c>
      <c r="E223" s="5" t="s">
        <v>116</v>
      </c>
      <c r="F223" s="5" t="s">
        <v>1524</v>
      </c>
      <c r="G223" s="5" t="s">
        <v>1385</v>
      </c>
      <c r="H223" s="5">
        <v>7.5430000000000001</v>
      </c>
      <c r="I223" s="5">
        <v>171.3</v>
      </c>
      <c r="J223" s="5">
        <v>8.7469999999999999</v>
      </c>
      <c r="K223" s="5">
        <v>1054.154583</v>
      </c>
      <c r="L223" s="5">
        <v>1.8902000000000001</v>
      </c>
      <c r="M223" s="5">
        <v>17.933</v>
      </c>
      <c r="N223" s="151">
        <v>41438.311872527163</v>
      </c>
      <c r="O223" s="4">
        <v>-7</v>
      </c>
      <c r="P223" s="4">
        <v>3</v>
      </c>
    </row>
    <row r="224" spans="1:16" x14ac:dyDescent="0.25">
      <c r="A224" s="144">
        <v>41432.375</v>
      </c>
      <c r="B224" s="5">
        <v>-4</v>
      </c>
      <c r="C224" s="5">
        <v>1301237</v>
      </c>
      <c r="D224" s="5" t="s">
        <v>1311</v>
      </c>
      <c r="E224" s="5" t="s">
        <v>116</v>
      </c>
      <c r="F224" s="5" t="s">
        <v>1524</v>
      </c>
      <c r="G224" s="5" t="s">
        <v>1385</v>
      </c>
      <c r="H224" s="5">
        <v>7.601</v>
      </c>
      <c r="I224" s="5">
        <v>169.5</v>
      </c>
      <c r="J224" s="5">
        <v>13.026999999999999</v>
      </c>
      <c r="K224" s="5">
        <v>708.30890950000003</v>
      </c>
      <c r="L224" s="5">
        <v>2.3527999999999998</v>
      </c>
      <c r="M224" s="5">
        <v>12.269</v>
      </c>
      <c r="N224" s="151">
        <v>41439.922122451768</v>
      </c>
      <c r="O224" s="4">
        <v>-7</v>
      </c>
      <c r="P224" s="4">
        <v>2</v>
      </c>
    </row>
    <row r="225" spans="1:16" x14ac:dyDescent="0.25">
      <c r="A225" s="144">
        <v>41432.5</v>
      </c>
      <c r="B225" s="5">
        <v>-4</v>
      </c>
      <c r="C225" s="5">
        <v>1301238</v>
      </c>
      <c r="D225" s="5" t="s">
        <v>1311</v>
      </c>
      <c r="E225" s="5" t="s">
        <v>116</v>
      </c>
      <c r="F225" s="5" t="s">
        <v>1524</v>
      </c>
      <c r="G225" s="5" t="s">
        <v>1385</v>
      </c>
      <c r="H225" s="5">
        <v>7.3920000000000003</v>
      </c>
      <c r="I225" s="5">
        <v>131</v>
      </c>
      <c r="J225" s="5">
        <v>13.227</v>
      </c>
      <c r="K225" s="5">
        <v>698.58068509999998</v>
      </c>
      <c r="L225" s="5">
        <v>2.6922999999999999</v>
      </c>
      <c r="M225" s="5">
        <v>11.375</v>
      </c>
      <c r="N225" s="151">
        <v>41440.987023812595</v>
      </c>
      <c r="O225" s="4">
        <v>-7</v>
      </c>
      <c r="P225" s="4">
        <v>0</v>
      </c>
    </row>
    <row r="226" spans="1:16" x14ac:dyDescent="0.25">
      <c r="A226" s="144">
        <v>41432.625</v>
      </c>
      <c r="B226" s="5">
        <v>-4</v>
      </c>
      <c r="C226" s="5">
        <v>1301239</v>
      </c>
      <c r="D226" s="5" t="s">
        <v>1311</v>
      </c>
      <c r="E226" s="5" t="s">
        <v>116</v>
      </c>
      <c r="F226" s="5" t="s">
        <v>1524</v>
      </c>
      <c r="G226" s="5" t="s">
        <v>1385</v>
      </c>
      <c r="H226" s="5">
        <v>7.2110000000000003</v>
      </c>
      <c r="I226" s="5">
        <v>141.30000000000001</v>
      </c>
      <c r="J226" s="5"/>
      <c r="K226" s="5">
        <v>668.24292530000002</v>
      </c>
      <c r="L226" s="5">
        <v>4.4363999999999999</v>
      </c>
      <c r="M226" s="5">
        <v>13.464</v>
      </c>
      <c r="N226" s="151">
        <v>41448.8693680711</v>
      </c>
      <c r="O226" s="4">
        <v>-7</v>
      </c>
      <c r="P226" s="4">
        <v>2</v>
      </c>
    </row>
    <row r="227" spans="1:16" x14ac:dyDescent="0.25">
      <c r="A227" s="144">
        <v>41432.625</v>
      </c>
      <c r="B227" s="5">
        <v>-4</v>
      </c>
      <c r="C227" s="5">
        <v>1301239</v>
      </c>
      <c r="D227" s="5" t="s">
        <v>1311</v>
      </c>
      <c r="E227" s="5" t="s">
        <v>116</v>
      </c>
      <c r="F227" s="5" t="s">
        <v>1524</v>
      </c>
      <c r="G227" s="5" t="s">
        <v>1385</v>
      </c>
      <c r="H227" s="5">
        <v>7.2110000000000003</v>
      </c>
      <c r="I227" s="5">
        <v>141.30000000000001</v>
      </c>
      <c r="J227" s="5"/>
      <c r="K227" s="5">
        <v>668.24292530000002</v>
      </c>
      <c r="L227" s="5">
        <v>4.4363999999999999</v>
      </c>
      <c r="M227" s="5">
        <v>13.464</v>
      </c>
      <c r="N227" s="151">
        <v>41448.121639685443</v>
      </c>
      <c r="O227" s="4">
        <v>-7</v>
      </c>
      <c r="P227" s="4">
        <v>4</v>
      </c>
    </row>
    <row r="228" spans="1:16" x14ac:dyDescent="0.25">
      <c r="A228" s="144">
        <v>41432.708333333336</v>
      </c>
      <c r="B228" s="5">
        <v>-4</v>
      </c>
      <c r="C228" s="5">
        <v>1301240</v>
      </c>
      <c r="D228" s="5" t="s">
        <v>1311</v>
      </c>
      <c r="E228" s="5" t="s">
        <v>116</v>
      </c>
      <c r="F228" s="5" t="s">
        <v>1524</v>
      </c>
      <c r="G228" s="5" t="s">
        <v>1385</v>
      </c>
      <c r="H228" s="5">
        <v>7.0330000000000004</v>
      </c>
      <c r="I228" s="5">
        <v>110.5</v>
      </c>
      <c r="J228" s="5">
        <v>13.173</v>
      </c>
      <c r="K228" s="5">
        <v>482.83258810000001</v>
      </c>
      <c r="L228" s="5">
        <v>4.0945999999999998</v>
      </c>
      <c r="M228" s="5">
        <v>9.9429999999999996</v>
      </c>
      <c r="N228" s="151">
        <v>41444.246640088037</v>
      </c>
      <c r="O228" s="4">
        <v>-7</v>
      </c>
      <c r="P228" s="4">
        <v>1</v>
      </c>
    </row>
    <row r="229" spans="1:16" x14ac:dyDescent="0.25">
      <c r="A229" s="144">
        <v>41432.791666666664</v>
      </c>
      <c r="B229" s="5">
        <v>-4</v>
      </c>
      <c r="C229" s="5">
        <v>1301241</v>
      </c>
      <c r="D229" s="5" t="s">
        <v>1311</v>
      </c>
      <c r="E229" s="5" t="s">
        <v>116</v>
      </c>
      <c r="F229" s="5" t="s">
        <v>1524</v>
      </c>
      <c r="G229" s="5" t="s">
        <v>1385</v>
      </c>
      <c r="H229" s="5">
        <v>7.0860000000000003</v>
      </c>
      <c r="I229" s="5">
        <v>99.9</v>
      </c>
      <c r="J229" s="5">
        <v>12.307</v>
      </c>
      <c r="K229" s="5">
        <v>536.04568099999995</v>
      </c>
      <c r="L229" s="5">
        <v>2.7509999999999999</v>
      </c>
      <c r="M229" s="5">
        <v>9.1829999999999998</v>
      </c>
      <c r="N229" s="151">
        <v>41446.253482887165</v>
      </c>
      <c r="O229" s="4">
        <v>-7</v>
      </c>
      <c r="P229" s="4">
        <v>4</v>
      </c>
    </row>
    <row r="230" spans="1:16" x14ac:dyDescent="0.25">
      <c r="A230" s="144">
        <v>41433</v>
      </c>
      <c r="B230" s="5">
        <v>-4</v>
      </c>
      <c r="C230" s="5">
        <v>1301242</v>
      </c>
      <c r="D230" s="5" t="s">
        <v>1311</v>
      </c>
      <c r="E230" s="5" t="s">
        <v>116</v>
      </c>
      <c r="F230" s="5" t="s">
        <v>1524</v>
      </c>
      <c r="G230" s="5" t="s">
        <v>1385</v>
      </c>
      <c r="H230" s="5">
        <v>7.2610000000000001</v>
      </c>
      <c r="I230" s="5">
        <v>119.8</v>
      </c>
      <c r="J230" s="5">
        <v>12.186999999999999</v>
      </c>
      <c r="K230" s="5">
        <v>722.85060510000005</v>
      </c>
      <c r="L230" s="5">
        <v>2.2509000000000001</v>
      </c>
      <c r="M230" s="5">
        <v>10.645</v>
      </c>
      <c r="N230" s="151">
        <v>41445.692649156794</v>
      </c>
      <c r="O230" s="4">
        <v>-7</v>
      </c>
      <c r="P230" s="4">
        <v>1</v>
      </c>
    </row>
    <row r="231" spans="1:16" x14ac:dyDescent="0.25">
      <c r="A231" s="144">
        <v>41433.166666666664</v>
      </c>
      <c r="B231" s="5">
        <v>-4</v>
      </c>
      <c r="C231" s="5">
        <v>1301243</v>
      </c>
      <c r="D231" s="5" t="s">
        <v>1311</v>
      </c>
      <c r="E231" s="5" t="s">
        <v>116</v>
      </c>
      <c r="F231" s="5" t="s">
        <v>1524</v>
      </c>
      <c r="G231" s="5" t="s">
        <v>1385</v>
      </c>
      <c r="H231" s="5">
        <v>7.39</v>
      </c>
      <c r="I231" s="5">
        <v>143.69999999999999</v>
      </c>
      <c r="J231" s="5">
        <v>10.547000000000001</v>
      </c>
      <c r="K231" s="5">
        <v>857.75795779999999</v>
      </c>
      <c r="L231" s="5">
        <v>2.6513</v>
      </c>
      <c r="M231" s="5">
        <v>14.629</v>
      </c>
      <c r="N231" s="151">
        <v>41444.332539131166</v>
      </c>
      <c r="O231" s="4">
        <v>-7</v>
      </c>
      <c r="P231" s="4">
        <v>1</v>
      </c>
    </row>
    <row r="232" spans="1:16" x14ac:dyDescent="0.25">
      <c r="A232" s="144">
        <v>41433.583333333336</v>
      </c>
      <c r="B232" s="5">
        <v>-4</v>
      </c>
      <c r="C232" s="5">
        <v>1301244</v>
      </c>
      <c r="D232" s="5" t="s">
        <v>1311</v>
      </c>
      <c r="E232" s="5" t="s">
        <v>116</v>
      </c>
      <c r="F232" s="5" t="s">
        <v>1524</v>
      </c>
      <c r="G232" s="5" t="s">
        <v>1385</v>
      </c>
      <c r="H232" s="5">
        <v>7.5439999999999996</v>
      </c>
      <c r="I232" s="5">
        <v>177.2</v>
      </c>
      <c r="J232" s="5">
        <v>6.2670000000000003</v>
      </c>
      <c r="K232" s="5">
        <v>1071.9127880000001</v>
      </c>
      <c r="L232" s="5">
        <v>2.6074000000000002</v>
      </c>
      <c r="M232" s="5">
        <v>17.486000000000001</v>
      </c>
      <c r="N232" s="151">
        <v>41436.849384985268</v>
      </c>
      <c r="O232" s="4">
        <v>-7</v>
      </c>
      <c r="P232" s="4">
        <v>2</v>
      </c>
    </row>
    <row r="233" spans="1:16" x14ac:dyDescent="0.25">
      <c r="A233" s="144">
        <v>41435.791666666664</v>
      </c>
      <c r="B233" s="5">
        <v>-4</v>
      </c>
      <c r="C233" s="5">
        <v>1301251</v>
      </c>
      <c r="D233" s="5" t="s">
        <v>1311</v>
      </c>
      <c r="E233" s="5" t="s">
        <v>116</v>
      </c>
      <c r="F233" s="5" t="s">
        <v>1524</v>
      </c>
      <c r="G233" s="5" t="s">
        <v>1390</v>
      </c>
      <c r="H233" s="5">
        <v>7.4950000000000001</v>
      </c>
      <c r="I233" s="5">
        <v>128.6</v>
      </c>
      <c r="J233" s="5">
        <v>12.733000000000001</v>
      </c>
      <c r="K233" s="5"/>
      <c r="L233" s="5">
        <v>1.7795000000000001</v>
      </c>
      <c r="M233" s="5"/>
      <c r="N233" s="151">
        <v>41448.177683258422</v>
      </c>
      <c r="O233" s="4">
        <v>-7</v>
      </c>
      <c r="P233" s="4">
        <v>0</v>
      </c>
    </row>
    <row r="234" spans="1:16" x14ac:dyDescent="0.25">
      <c r="A234" s="144">
        <v>41436</v>
      </c>
      <c r="B234" s="5">
        <v>-4</v>
      </c>
      <c r="C234" s="5">
        <v>1301252</v>
      </c>
      <c r="D234" s="5" t="s">
        <v>1311</v>
      </c>
      <c r="E234" s="5" t="s">
        <v>116</v>
      </c>
      <c r="F234" s="5" t="s">
        <v>1524</v>
      </c>
      <c r="G234" s="5" t="s">
        <v>1390</v>
      </c>
      <c r="H234" s="5">
        <v>7.3490000000000002</v>
      </c>
      <c r="I234" s="5">
        <v>124.8</v>
      </c>
      <c r="J234" s="5">
        <v>14.253</v>
      </c>
      <c r="K234" s="5"/>
      <c r="L234" s="5">
        <v>1.5599000000000001</v>
      </c>
      <c r="M234" s="5"/>
      <c r="N234" s="151">
        <v>41448.603653672071</v>
      </c>
      <c r="O234" s="4">
        <v>-7</v>
      </c>
      <c r="P234" s="4">
        <v>2</v>
      </c>
    </row>
    <row r="235" spans="1:16" x14ac:dyDescent="0.25">
      <c r="A235" s="144">
        <v>41436.041666666664</v>
      </c>
      <c r="B235" s="5">
        <v>-4</v>
      </c>
      <c r="C235" s="5">
        <v>1301253</v>
      </c>
      <c r="D235" s="5" t="s">
        <v>1311</v>
      </c>
      <c r="E235" s="5" t="s">
        <v>116</v>
      </c>
      <c r="F235" s="5" t="s">
        <v>1524</v>
      </c>
      <c r="G235" s="5" t="s">
        <v>1390</v>
      </c>
      <c r="H235" s="5">
        <v>7.306</v>
      </c>
      <c r="I235" s="5">
        <v>29.1</v>
      </c>
      <c r="J235" s="5">
        <v>13.6</v>
      </c>
      <c r="K235" s="5"/>
      <c r="L235" s="5">
        <v>1.3868</v>
      </c>
      <c r="M235" s="5"/>
      <c r="N235" s="151">
        <v>41438.691338577722</v>
      </c>
      <c r="O235" s="4">
        <v>-7</v>
      </c>
      <c r="P235" s="4">
        <v>1</v>
      </c>
    </row>
    <row r="236" spans="1:16" x14ac:dyDescent="0.25">
      <c r="A236" s="144">
        <v>41465.607638888891</v>
      </c>
      <c r="B236" s="5">
        <v>-4</v>
      </c>
      <c r="C236" s="5">
        <v>1301419</v>
      </c>
      <c r="D236" s="5" t="s">
        <v>1308</v>
      </c>
      <c r="E236" s="5" t="s">
        <v>110</v>
      </c>
      <c r="F236" s="5" t="s">
        <v>1523</v>
      </c>
      <c r="G236" s="5" t="s">
        <v>1293</v>
      </c>
      <c r="H236" s="5">
        <v>8.2080000000000002</v>
      </c>
      <c r="I236" s="5">
        <v>231</v>
      </c>
      <c r="J236" s="5">
        <v>2.73</v>
      </c>
      <c r="K236" s="5"/>
      <c r="L236" s="5">
        <v>2.9634</v>
      </c>
      <c r="M236" s="5">
        <v>21.628</v>
      </c>
      <c r="N236" s="151">
        <v>41468.697808796431</v>
      </c>
      <c r="O236" s="4">
        <v>-7</v>
      </c>
      <c r="P236" s="4">
        <v>4</v>
      </c>
    </row>
    <row r="237" spans="1:16" x14ac:dyDescent="0.25">
      <c r="A237" s="144">
        <v>41465.642361111109</v>
      </c>
      <c r="B237" s="5">
        <v>-4</v>
      </c>
      <c r="C237" s="5">
        <v>1301417</v>
      </c>
      <c r="D237" s="5" t="s">
        <v>1314</v>
      </c>
      <c r="E237" s="5" t="s">
        <v>110</v>
      </c>
      <c r="F237" s="5" t="s">
        <v>1523</v>
      </c>
      <c r="G237" s="5" t="s">
        <v>1293</v>
      </c>
      <c r="H237" s="5">
        <v>8.2639999999999993</v>
      </c>
      <c r="I237" s="5">
        <v>244</v>
      </c>
      <c r="J237" s="5">
        <v>2.8029999999999999</v>
      </c>
      <c r="K237" s="5"/>
      <c r="L237" s="5">
        <v>3.1842000000000001</v>
      </c>
      <c r="M237" s="5">
        <v>22.908000000000001</v>
      </c>
      <c r="N237" s="151">
        <v>41474.849362719353</v>
      </c>
      <c r="O237" s="4">
        <v>-7</v>
      </c>
      <c r="P237" s="4">
        <v>2</v>
      </c>
    </row>
    <row r="238" spans="1:16" x14ac:dyDescent="0.25">
      <c r="A238" s="144">
        <v>41465.654861111114</v>
      </c>
      <c r="B238" s="5">
        <v>-4</v>
      </c>
      <c r="C238" s="5">
        <v>1301418</v>
      </c>
      <c r="D238" s="5" t="s">
        <v>1313</v>
      </c>
      <c r="E238" s="5" t="s">
        <v>110</v>
      </c>
      <c r="F238" s="5" t="s">
        <v>1523</v>
      </c>
      <c r="G238" s="5" t="s">
        <v>1293</v>
      </c>
      <c r="H238" s="5">
        <v>8.1980000000000004</v>
      </c>
      <c r="I238" s="5">
        <v>237</v>
      </c>
      <c r="J238" s="5">
        <v>2.7669999999999999</v>
      </c>
      <c r="K238" s="5"/>
      <c r="L238" s="5">
        <v>3.2263999999999999</v>
      </c>
      <c r="M238" s="5">
        <v>20.643999999999998</v>
      </c>
      <c r="N238" s="151">
        <v>41467.567097415238</v>
      </c>
      <c r="O238" s="4">
        <v>-7</v>
      </c>
      <c r="P238" s="4">
        <v>1</v>
      </c>
    </row>
    <row r="239" spans="1:16" x14ac:dyDescent="0.25">
      <c r="A239" s="144">
        <v>41492.619444444441</v>
      </c>
      <c r="B239" s="5">
        <v>-4</v>
      </c>
      <c r="C239" s="5">
        <v>1301708</v>
      </c>
      <c r="D239" s="5" t="s">
        <v>1309</v>
      </c>
      <c r="E239" s="5" t="s">
        <v>110</v>
      </c>
      <c r="F239" s="5" t="s">
        <v>1523</v>
      </c>
      <c r="G239" s="5" t="s">
        <v>1386</v>
      </c>
      <c r="H239" s="5">
        <v>7.226</v>
      </c>
      <c r="I239" s="5">
        <v>251</v>
      </c>
      <c r="J239" s="5">
        <v>5.9329999999999998</v>
      </c>
      <c r="K239" s="5"/>
      <c r="L239" s="5">
        <v>1.0343</v>
      </c>
      <c r="M239" s="5">
        <v>26.114999999999998</v>
      </c>
      <c r="N239" s="151">
        <v>41509.901982017996</v>
      </c>
      <c r="O239" s="4">
        <v>-7</v>
      </c>
      <c r="P239" s="4">
        <v>3</v>
      </c>
    </row>
    <row r="240" spans="1:16" x14ac:dyDescent="0.25">
      <c r="A240" s="144">
        <v>41492.708333333336</v>
      </c>
      <c r="B240" s="5">
        <v>-4</v>
      </c>
      <c r="C240" s="5">
        <v>1301709</v>
      </c>
      <c r="D240" s="5" t="s">
        <v>1310</v>
      </c>
      <c r="E240" s="5" t="s">
        <v>110</v>
      </c>
      <c r="F240" s="5" t="s">
        <v>1523</v>
      </c>
      <c r="G240" s="5" t="s">
        <v>1293</v>
      </c>
      <c r="H240" s="5">
        <v>7.4089999999999998</v>
      </c>
      <c r="I240" s="5">
        <v>416</v>
      </c>
      <c r="J240" s="5">
        <v>2.06</v>
      </c>
      <c r="K240" s="5"/>
      <c r="L240" s="5">
        <v>9.3663000000000007</v>
      </c>
      <c r="M240" s="5">
        <v>35.563000000000002</v>
      </c>
      <c r="N240" s="151">
        <v>41500.087596049438</v>
      </c>
      <c r="O240" s="4">
        <v>-7</v>
      </c>
      <c r="P240" s="4">
        <v>3</v>
      </c>
    </row>
    <row r="241" spans="1:16" x14ac:dyDescent="0.25">
      <c r="A241" s="144">
        <v>41493.674305555556</v>
      </c>
      <c r="B241" s="5">
        <v>-4</v>
      </c>
      <c r="C241" s="5">
        <v>1301736</v>
      </c>
      <c r="D241" s="5" t="s">
        <v>1308</v>
      </c>
      <c r="E241" s="5" t="s">
        <v>110</v>
      </c>
      <c r="F241" s="5" t="s">
        <v>1523</v>
      </c>
      <c r="G241" s="5" t="s">
        <v>1293</v>
      </c>
      <c r="H241" s="5">
        <v>8.109</v>
      </c>
      <c r="I241" s="5">
        <v>223</v>
      </c>
      <c r="J241" s="5">
        <v>1.597</v>
      </c>
      <c r="K241" s="5"/>
      <c r="L241" s="5">
        <v>3.3509000000000002</v>
      </c>
      <c r="M241" s="5">
        <v>22.686</v>
      </c>
      <c r="N241" s="151">
        <v>41495.56485670527</v>
      </c>
      <c r="O241" s="4">
        <v>-7</v>
      </c>
      <c r="P241" s="4">
        <v>0</v>
      </c>
    </row>
    <row r="242" spans="1:16" x14ac:dyDescent="0.25">
      <c r="A242" s="144">
        <v>41493.691666666666</v>
      </c>
      <c r="B242" s="5">
        <v>-4</v>
      </c>
      <c r="C242" s="5">
        <v>1301734</v>
      </c>
      <c r="D242" s="5" t="s">
        <v>1314</v>
      </c>
      <c r="E242" s="5" t="s">
        <v>110</v>
      </c>
      <c r="F242" s="5" t="s">
        <v>1523</v>
      </c>
      <c r="G242" s="5" t="s">
        <v>1293</v>
      </c>
      <c r="H242" s="5">
        <v>7.867</v>
      </c>
      <c r="I242" s="5">
        <v>254</v>
      </c>
      <c r="J242" s="5">
        <v>1.593</v>
      </c>
      <c r="K242" s="5"/>
      <c r="L242" s="5">
        <v>3.5964999999999998</v>
      </c>
      <c r="M242" s="5">
        <v>21.986999999999998</v>
      </c>
      <c r="N242" s="151">
        <v>41509.287345565026</v>
      </c>
      <c r="O242" s="4">
        <v>-7</v>
      </c>
      <c r="P242" s="4">
        <v>2</v>
      </c>
    </row>
    <row r="243" spans="1:16" x14ac:dyDescent="0.25">
      <c r="A243" s="144">
        <v>41493.705555555556</v>
      </c>
      <c r="B243" s="5">
        <v>-4</v>
      </c>
      <c r="C243" s="5">
        <v>1301735</v>
      </c>
      <c r="D243" s="5" t="s">
        <v>1313</v>
      </c>
      <c r="E243" s="5" t="s">
        <v>110</v>
      </c>
      <c r="F243" s="5" t="s">
        <v>1523</v>
      </c>
      <c r="G243" s="5" t="s">
        <v>1293</v>
      </c>
      <c r="H243" s="5">
        <v>7.7510000000000003</v>
      </c>
      <c r="I243" s="5">
        <v>217</v>
      </c>
      <c r="J243" s="5">
        <v>1.597</v>
      </c>
      <c r="K243" s="5"/>
      <c r="L243" s="5">
        <v>3.6476999999999999</v>
      </c>
      <c r="M243" s="5">
        <v>21.925000000000001</v>
      </c>
      <c r="N243" s="151">
        <v>41497.693616098397</v>
      </c>
      <c r="O243" s="4">
        <v>-7</v>
      </c>
      <c r="P243" s="4">
        <v>2</v>
      </c>
    </row>
    <row r="244" spans="1:16" x14ac:dyDescent="0.25">
      <c r="A244" s="144">
        <v>41521.659722222219</v>
      </c>
      <c r="B244" s="5">
        <v>-4</v>
      </c>
      <c r="C244" s="5">
        <v>1302002</v>
      </c>
      <c r="D244" s="5" t="s">
        <v>1308</v>
      </c>
      <c r="E244" s="5" t="s">
        <v>110</v>
      </c>
      <c r="F244" s="5" t="s">
        <v>1523</v>
      </c>
      <c r="G244" s="5" t="s">
        <v>1293</v>
      </c>
      <c r="H244" s="5">
        <v>7.5359999999999996</v>
      </c>
      <c r="I244" s="5">
        <v>229</v>
      </c>
      <c r="J244" s="5">
        <v>1.46</v>
      </c>
      <c r="K244" s="5"/>
      <c r="L244" s="5">
        <v>3.4495</v>
      </c>
      <c r="M244" s="5">
        <v>21.396000000000001</v>
      </c>
      <c r="N244" s="151">
        <v>41536.272410365898</v>
      </c>
      <c r="O244" s="4">
        <v>-7</v>
      </c>
      <c r="P244" s="4">
        <v>4</v>
      </c>
    </row>
    <row r="245" spans="1:16" x14ac:dyDescent="0.25">
      <c r="A245" s="144">
        <v>41521.682638888888</v>
      </c>
      <c r="B245" s="5">
        <v>-4</v>
      </c>
      <c r="C245" s="5">
        <v>1302000</v>
      </c>
      <c r="D245" s="5" t="s">
        <v>1314</v>
      </c>
      <c r="E245" s="5" t="s">
        <v>110</v>
      </c>
      <c r="F245" s="5" t="s">
        <v>1523</v>
      </c>
      <c r="G245" s="5" t="s">
        <v>1293</v>
      </c>
      <c r="H245" s="5">
        <v>7.9080000000000004</v>
      </c>
      <c r="I245" s="5">
        <v>218</v>
      </c>
      <c r="J245" s="5">
        <v>1.5369999999999999</v>
      </c>
      <c r="K245" s="5"/>
      <c r="L245" s="5">
        <v>3.5737999999999999</v>
      </c>
      <c r="M245" s="5">
        <v>23.481000000000002</v>
      </c>
      <c r="N245" s="151">
        <v>41531.763984493307</v>
      </c>
      <c r="O245" s="4">
        <v>-7</v>
      </c>
      <c r="P245" s="4">
        <v>2</v>
      </c>
    </row>
    <row r="246" spans="1:16" x14ac:dyDescent="0.25">
      <c r="A246" s="144">
        <v>41521.700694444444</v>
      </c>
      <c r="B246" s="5">
        <v>-4</v>
      </c>
      <c r="C246" s="5">
        <v>1302001</v>
      </c>
      <c r="D246" s="5" t="s">
        <v>1313</v>
      </c>
      <c r="E246" s="5" t="s">
        <v>110</v>
      </c>
      <c r="F246" s="5" t="s">
        <v>1523</v>
      </c>
      <c r="G246" s="5" t="s">
        <v>1293</v>
      </c>
      <c r="H246" s="5">
        <v>7.806</v>
      </c>
      <c r="I246" s="5">
        <v>224</v>
      </c>
      <c r="J246" s="5">
        <v>1.5229999999999999</v>
      </c>
      <c r="K246" s="5"/>
      <c r="L246" s="5">
        <v>3.6760999999999999</v>
      </c>
      <c r="M246" s="5">
        <v>20.806000000000001</v>
      </c>
      <c r="N246" s="151">
        <v>41532.787934670625</v>
      </c>
      <c r="O246" s="4">
        <v>-7</v>
      </c>
      <c r="P246" s="4">
        <v>3</v>
      </c>
    </row>
    <row r="247" spans="1:16" x14ac:dyDescent="0.25">
      <c r="A247" s="144">
        <v>41549.572222222225</v>
      </c>
      <c r="B247" s="5">
        <v>-4</v>
      </c>
      <c r="C247" s="5">
        <v>1302171</v>
      </c>
      <c r="D247" s="5" t="s">
        <v>1308</v>
      </c>
      <c r="E247" s="5" t="s">
        <v>110</v>
      </c>
      <c r="F247" s="5" t="s">
        <v>1523</v>
      </c>
      <c r="G247" s="5" t="s">
        <v>1293</v>
      </c>
      <c r="H247" s="5">
        <v>7.6239999999999997</v>
      </c>
      <c r="I247" s="5">
        <v>207</v>
      </c>
      <c r="J247" s="5">
        <v>1.333</v>
      </c>
      <c r="K247" s="5"/>
      <c r="L247" s="5">
        <v>3.4622000000000002</v>
      </c>
      <c r="M247" s="5">
        <v>21.498999999999999</v>
      </c>
      <c r="N247" s="151">
        <v>41561.746675060458</v>
      </c>
      <c r="O247" s="4">
        <v>-7</v>
      </c>
      <c r="P247" s="4">
        <v>1</v>
      </c>
    </row>
    <row r="248" spans="1:16" x14ac:dyDescent="0.25">
      <c r="A248" s="144">
        <v>41549.586805555555</v>
      </c>
      <c r="B248" s="5">
        <v>-4</v>
      </c>
      <c r="C248" s="5">
        <v>1302170</v>
      </c>
      <c r="D248" s="5" t="s">
        <v>1313</v>
      </c>
      <c r="E248" s="5" t="s">
        <v>110</v>
      </c>
      <c r="F248" s="5" t="s">
        <v>1523</v>
      </c>
      <c r="G248" s="5" t="s">
        <v>1293</v>
      </c>
      <c r="H248" s="5">
        <v>7.5860000000000003</v>
      </c>
      <c r="I248" s="5">
        <v>211</v>
      </c>
      <c r="J248" s="5">
        <v>1.4330000000000001</v>
      </c>
      <c r="K248" s="5"/>
      <c r="L248" s="5">
        <v>3.7339000000000002</v>
      </c>
      <c r="M248" s="5">
        <v>20.984000000000002</v>
      </c>
      <c r="N248" s="151">
        <v>41561.591898124578</v>
      </c>
      <c r="O248" s="4">
        <v>-7</v>
      </c>
      <c r="P248" s="4">
        <v>1</v>
      </c>
    </row>
    <row r="249" spans="1:16" x14ac:dyDescent="0.25">
      <c r="A249" s="144">
        <v>41549.642361111109</v>
      </c>
      <c r="B249" s="5">
        <v>-4</v>
      </c>
      <c r="C249" s="5">
        <v>1302169</v>
      </c>
      <c r="D249" s="5" t="s">
        <v>1314</v>
      </c>
      <c r="E249" s="5" t="s">
        <v>110</v>
      </c>
      <c r="F249" s="5" t="s">
        <v>1523</v>
      </c>
      <c r="G249" s="5" t="s">
        <v>1386</v>
      </c>
      <c r="H249" s="5">
        <v>7.7670000000000003</v>
      </c>
      <c r="I249" s="5">
        <v>228</v>
      </c>
      <c r="J249" s="5">
        <v>1.423</v>
      </c>
      <c r="K249" s="5"/>
      <c r="L249" s="5">
        <v>3.6772</v>
      </c>
      <c r="M249" s="5">
        <v>22.969000000000001</v>
      </c>
      <c r="N249" s="151">
        <v>41555.442627901415</v>
      </c>
      <c r="O249" s="4">
        <v>-7</v>
      </c>
      <c r="P249" s="4">
        <v>1</v>
      </c>
    </row>
    <row r="250" spans="1:16" x14ac:dyDescent="0.25">
      <c r="A250" s="144">
        <v>41554.5</v>
      </c>
      <c r="B250" s="5">
        <v>-4</v>
      </c>
      <c r="C250" s="5">
        <v>1302244</v>
      </c>
      <c r="D250" s="5" t="s">
        <v>1311</v>
      </c>
      <c r="E250" s="5" t="s">
        <v>116</v>
      </c>
      <c r="F250" s="5" t="s">
        <v>1524</v>
      </c>
      <c r="G250" s="5" t="s">
        <v>1390</v>
      </c>
      <c r="H250" s="5">
        <v>7.98</v>
      </c>
      <c r="I250" s="5">
        <v>232</v>
      </c>
      <c r="J250" s="5">
        <v>2.2370000000000001</v>
      </c>
      <c r="K250" s="5"/>
      <c r="L250" s="5"/>
      <c r="M250" s="5"/>
      <c r="N250" s="151">
        <v>41567.938934804632</v>
      </c>
      <c r="O250" s="4">
        <v>-7</v>
      </c>
      <c r="P250" s="4">
        <v>4</v>
      </c>
    </row>
    <row r="251" spans="1:16" x14ac:dyDescent="0.25">
      <c r="A251" s="144">
        <v>41554.583333333336</v>
      </c>
      <c r="B251" s="5">
        <v>-4</v>
      </c>
      <c r="C251" s="5">
        <v>1302245</v>
      </c>
      <c r="D251" s="5" t="s">
        <v>1311</v>
      </c>
      <c r="E251" s="5" t="s">
        <v>116</v>
      </c>
      <c r="F251" s="5" t="s">
        <v>1524</v>
      </c>
      <c r="G251" s="5" t="s">
        <v>1390</v>
      </c>
      <c r="H251" s="5">
        <v>7.7469999999999999</v>
      </c>
      <c r="I251" s="5">
        <v>219</v>
      </c>
      <c r="J251" s="5">
        <v>3.48</v>
      </c>
      <c r="K251" s="5"/>
      <c r="L251" s="5"/>
      <c r="M251" s="5"/>
      <c r="N251" s="151">
        <v>41573.452009382512</v>
      </c>
      <c r="O251" s="4">
        <v>-7</v>
      </c>
      <c r="P251" s="4">
        <v>1</v>
      </c>
    </row>
    <row r="252" spans="1:16" x14ac:dyDescent="0.25">
      <c r="A252" s="144">
        <v>41554.625</v>
      </c>
      <c r="B252" s="5">
        <v>-4</v>
      </c>
      <c r="C252" s="5">
        <v>1302246</v>
      </c>
      <c r="D252" s="5" t="s">
        <v>1311</v>
      </c>
      <c r="E252" s="5" t="s">
        <v>116</v>
      </c>
      <c r="F252" s="5" t="s">
        <v>1524</v>
      </c>
      <c r="G252" s="5" t="s">
        <v>1390</v>
      </c>
      <c r="H252" s="5">
        <v>7.53</v>
      </c>
      <c r="I252" s="5">
        <v>198.1</v>
      </c>
      <c r="J252" s="5">
        <v>6.8070000000000004</v>
      </c>
      <c r="K252" s="5"/>
      <c r="L252" s="5"/>
      <c r="M252" s="5"/>
      <c r="N252" s="151">
        <v>41558.211175500423</v>
      </c>
      <c r="O252" s="4">
        <v>-7</v>
      </c>
      <c r="P252" s="4">
        <v>1</v>
      </c>
    </row>
    <row r="253" spans="1:16" x14ac:dyDescent="0.25">
      <c r="A253" s="144">
        <v>41554.666666666664</v>
      </c>
      <c r="B253" s="5">
        <v>-4</v>
      </c>
      <c r="C253" s="5">
        <v>1302247</v>
      </c>
      <c r="D253" s="5" t="s">
        <v>1311</v>
      </c>
      <c r="E253" s="5" t="s">
        <v>116</v>
      </c>
      <c r="F253" s="5" t="s">
        <v>1524</v>
      </c>
      <c r="G253" s="5" t="s">
        <v>1390</v>
      </c>
      <c r="H253" s="5">
        <v>7.5670000000000002</v>
      </c>
      <c r="I253" s="5">
        <v>202</v>
      </c>
      <c r="J253" s="5">
        <v>7.36</v>
      </c>
      <c r="K253" s="5"/>
      <c r="L253" s="5"/>
      <c r="M253" s="5"/>
      <c r="N253" s="151">
        <v>41563.649519343402</v>
      </c>
      <c r="O253" s="4">
        <v>-7</v>
      </c>
      <c r="P253" s="4">
        <v>3</v>
      </c>
    </row>
    <row r="254" spans="1:16" x14ac:dyDescent="0.25">
      <c r="A254" s="144">
        <v>41554.708333333336</v>
      </c>
      <c r="B254" s="5">
        <v>-4</v>
      </c>
      <c r="C254" s="5">
        <v>1302248</v>
      </c>
      <c r="D254" s="5" t="s">
        <v>1311</v>
      </c>
      <c r="E254" s="5" t="s">
        <v>116</v>
      </c>
      <c r="F254" s="5" t="s">
        <v>1524</v>
      </c>
      <c r="G254" s="5" t="s">
        <v>1390</v>
      </c>
      <c r="H254" s="5">
        <v>7.5709999999999997</v>
      </c>
      <c r="I254" s="5">
        <v>203</v>
      </c>
      <c r="J254" s="5">
        <v>10.367000000000001</v>
      </c>
      <c r="K254" s="5"/>
      <c r="L254" s="5"/>
      <c r="M254" s="5"/>
      <c r="N254" s="151">
        <v>41566.240668325299</v>
      </c>
      <c r="O254" s="4">
        <v>-7</v>
      </c>
      <c r="P254" s="4">
        <v>2</v>
      </c>
    </row>
    <row r="255" spans="1:16" x14ac:dyDescent="0.25">
      <c r="A255" s="144">
        <v>41554.75</v>
      </c>
      <c r="B255" s="5">
        <v>-4</v>
      </c>
      <c r="C255" s="5">
        <v>1302249</v>
      </c>
      <c r="D255" s="5" t="s">
        <v>1311</v>
      </c>
      <c r="E255" s="5" t="s">
        <v>116</v>
      </c>
      <c r="F255" s="5" t="s">
        <v>1524</v>
      </c>
      <c r="G255" s="5" t="s">
        <v>1390</v>
      </c>
      <c r="H255" s="5">
        <v>7.4589999999999996</v>
      </c>
      <c r="I255" s="5">
        <v>192.3</v>
      </c>
      <c r="J255" s="5">
        <v>13.167</v>
      </c>
      <c r="K255" s="5"/>
      <c r="L255" s="5"/>
      <c r="M255" s="5"/>
      <c r="N255" s="151">
        <v>41570.767455406414</v>
      </c>
      <c r="O255" s="4">
        <v>-7</v>
      </c>
      <c r="P255" s="4">
        <v>1</v>
      </c>
    </row>
    <row r="256" spans="1:16" x14ac:dyDescent="0.25">
      <c r="A256" s="144">
        <v>41554.833333333336</v>
      </c>
      <c r="B256" s="5">
        <v>-4</v>
      </c>
      <c r="C256" s="5">
        <v>1302250</v>
      </c>
      <c r="D256" s="5" t="s">
        <v>1311</v>
      </c>
      <c r="E256" s="5" t="s">
        <v>116</v>
      </c>
      <c r="F256" s="5" t="s">
        <v>1524</v>
      </c>
      <c r="G256" s="5" t="s">
        <v>1390</v>
      </c>
      <c r="H256" s="5">
        <v>7.5049999999999999</v>
      </c>
      <c r="I256" s="5">
        <v>195.8</v>
      </c>
      <c r="J256" s="5">
        <v>13.967000000000001</v>
      </c>
      <c r="K256" s="5"/>
      <c r="L256" s="5"/>
      <c r="M256" s="5"/>
      <c r="N256" s="151">
        <v>41560.097962500426</v>
      </c>
      <c r="O256" s="4">
        <v>-7</v>
      </c>
      <c r="P256" s="4">
        <v>1</v>
      </c>
    </row>
    <row r="257" spans="1:16" x14ac:dyDescent="0.25">
      <c r="A257" s="144">
        <v>41554.958333333336</v>
      </c>
      <c r="B257" s="5">
        <v>-4</v>
      </c>
      <c r="C257" s="5">
        <v>1302251</v>
      </c>
      <c r="D257" s="5" t="s">
        <v>1311</v>
      </c>
      <c r="E257" s="5" t="s">
        <v>116</v>
      </c>
      <c r="F257" s="5" t="s">
        <v>1524</v>
      </c>
      <c r="G257" s="5" t="s">
        <v>1390</v>
      </c>
      <c r="H257" s="5">
        <v>7.5910000000000002</v>
      </c>
      <c r="I257" s="5">
        <v>209</v>
      </c>
      <c r="J257" s="5">
        <v>11.867000000000001</v>
      </c>
      <c r="K257" s="5"/>
      <c r="L257" s="5"/>
      <c r="M257" s="5"/>
      <c r="N257" s="151">
        <v>41562.841704112565</v>
      </c>
      <c r="O257" s="4">
        <v>-7</v>
      </c>
      <c r="P257" s="4">
        <v>3</v>
      </c>
    </row>
    <row r="258" spans="1:16" x14ac:dyDescent="0.25">
      <c r="A258" s="144">
        <v>41555.166666666664</v>
      </c>
      <c r="B258" s="5">
        <v>-4</v>
      </c>
      <c r="C258" s="5">
        <v>1302252</v>
      </c>
      <c r="D258" s="5" t="s">
        <v>1311</v>
      </c>
      <c r="E258" s="5" t="s">
        <v>116</v>
      </c>
      <c r="F258" s="5" t="s">
        <v>1524</v>
      </c>
      <c r="G258" s="5" t="s">
        <v>1390</v>
      </c>
      <c r="H258" s="5">
        <v>7.673</v>
      </c>
      <c r="I258" s="5">
        <v>226</v>
      </c>
      <c r="J258" s="5">
        <v>8.1530000000000005</v>
      </c>
      <c r="K258" s="5"/>
      <c r="L258" s="5"/>
      <c r="M258" s="5"/>
      <c r="N258" s="151">
        <v>41556.71952027324</v>
      </c>
      <c r="O258" s="4">
        <v>-7</v>
      </c>
      <c r="P258" s="4">
        <v>1</v>
      </c>
    </row>
    <row r="259" spans="1:16" x14ac:dyDescent="0.25">
      <c r="A259" s="144">
        <v>41555.333333333336</v>
      </c>
      <c r="B259" s="5">
        <v>-4</v>
      </c>
      <c r="C259" s="5">
        <v>1302253</v>
      </c>
      <c r="D259" s="5" t="s">
        <v>1311</v>
      </c>
      <c r="E259" s="5" t="s">
        <v>116</v>
      </c>
      <c r="F259" s="5" t="s">
        <v>1524</v>
      </c>
      <c r="G259" s="5" t="s">
        <v>1390</v>
      </c>
      <c r="H259" s="5">
        <v>7.665</v>
      </c>
      <c r="I259" s="5">
        <v>232</v>
      </c>
      <c r="J259" s="5">
        <v>5.81</v>
      </c>
      <c r="K259" s="5"/>
      <c r="L259" s="5"/>
      <c r="M259" s="5"/>
      <c r="N259" s="151">
        <v>41555.844004504172</v>
      </c>
      <c r="O259" s="4">
        <v>-7</v>
      </c>
      <c r="P259" s="4">
        <v>1</v>
      </c>
    </row>
    <row r="260" spans="1:16" x14ac:dyDescent="0.25">
      <c r="A260" s="144">
        <v>41556.916666666664</v>
      </c>
      <c r="B260" s="5">
        <v>-4</v>
      </c>
      <c r="C260" s="5">
        <v>1302316</v>
      </c>
      <c r="D260" s="5" t="s">
        <v>1311</v>
      </c>
      <c r="E260" s="5" t="s">
        <v>116</v>
      </c>
      <c r="F260" s="5" t="s">
        <v>1524</v>
      </c>
      <c r="G260" s="5" t="s">
        <v>1390</v>
      </c>
      <c r="H260" s="5"/>
      <c r="I260" s="5">
        <v>239</v>
      </c>
      <c r="J260" s="5">
        <v>2.387</v>
      </c>
      <c r="K260" s="5"/>
      <c r="L260" s="5"/>
      <c r="M260" s="5"/>
      <c r="N260" s="151">
        <v>41563.918038158983</v>
      </c>
      <c r="O260" s="4">
        <v>-7</v>
      </c>
      <c r="P260" s="4">
        <v>3</v>
      </c>
    </row>
    <row r="261" spans="1:16" x14ac:dyDescent="0.25">
      <c r="A261" s="144">
        <v>41557.583333333336</v>
      </c>
      <c r="B261" s="5">
        <v>-4</v>
      </c>
      <c r="C261" s="5">
        <v>1302317</v>
      </c>
      <c r="D261" s="5" t="s">
        <v>1311</v>
      </c>
      <c r="E261" s="5" t="s">
        <v>116</v>
      </c>
      <c r="F261" s="5" t="s">
        <v>1524</v>
      </c>
      <c r="G261" s="5" t="s">
        <v>1390</v>
      </c>
      <c r="H261" s="5"/>
      <c r="I261" s="5">
        <v>226</v>
      </c>
      <c r="J261" s="5">
        <v>3.423</v>
      </c>
      <c r="K261" s="5"/>
      <c r="L261" s="5"/>
      <c r="M261" s="5"/>
      <c r="N261" s="151">
        <v>41566.553741725955</v>
      </c>
      <c r="O261" s="4">
        <v>-7</v>
      </c>
      <c r="P261" s="4">
        <v>1</v>
      </c>
    </row>
    <row r="262" spans="1:16" x14ac:dyDescent="0.25">
      <c r="A262" s="144">
        <v>41557.75</v>
      </c>
      <c r="B262" s="5">
        <v>-4</v>
      </c>
      <c r="C262" s="5">
        <v>1302318</v>
      </c>
      <c r="D262" s="5" t="s">
        <v>1311</v>
      </c>
      <c r="E262" s="5" t="s">
        <v>116</v>
      </c>
      <c r="F262" s="5" t="s">
        <v>1524</v>
      </c>
      <c r="G262" s="5" t="s">
        <v>1390</v>
      </c>
      <c r="H262" s="5"/>
      <c r="I262" s="5">
        <v>207</v>
      </c>
      <c r="J262" s="5">
        <v>8.4369999999999994</v>
      </c>
      <c r="K262" s="5"/>
      <c r="L262" s="5"/>
      <c r="M262" s="5"/>
      <c r="N262" s="151">
        <v>41572.9258465194</v>
      </c>
      <c r="O262" s="4">
        <v>-7</v>
      </c>
      <c r="P262" s="4">
        <v>2</v>
      </c>
    </row>
    <row r="263" spans="1:16" x14ac:dyDescent="0.25">
      <c r="A263" s="144">
        <v>41558.083333333336</v>
      </c>
      <c r="B263" s="5">
        <v>-4</v>
      </c>
      <c r="C263" s="5">
        <v>1302320</v>
      </c>
      <c r="D263" s="5" t="s">
        <v>1311</v>
      </c>
      <c r="E263" s="5" t="s">
        <v>116</v>
      </c>
      <c r="F263" s="5" t="s">
        <v>1524</v>
      </c>
      <c r="G263" s="5" t="s">
        <v>1390</v>
      </c>
      <c r="H263" s="5"/>
      <c r="I263" s="5">
        <v>126.4</v>
      </c>
      <c r="J263" s="5">
        <v>12.4</v>
      </c>
      <c r="K263" s="5"/>
      <c r="L263" s="5"/>
      <c r="M263" s="5"/>
      <c r="N263" s="151">
        <v>41559.100746693191</v>
      </c>
      <c r="O263" s="4">
        <v>-7</v>
      </c>
      <c r="P263" s="4">
        <v>1</v>
      </c>
    </row>
    <row r="264" spans="1:16" x14ac:dyDescent="0.25">
      <c r="A264" s="144">
        <v>41558.333333333336</v>
      </c>
      <c r="B264" s="5">
        <v>-4</v>
      </c>
      <c r="C264" s="5">
        <v>1302321</v>
      </c>
      <c r="D264" s="5" t="s">
        <v>1311</v>
      </c>
      <c r="E264" s="5" t="s">
        <v>116</v>
      </c>
      <c r="F264" s="5" t="s">
        <v>1524</v>
      </c>
      <c r="G264" s="5" t="s">
        <v>1390</v>
      </c>
      <c r="H264" s="5"/>
      <c r="I264" s="5">
        <v>87.9</v>
      </c>
      <c r="J264" s="5">
        <v>12.032999999999999</v>
      </c>
      <c r="K264" s="5"/>
      <c r="L264" s="5"/>
      <c r="M264" s="5"/>
      <c r="N264" s="151">
        <v>41575.651959161587</v>
      </c>
      <c r="O264" s="4">
        <v>-7</v>
      </c>
      <c r="P264" s="4">
        <v>2</v>
      </c>
    </row>
    <row r="265" spans="1:16" x14ac:dyDescent="0.25">
      <c r="A265" s="144">
        <v>41558.416666666664</v>
      </c>
      <c r="B265" s="5">
        <v>-4</v>
      </c>
      <c r="C265" s="5">
        <v>1302322</v>
      </c>
      <c r="D265" s="5" t="s">
        <v>1311</v>
      </c>
      <c r="E265" s="5" t="s">
        <v>116</v>
      </c>
      <c r="F265" s="5" t="s">
        <v>1524</v>
      </c>
      <c r="G265" s="5" t="s">
        <v>1390</v>
      </c>
      <c r="H265" s="5"/>
      <c r="I265" s="5">
        <v>86.6</v>
      </c>
      <c r="J265" s="5">
        <v>11.733000000000001</v>
      </c>
      <c r="K265" s="5"/>
      <c r="L265" s="5"/>
      <c r="M265" s="5"/>
      <c r="N265" s="151">
        <v>41567.789018039024</v>
      </c>
      <c r="O265" s="4">
        <v>-7</v>
      </c>
      <c r="P265" s="4">
        <v>0</v>
      </c>
    </row>
    <row r="266" spans="1:16" x14ac:dyDescent="0.25">
      <c r="A266" s="144">
        <v>41558.666666666664</v>
      </c>
      <c r="B266" s="5">
        <v>-4</v>
      </c>
      <c r="C266" s="5">
        <v>1302323</v>
      </c>
      <c r="D266" s="5" t="s">
        <v>1311</v>
      </c>
      <c r="E266" s="5" t="s">
        <v>116</v>
      </c>
      <c r="F266" s="5" t="s">
        <v>1524</v>
      </c>
      <c r="G266" s="5" t="s">
        <v>1390</v>
      </c>
      <c r="H266" s="5"/>
      <c r="I266" s="5">
        <v>120</v>
      </c>
      <c r="J266" s="5">
        <v>11.632999999999999</v>
      </c>
      <c r="K266" s="5"/>
      <c r="L266" s="5"/>
      <c r="M266" s="5"/>
      <c r="N266" s="151">
        <v>41578.445971039488</v>
      </c>
      <c r="O266" s="4">
        <v>-7</v>
      </c>
      <c r="P266" s="4">
        <v>1</v>
      </c>
    </row>
    <row r="267" spans="1:16" x14ac:dyDescent="0.25">
      <c r="A267" s="144">
        <v>41558.916666666664</v>
      </c>
      <c r="B267" s="5">
        <v>-4</v>
      </c>
      <c r="C267" s="5">
        <v>1302324</v>
      </c>
      <c r="D267" s="5" t="s">
        <v>1311</v>
      </c>
      <c r="E267" s="5" t="s">
        <v>116</v>
      </c>
      <c r="F267" s="5" t="s">
        <v>1524</v>
      </c>
      <c r="G267" s="5" t="s">
        <v>1390</v>
      </c>
      <c r="H267" s="5"/>
      <c r="I267" s="5">
        <v>151.1</v>
      </c>
      <c r="J267" s="5">
        <v>10.532999999999999</v>
      </c>
      <c r="K267" s="5"/>
      <c r="L267" s="5"/>
      <c r="M267" s="5"/>
      <c r="N267" s="151">
        <v>41568.201919746491</v>
      </c>
      <c r="O267" s="4">
        <v>-7</v>
      </c>
      <c r="P267" s="4">
        <v>2</v>
      </c>
    </row>
    <row r="268" spans="1:16" x14ac:dyDescent="0.25">
      <c r="A268" s="144">
        <v>41559</v>
      </c>
      <c r="B268" s="5">
        <v>-4</v>
      </c>
      <c r="C268" s="5">
        <v>1302319</v>
      </c>
      <c r="D268" s="5" t="s">
        <v>1311</v>
      </c>
      <c r="E268" s="5" t="s">
        <v>116</v>
      </c>
      <c r="F268" s="5" t="s">
        <v>1524</v>
      </c>
      <c r="G268" s="5" t="s">
        <v>1390</v>
      </c>
      <c r="H268" s="5"/>
      <c r="I268" s="5">
        <v>197.5</v>
      </c>
      <c r="J268" s="5">
        <v>9.23</v>
      </c>
      <c r="K268" s="5"/>
      <c r="L268" s="5"/>
      <c r="M268" s="5"/>
      <c r="N268" s="151">
        <v>41574.288174439032</v>
      </c>
      <c r="O268" s="4">
        <v>-7</v>
      </c>
      <c r="P268" s="4">
        <v>1</v>
      </c>
    </row>
    <row r="269" spans="1:16" x14ac:dyDescent="0.25">
      <c r="A269" s="144">
        <v>41559.583333333336</v>
      </c>
      <c r="B269" s="5">
        <v>-4</v>
      </c>
      <c r="C269" s="5">
        <v>1302325</v>
      </c>
      <c r="D269" s="5" t="s">
        <v>1311</v>
      </c>
      <c r="E269" s="5" t="s">
        <v>116</v>
      </c>
      <c r="F269" s="5" t="s">
        <v>1524</v>
      </c>
      <c r="G269" s="5" t="s">
        <v>1390</v>
      </c>
      <c r="H269" s="5"/>
      <c r="I269" s="5">
        <v>202</v>
      </c>
      <c r="J269" s="5">
        <v>5.3170000000000002</v>
      </c>
      <c r="K269" s="5"/>
      <c r="L269" s="5"/>
      <c r="M269" s="5"/>
      <c r="N269" s="151">
        <v>41576.040073403427</v>
      </c>
      <c r="O269" s="4">
        <v>-7</v>
      </c>
      <c r="P269" s="4">
        <v>3</v>
      </c>
    </row>
    <row r="270" spans="1:16" x14ac:dyDescent="0.25">
      <c r="A270" s="144">
        <v>41560.583333333336</v>
      </c>
      <c r="B270" s="5">
        <v>-4</v>
      </c>
      <c r="C270" s="5">
        <v>1302326</v>
      </c>
      <c r="D270" s="5" t="s">
        <v>1311</v>
      </c>
      <c r="E270" s="5" t="s">
        <v>116</v>
      </c>
      <c r="F270" s="5" t="s">
        <v>1524</v>
      </c>
      <c r="G270" s="5" t="s">
        <v>1390</v>
      </c>
      <c r="H270" s="5"/>
      <c r="I270" s="5">
        <v>227</v>
      </c>
      <c r="J270" s="5">
        <v>2.5529999999999999</v>
      </c>
      <c r="K270" s="5"/>
      <c r="L270" s="5"/>
      <c r="M270" s="5"/>
      <c r="N270" s="151">
        <v>41578.421430935807</v>
      </c>
      <c r="O270" s="4">
        <v>-7</v>
      </c>
      <c r="P270" s="4">
        <v>3</v>
      </c>
    </row>
    <row r="271" spans="1:16" x14ac:dyDescent="0.25">
      <c r="A271" s="144">
        <v>41563.510416666664</v>
      </c>
      <c r="B271" s="5">
        <v>-4</v>
      </c>
      <c r="C271" s="5">
        <v>1302331</v>
      </c>
      <c r="D271" s="5" t="s">
        <v>1309</v>
      </c>
      <c r="E271" s="5" t="s">
        <v>110</v>
      </c>
      <c r="F271" s="5" t="s">
        <v>1523</v>
      </c>
      <c r="G271" s="5" t="s">
        <v>1386</v>
      </c>
      <c r="H271" s="5">
        <v>6.9340000000000002</v>
      </c>
      <c r="I271" s="5">
        <v>283</v>
      </c>
      <c r="J271" s="5">
        <v>8.67</v>
      </c>
      <c r="K271" s="5"/>
      <c r="L271" s="5">
        <v>1.2412000000000001</v>
      </c>
      <c r="M271" s="5">
        <v>18.504999999999999</v>
      </c>
      <c r="N271" s="151">
        <v>41569.873474438558</v>
      </c>
      <c r="O271" s="4">
        <v>-7</v>
      </c>
      <c r="P271" s="4">
        <v>0</v>
      </c>
    </row>
    <row r="272" spans="1:16" x14ac:dyDescent="0.25">
      <c r="A272" s="144">
        <v>41563.583333333336</v>
      </c>
      <c r="B272" s="5">
        <v>-4</v>
      </c>
      <c r="C272" s="5">
        <v>1302332</v>
      </c>
      <c r="D272" s="5" t="s">
        <v>1310</v>
      </c>
      <c r="E272" s="5" t="s">
        <v>110</v>
      </c>
      <c r="F272" s="5" t="s">
        <v>1523</v>
      </c>
      <c r="G272" s="5" t="s">
        <v>1386</v>
      </c>
      <c r="H272" s="5">
        <v>7.1870000000000003</v>
      </c>
      <c r="I272" s="5">
        <v>382</v>
      </c>
      <c r="J272" s="5">
        <v>2.1469999999999998</v>
      </c>
      <c r="K272" s="5"/>
      <c r="L272" s="5">
        <v>10.252700000000001</v>
      </c>
      <c r="M272" s="5">
        <v>30.966999999999999</v>
      </c>
      <c r="N272" s="151">
        <v>41574.442753874646</v>
      </c>
      <c r="O272" s="4">
        <v>-7</v>
      </c>
      <c r="P272" s="4">
        <v>4</v>
      </c>
    </row>
    <row r="273" spans="1:16" x14ac:dyDescent="0.25">
      <c r="A273" s="144">
        <v>41584.479166666664</v>
      </c>
      <c r="B273" s="5">
        <v>-4</v>
      </c>
      <c r="C273" s="5">
        <v>1302520</v>
      </c>
      <c r="D273" s="5" t="s">
        <v>1308</v>
      </c>
      <c r="E273" s="5" t="s">
        <v>110</v>
      </c>
      <c r="F273" s="5" t="s">
        <v>1523</v>
      </c>
      <c r="G273" s="5" t="s">
        <v>1386</v>
      </c>
      <c r="H273" s="5">
        <v>7.6580000000000004</v>
      </c>
      <c r="I273" s="5">
        <v>228</v>
      </c>
      <c r="J273" s="5">
        <v>1.603</v>
      </c>
      <c r="K273" s="5"/>
      <c r="L273" s="5">
        <v>3.4569999999999999</v>
      </c>
      <c r="M273" s="5">
        <v>20.305</v>
      </c>
      <c r="N273" s="151">
        <v>41596.413153173882</v>
      </c>
      <c r="O273" s="4">
        <v>-7</v>
      </c>
      <c r="P273" s="4">
        <v>2</v>
      </c>
    </row>
    <row r="274" spans="1:16" x14ac:dyDescent="0.25">
      <c r="A274" s="144">
        <v>41584.559027777781</v>
      </c>
      <c r="B274" s="5">
        <v>-4</v>
      </c>
      <c r="C274" s="5">
        <v>1302519</v>
      </c>
      <c r="D274" s="5" t="s">
        <v>1313</v>
      </c>
      <c r="E274" s="5" t="s">
        <v>110</v>
      </c>
      <c r="F274" s="5" t="s">
        <v>1523</v>
      </c>
      <c r="G274" s="5" t="s">
        <v>1386</v>
      </c>
      <c r="H274" s="5">
        <v>7.8250000000000002</v>
      </c>
      <c r="I274" s="5">
        <v>229</v>
      </c>
      <c r="J274" s="5">
        <v>1.67</v>
      </c>
      <c r="K274" s="5"/>
      <c r="L274" s="5">
        <v>3.7267999999999999</v>
      </c>
      <c r="M274" s="5">
        <v>23.713000000000001</v>
      </c>
      <c r="N274" s="151">
        <v>41601.105559115327</v>
      </c>
      <c r="O274" s="4">
        <v>-7</v>
      </c>
      <c r="P274" s="4">
        <v>3</v>
      </c>
    </row>
    <row r="275" spans="1:16" x14ac:dyDescent="0.25">
      <c r="A275" s="144">
        <v>41584.589583333334</v>
      </c>
      <c r="B275" s="5">
        <v>-4</v>
      </c>
      <c r="C275" s="5">
        <v>1302518</v>
      </c>
      <c r="D275" s="5" t="s">
        <v>1314</v>
      </c>
      <c r="E275" s="5" t="s">
        <v>110</v>
      </c>
      <c r="F275" s="5" t="s">
        <v>1523</v>
      </c>
      <c r="G275" s="5" t="s">
        <v>1386</v>
      </c>
      <c r="H275" s="5">
        <v>7.9980000000000002</v>
      </c>
      <c r="I275" s="5">
        <v>240</v>
      </c>
      <c r="J275" s="5">
        <v>1.627</v>
      </c>
      <c r="K275" s="5"/>
      <c r="L275" s="5">
        <v>3.6615000000000002</v>
      </c>
      <c r="M275" s="5">
        <v>21.629000000000001</v>
      </c>
      <c r="N275" s="151">
        <v>41595.017466526719</v>
      </c>
      <c r="O275" s="4">
        <v>-7</v>
      </c>
      <c r="P275" s="4">
        <v>1</v>
      </c>
    </row>
    <row r="276" spans="1:16" x14ac:dyDescent="0.25">
      <c r="A276" s="144">
        <v>41620.424305555556</v>
      </c>
      <c r="B276" s="5">
        <v>-5</v>
      </c>
      <c r="C276" s="5">
        <v>1302790</v>
      </c>
      <c r="D276" s="5" t="s">
        <v>1308</v>
      </c>
      <c r="E276" s="5" t="s">
        <v>110</v>
      </c>
      <c r="F276" s="5" t="s">
        <v>1523</v>
      </c>
      <c r="G276" s="5" t="s">
        <v>1386</v>
      </c>
      <c r="H276" s="5">
        <v>7.5960000000000001</v>
      </c>
      <c r="I276" s="5">
        <v>215</v>
      </c>
      <c r="J276" s="5">
        <v>1.4570000000000001</v>
      </c>
      <c r="K276" s="5"/>
      <c r="L276" s="5">
        <v>3.5085000000000002</v>
      </c>
      <c r="M276" s="5">
        <v>21.396000000000001</v>
      </c>
      <c r="N276" s="151">
        <v>41629.926628156776</v>
      </c>
      <c r="O276" s="4">
        <v>-7</v>
      </c>
      <c r="P276" s="4">
        <v>0</v>
      </c>
    </row>
    <row r="277" spans="1:16" x14ac:dyDescent="0.25">
      <c r="A277" s="144">
        <v>41620.569444444445</v>
      </c>
      <c r="B277" s="5">
        <v>-5</v>
      </c>
      <c r="C277" s="5">
        <v>1302789</v>
      </c>
      <c r="D277" s="5" t="s">
        <v>1313</v>
      </c>
      <c r="E277" s="5" t="s">
        <v>110</v>
      </c>
      <c r="F277" s="5" t="s">
        <v>1523</v>
      </c>
      <c r="G277" s="5" t="s">
        <v>1386</v>
      </c>
      <c r="H277" s="5">
        <v>7.6</v>
      </c>
      <c r="I277" s="5">
        <v>215</v>
      </c>
      <c r="J277" s="5">
        <v>1.4970000000000001</v>
      </c>
      <c r="K277" s="5"/>
      <c r="L277" s="5">
        <v>3.8081</v>
      </c>
      <c r="M277" s="5">
        <v>12.435</v>
      </c>
      <c r="N277" s="151">
        <v>41634.848831201969</v>
      </c>
      <c r="O277" s="4">
        <v>-7</v>
      </c>
      <c r="P277" s="4">
        <v>2</v>
      </c>
    </row>
    <row r="278" spans="1:16" x14ac:dyDescent="0.25">
      <c r="A278" s="144">
        <v>41620.590277777781</v>
      </c>
      <c r="B278" s="5">
        <v>-5</v>
      </c>
      <c r="C278" s="5">
        <v>1302788</v>
      </c>
      <c r="D278" s="5" t="s">
        <v>1314</v>
      </c>
      <c r="E278" s="5" t="s">
        <v>110</v>
      </c>
      <c r="F278" s="5" t="s">
        <v>1523</v>
      </c>
      <c r="G278" s="5" t="s">
        <v>1386</v>
      </c>
      <c r="H278" s="5">
        <v>7.6109999999999998</v>
      </c>
      <c r="I278" s="5">
        <v>231</v>
      </c>
      <c r="J278" s="5">
        <v>1.5629999999999999</v>
      </c>
      <c r="K278" s="5"/>
      <c r="L278" s="5">
        <v>3.7841</v>
      </c>
      <c r="M278" s="5">
        <v>14.281000000000001</v>
      </c>
      <c r="N278" s="151">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K7" sqref="K7"/>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78" customFormat="1" ht="30" x14ac:dyDescent="0.25">
      <c r="A1" s="201" t="s">
        <v>1451</v>
      </c>
      <c r="B1" s="201" t="s">
        <v>1482</v>
      </c>
      <c r="C1" s="201" t="s">
        <v>1439</v>
      </c>
      <c r="D1" s="201" t="s">
        <v>1382</v>
      </c>
      <c r="E1" s="201" t="s">
        <v>1481</v>
      </c>
      <c r="F1" s="201" t="s">
        <v>1483</v>
      </c>
      <c r="G1" s="201" t="s">
        <v>1455</v>
      </c>
      <c r="H1" s="201" t="s">
        <v>1486</v>
      </c>
      <c r="I1" s="201" t="s">
        <v>1487</v>
      </c>
      <c r="J1" s="201" t="s">
        <v>1480</v>
      </c>
      <c r="K1" s="201" t="s">
        <v>1501</v>
      </c>
      <c r="L1" s="201" t="s">
        <v>1488</v>
      </c>
    </row>
    <row r="2" spans="1:15" x14ac:dyDescent="0.25">
      <c r="A2" s="6" t="s">
        <v>1461</v>
      </c>
      <c r="B2" s="6" t="s">
        <v>1433</v>
      </c>
      <c r="C2" s="6" t="s">
        <v>1440</v>
      </c>
      <c r="D2" s="6" t="s">
        <v>1438</v>
      </c>
      <c r="E2" s="6" t="s">
        <v>1431</v>
      </c>
      <c r="F2" s="6">
        <f>MATCH(SpecimenColumnFinder[[#This Row],[DataType]],DataColumns[#Headers],0)</f>
        <v>8</v>
      </c>
      <c r="G2" s="6">
        <f>MATCH(SpecimenColumnFinder[[#This Row],[DataType]],DataColumns[ColumnType],0)</f>
        <v>7</v>
      </c>
      <c r="H2" s="6">
        <f>IF(SpecimenColumnFinder[[#This Row],[REQUIRED]]="Optional",0,
IF(SpecimenColumnFinder[[#This Row],[VBV or Column]]="Value-By-Value",NumSpecimens,
1))</f>
        <v>0</v>
      </c>
      <c r="I2"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202" t="str">
        <f>IF(SpecimenColumnFinder[[#This Row],[Num Given]]&lt;SpecimenColumnFinder[[#This Row],[Num Required]],
"MISSING",
"OK")</f>
        <v>OK</v>
      </c>
      <c r="K2"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202" t="str">
        <f>INDIRECT(SpecimenColumnFinder[[#This Row],[First Value Address]],FALSE)</f>
        <v>Sara Geleskie Damiano</v>
      </c>
    </row>
    <row r="3" spans="1:15" x14ac:dyDescent="0.25">
      <c r="A3" s="6" t="s">
        <v>1521</v>
      </c>
      <c r="B3" s="6" t="s">
        <v>1180</v>
      </c>
      <c r="D3" s="6" t="s">
        <v>1382</v>
      </c>
      <c r="E3" s="6" t="s">
        <v>1431</v>
      </c>
      <c r="F3" s="202">
        <f>MATCH(SpecimenColumnFinder[[#This Row],[DataType]],DataColumns[#Headers],0)</f>
        <v>9</v>
      </c>
      <c r="G3" s="202">
        <f>MATCH(SpecimenColumnFinder[[#This Row],[DataType]],DataColumns[ColumnType],0)</f>
        <v>6</v>
      </c>
      <c r="H3" s="202">
        <f>IF(SpecimenColumnFinder[[#This Row],[REQUIRED]]="Optional",0,
IF(SpecimenColumnFinder[[#This Row],[VBV or Column]]="Value-By-Value",NumSpecimens,
1))</f>
        <v>1</v>
      </c>
      <c r="I3" s="202">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202" t="str">
        <f>IF(SpecimenColumnFinder[[#This Row],[Num Given]]&lt;SpecimenColumnFinder[[#This Row],[Num Required]],
"MISSING",
"OK")</f>
        <v>OK</v>
      </c>
      <c r="K3"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02" t="str">
        <f>INDIRECT(SpecimenColumnFinder[[#This Row],[First Value Address]],FALSE)</f>
        <v>GRAB</v>
      </c>
    </row>
    <row r="4" spans="1:15" x14ac:dyDescent="0.25">
      <c r="A4" s="6" t="s">
        <v>1426</v>
      </c>
      <c r="B4" s="6" t="s">
        <v>1484</v>
      </c>
      <c r="D4" s="6" t="s">
        <v>1382</v>
      </c>
      <c r="E4" s="6" t="s">
        <v>1432</v>
      </c>
      <c r="F4" s="6" t="e">
        <f>MATCH(SpecimenColumnFinder[[#This Row],[DataType]],DataColumns[#Headers],0)</f>
        <v>#N/A</v>
      </c>
      <c r="G4" s="6">
        <f>MATCH(SpecimenColumnFinder[[#This Row],[DataType]],DataColumns[ColumnType],0)</f>
        <v>1</v>
      </c>
      <c r="H4" s="6">
        <f>IF(SpecimenColumnFinder[[#This Row],[REQUIRED]]="Optional",0,
IF(SpecimenColumnFinder[[#This Row],[VBV or Column]]="Value-By-Value",NumSpecimens,
1))</f>
        <v>277</v>
      </c>
      <c r="I4"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202" t="str">
        <f>IF(SpecimenColumnFinder[[#This Row],[Num Given]]&lt;SpecimenColumnFinder[[#This Row],[Num Required]],
"MISSING",
"OK")</f>
        <v>OK</v>
      </c>
      <c r="K4"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202">
        <f>INDIRECT(SpecimenColumnFinder[[#This Row],[First Value Address]],FALSE)</f>
        <v>40548.65</v>
      </c>
    </row>
    <row r="5" spans="1:15" x14ac:dyDescent="0.25">
      <c r="A5" s="6" t="s">
        <v>1427</v>
      </c>
      <c r="B5" s="6" t="s">
        <v>1484</v>
      </c>
      <c r="D5" s="6" t="s">
        <v>1382</v>
      </c>
      <c r="E5" s="6" t="s">
        <v>1431</v>
      </c>
      <c r="F5" s="6">
        <f>MATCH(SpecimenColumnFinder[[#This Row],[DataType]],DataColumns[#Headers],0)</f>
        <v>7</v>
      </c>
      <c r="G5" s="6">
        <f>MATCH(SpecimenColumnFinder[[#This Row],[DataType]],DataColumns[ColumnType],0)</f>
        <v>2</v>
      </c>
      <c r="H5" s="6">
        <f>IF(SpecimenColumnFinder[[#This Row],[REQUIRED]]="Optional",0,
IF(SpecimenColumnFinder[[#This Row],[VBV or Column]]="Value-By-Value",NumSpecimens,
1))</f>
        <v>1</v>
      </c>
      <c r="I5"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202" t="str">
        <f>IF(SpecimenColumnFinder[[#This Row],[Num Given]]&lt;SpecimenColumnFinder[[#This Row],[Num Required]],
"MISSING",
"OK")</f>
        <v>OK</v>
      </c>
      <c r="K5"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202">
        <f>INDIRECT(SpecimenColumnFinder[[#This Row],[First Value Address]],FALSE)</f>
        <v>-5</v>
      </c>
    </row>
    <row r="6" spans="1:15" x14ac:dyDescent="0.25">
      <c r="A6" s="6" t="s">
        <v>1476</v>
      </c>
      <c r="B6" s="6" t="s">
        <v>1478</v>
      </c>
      <c r="C6" s="6" t="s">
        <v>1442</v>
      </c>
      <c r="D6" s="6" t="s">
        <v>1438</v>
      </c>
      <c r="E6" s="6" t="s">
        <v>1431</v>
      </c>
      <c r="F6" s="6">
        <f>MATCH(SpecimenColumnFinder[[#This Row],[DataType]],DataColumns[#Headers],0)</f>
        <v>5</v>
      </c>
      <c r="G6" s="6">
        <f>MATCH(SpecimenColumnFinder[[#This Row],[DataType]],DataColumns[ColumnType],0)</f>
        <v>4</v>
      </c>
      <c r="H6" s="6">
        <f>IF(SpecimenColumnFinder[[#This Row],[REQUIRED]]="Optional",0,
IF(SpecimenColumnFinder[[#This Row],[VBV or Column]]="Value-By-Value",NumSpecimens,
1))</f>
        <v>0</v>
      </c>
      <c r="I6"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202" t="str">
        <f>IF(SpecimenColumnFinder[[#This Row],[Num Given]]&lt;SpecimenColumnFinder[[#This Row],[Num Required]],
"MISSING",
"OK")</f>
        <v>OK</v>
      </c>
      <c r="K6"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202" t="str">
        <f>INDIRECT(SpecimenColumnFinder[[#This Row],[First Value Address]],FALSE)</f>
        <v>STA2</v>
      </c>
    </row>
    <row r="7" spans="1:15" x14ac:dyDescent="0.25">
      <c r="A7" s="6" t="s">
        <v>1477</v>
      </c>
      <c r="B7" s="6" t="s">
        <v>1478</v>
      </c>
      <c r="C7" s="6" t="s">
        <v>1479</v>
      </c>
      <c r="D7" s="6" t="s">
        <v>1438</v>
      </c>
      <c r="E7" s="6" t="s">
        <v>1431</v>
      </c>
      <c r="F7" s="6">
        <f>MATCH(SpecimenColumnFinder[[#This Row],[DataType]],DataColumns[#Headers],0)</f>
        <v>13</v>
      </c>
      <c r="G7" s="202" t="e">
        <f>MATCH(SpecimenColumnFinder[[#This Row],[DataType]],DataColumns[ColumnType],0)</f>
        <v>#N/A</v>
      </c>
      <c r="H7" s="202">
        <f>IF(SpecimenColumnFinder[[#This Row],[REQUIRED]]="Optional",0,
IF(SpecimenColumnFinder[[#This Row],[VBV or Column]]="Value-By-Value",NumSpecimens,
1))</f>
        <v>0</v>
      </c>
      <c r="I7" s="202">
        <f>IF(ISERROR(SpecimenColumnFinder[[#This Row],[Data Values Column Number]]),
IF(ISERROR(INDEX(DataColumns[],SpecimenColumnNumber,SpecimenColumnFinder[[#This Row],[Data Columns Input Column]])),
0,
1),
COUNTA(INDIRECT(CONCATENATE("'Data Values'!C",SpecimenColumnFinder[[#This Row],[Data Values Column Number]]),FALSE))-1)</f>
        <v>1</v>
      </c>
      <c r="J7" s="202" t="str">
        <f>IF(SpecimenColumnFinder[[#This Row],[Num Given]]&lt;SpecimenColumnFinder[[#This Row],[Num Required]],
"MISSING",
"OK")</f>
        <v>OK</v>
      </c>
      <c r="K7"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202" t="e">
        <f>INDIRECT(SpecimenColumnFinder[[#This Row],[First Value Address]],FALSE)</f>
        <v>#REF!</v>
      </c>
      <c r="O7" s="203"/>
    </row>
    <row r="8" spans="1:15" x14ac:dyDescent="0.25">
      <c r="A8" s="6" t="s">
        <v>198</v>
      </c>
      <c r="B8" s="6" t="s">
        <v>1478</v>
      </c>
      <c r="C8" s="6" t="s">
        <v>198</v>
      </c>
      <c r="D8" s="6" t="s">
        <v>1438</v>
      </c>
      <c r="E8" s="6" t="s">
        <v>1431</v>
      </c>
      <c r="F8" s="202">
        <f>MATCH(SpecimenColumnFinder[[#This Row],[DataType]],DataColumns[#Headers],0)</f>
        <v>6</v>
      </c>
      <c r="G8" s="202" t="e">
        <f>MATCH(SpecimenColumnFinder[[#This Row],[DataType]],DataColumns[ColumnType],0)</f>
        <v>#N/A</v>
      </c>
      <c r="H8" s="202">
        <f>IF(SpecimenColumnFinder[[#This Row],[REQUIRED]]="Optional",0,
IF(SpecimenColumnFinder[[#This Row],[VBV or Column]]="Value-By-Value",NumSpecimens,
1))</f>
        <v>0</v>
      </c>
      <c r="I8" s="202">
        <f>IF(ISERROR(SpecimenColumnFinder[[#This Row],[Data Values Column Number]]),
IF(ISERROR(INDEX(DataColumns[],SpecimenColumnNumber,SpecimenColumnFinder[[#This Row],[Data Columns Input Column]])),
0,
1),
COUNTA(INDIRECT(CONCATENATE("'Data Values'!C",SpecimenColumnFinder[[#This Row],[Data Values Column Number]]),FALSE))-1)</f>
        <v>1</v>
      </c>
      <c r="J8" s="202" t="str">
        <f>IF(SpecimenColumnFinder[[#This Row],[Num Given]]&lt;SpecimenColumnFinder[[#This Row],[Num Required]],
"MISSING",
"OK")</f>
        <v>OK</v>
      </c>
      <c r="K8"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202" t="e">
        <f>INDIRECT(SpecimenColumnFinder[[#This Row],[First Value Address]],FALSE)</f>
        <v>#REF!</v>
      </c>
    </row>
    <row r="9" spans="1:15" x14ac:dyDescent="0.25">
      <c r="A9" s="6" t="s">
        <v>1539</v>
      </c>
      <c r="B9" s="6" t="s">
        <v>1436</v>
      </c>
      <c r="D9" s="6" t="s">
        <v>1382</v>
      </c>
      <c r="E9" s="6" t="s">
        <v>1432</v>
      </c>
      <c r="F9" s="6" t="e">
        <f>MATCH(SpecimenColumnFinder[[#This Row],[DataType]],DataColumns[#Headers],0)</f>
        <v>#N/A</v>
      </c>
      <c r="G9" s="6">
        <f>MATCH(SpecimenColumnFinder[[#This Row],[DataType]],DataColumns[ColumnType],0)</f>
        <v>3</v>
      </c>
      <c r="H9" s="6">
        <f>IF(SpecimenColumnFinder[[#This Row],[REQUIRED]]="Optional",0,
IF(SpecimenColumnFinder[[#This Row],[VBV or Column]]="Value-By-Value",NumSpecimens,
1))</f>
        <v>277</v>
      </c>
      <c r="I9"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202" t="str">
        <f>IF(SpecimenColumnFinder[[#This Row],[Num Given]]&lt;SpecimenColumnFinder[[#This Row],[Num Required]],
"MISSING",
"OK")</f>
        <v>OK</v>
      </c>
      <c r="K9"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202">
        <f>INDIRECT(SpecimenColumnFinder[[#This Row],[First Value Address]],FALSE)</f>
        <v>1100003</v>
      </c>
    </row>
    <row r="10" spans="1:15" x14ac:dyDescent="0.25">
      <c r="A10" s="6" t="s">
        <v>1425</v>
      </c>
      <c r="B10" s="6" t="s">
        <v>1436</v>
      </c>
      <c r="D10" s="6" t="s">
        <v>1438</v>
      </c>
      <c r="E10" s="6" t="s">
        <v>1432</v>
      </c>
      <c r="F10" s="202" t="e">
        <f>MATCH(SpecimenColumnFinder[[#This Row],[DataType]],DataColumns[#Headers],0)</f>
        <v>#N/A</v>
      </c>
      <c r="G10" s="202" t="e">
        <f>MATCH(SpecimenColumnFinder[[#This Row],[DataType]],DataColumns[ColumnType],0)</f>
        <v>#N/A</v>
      </c>
      <c r="H10" s="202">
        <f>IF(SpecimenColumnFinder[[#This Row],[REQUIRED]]="Optional",0,
IF(SpecimenColumnFinder[[#This Row],[VBV or Column]]="Value-By-Value",NumSpecimens,
1))</f>
        <v>0</v>
      </c>
      <c r="I10" s="202">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2" t="str">
        <f>IF(SpecimenColumnFinder[[#This Row],[Num Given]]&lt;SpecimenColumnFinder[[#This Row],[Num Required]],
"MISSING",
"OK")</f>
        <v>OK</v>
      </c>
      <c r="K10"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2" t="e">
        <f>INDIRECT(SpecimenColumnFinder[[#This Row],[First Value Address]],FALSE)</f>
        <v>#REF!</v>
      </c>
    </row>
    <row r="11" spans="1:15" x14ac:dyDescent="0.25">
      <c r="A11" s="6" t="s">
        <v>1424</v>
      </c>
      <c r="B11" s="6" t="s">
        <v>1436</v>
      </c>
      <c r="D11" s="6" t="s">
        <v>1438</v>
      </c>
      <c r="E11" s="6" t="s">
        <v>1432</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2" t="str">
        <f>IF(SpecimenColumnFinder[[#This Row],[Num Given]]&lt;SpecimenColumnFinder[[#This Row],[Num Required]],
"MISSING",
"OK")</f>
        <v>OK</v>
      </c>
      <c r="K11"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2" t="e">
        <f>INDIRECT(SpecimenColumnFinder[[#This Row],[First Value Address]],FALSE)</f>
        <v>#REF!</v>
      </c>
    </row>
    <row r="12" spans="1:15" x14ac:dyDescent="0.25">
      <c r="A12" s="6" t="s">
        <v>1399</v>
      </c>
      <c r="B12" s="6" t="s">
        <v>1436</v>
      </c>
      <c r="C12" s="6" t="s">
        <v>196</v>
      </c>
      <c r="D12" s="6" t="s">
        <v>1438</v>
      </c>
      <c r="E12" s="6" t="s">
        <v>1432</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2" t="str">
        <f>IF(SpecimenColumnFinder[[#This Row],[Num Given]]&lt;SpecimenColumnFinder[[#This Row],[Num Required]],
"MISSING",
"OK")</f>
        <v>OK</v>
      </c>
      <c r="K12"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2" t="e">
        <f>INDIRECT(SpecimenColumnFinder[[#This Row],[First Value Address]],FALSE)</f>
        <v>#REF!</v>
      </c>
    </row>
    <row r="13" spans="1:15" x14ac:dyDescent="0.25">
      <c r="A13" s="6" t="s">
        <v>1398</v>
      </c>
      <c r="B13" s="6" t="s">
        <v>7357</v>
      </c>
      <c r="D13" s="6" t="s">
        <v>1438</v>
      </c>
      <c r="E13" s="6" t="s">
        <v>1432</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2" t="str">
        <f>IF(SpecimenColumnFinder[[#This Row],[Num Given]]&lt;SpecimenColumnFinder[[#This Row],[Num Required]],
"MISSING",
"OK")</f>
        <v>OK</v>
      </c>
      <c r="K13"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2" t="e">
        <f>INDIRECT(SpecimenColumnFinder[[#This Row],[First Value Address]],FALSE)</f>
        <v>#REF!</v>
      </c>
    </row>
    <row r="14" spans="1:15" x14ac:dyDescent="0.25">
      <c r="A14" s="6" t="s">
        <v>1456</v>
      </c>
      <c r="B14" s="6" t="s">
        <v>226</v>
      </c>
      <c r="C14" s="6" t="s">
        <v>188</v>
      </c>
      <c r="D14" s="6" t="s">
        <v>1382</v>
      </c>
      <c r="E14" s="6" t="s">
        <v>1431</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202" t="str">
        <f>IF(SpecimenColumnFinder[[#This Row],[Num Given]]&lt;SpecimenColumnFinder[[#This Row],[Num Required]],
"MISSING",
"OK")</f>
        <v>OK</v>
      </c>
      <c r="K14"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202" t="b">
        <f>INDIRECT(SpecimenColumnFinder[[#This Row],[First Value Address]],FALSE)</f>
        <v>1</v>
      </c>
    </row>
    <row r="15" spans="1:15" x14ac:dyDescent="0.25">
      <c r="A15" s="6" t="s">
        <v>1384</v>
      </c>
      <c r="B15" s="6" t="s">
        <v>226</v>
      </c>
      <c r="C15" s="6" t="s">
        <v>201</v>
      </c>
      <c r="D15" s="6" t="s">
        <v>1382</v>
      </c>
      <c r="E15" s="6" t="s">
        <v>1431</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202" t="str">
        <f>IF(SpecimenColumnFinder[[#This Row],[Num Given]]&lt;SpecimenColumnFinder[[#This Row],[Num Required]],
"MISSING",
"OK")</f>
        <v>OK</v>
      </c>
      <c r="K15"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202" t="str">
        <f>INDIRECT(SpecimenColumnFinder[[#This Row],[First Value Address]],FALSE)</f>
        <v>Liquid aqueous</v>
      </c>
    </row>
    <row r="16" spans="1:15" x14ac:dyDescent="0.25">
      <c r="A16" s="6" t="s">
        <v>196</v>
      </c>
      <c r="B16" s="6" t="s">
        <v>226</v>
      </c>
      <c r="D16" s="6" t="s">
        <v>1382</v>
      </c>
      <c r="E16" s="6" t="s">
        <v>1431</v>
      </c>
      <c r="F16" s="6">
        <f>MATCH(SpecimenColumnFinder[[#This Row],[DataType]],DataColumns[#Headers],0)</f>
        <v>11</v>
      </c>
      <c r="G16" s="6">
        <f>MATCH(SpecimenColumnFinder[[#This Row],[DataType]],DataColumns[ColumnType],0)</f>
        <v>5</v>
      </c>
      <c r="H16" s="6">
        <f>IF(SpecimenColumnFinder[[#This Row],[REQUIRED]]="Optional",0,
IF(SpecimenColumnFinder[[#This Row],[VBV or Column]]="Value-By-Value",NumSpecimens,
1))</f>
        <v>1</v>
      </c>
      <c r="I16"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202" t="str">
        <f>IF(SpecimenColumnFinder[[#This Row],[Num Given]]&lt;SpecimenColumnFinder[[#This Row],[Num Required]],
"MISSING",
"OK")</f>
        <v>OK</v>
      </c>
      <c r="K16"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202"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H20" sqref="H20"/>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04" t="s">
        <v>1451</v>
      </c>
      <c r="B1" s="204" t="s">
        <v>1482</v>
      </c>
      <c r="C1" s="204" t="s">
        <v>1439</v>
      </c>
      <c r="D1" s="204" t="s">
        <v>1382</v>
      </c>
      <c r="E1" s="204" t="s">
        <v>1481</v>
      </c>
      <c r="F1" s="204" t="s">
        <v>1498</v>
      </c>
      <c r="G1" s="204" t="s">
        <v>1497</v>
      </c>
      <c r="H1" s="204" t="s">
        <v>1499</v>
      </c>
      <c r="I1" s="204" t="s">
        <v>1503</v>
      </c>
      <c r="J1" s="204" t="s">
        <v>1483</v>
      </c>
      <c r="K1" s="204" t="s">
        <v>1500</v>
      </c>
      <c r="L1" s="204" t="s">
        <v>1455</v>
      </c>
      <c r="M1" s="204" t="s">
        <v>1486</v>
      </c>
      <c r="N1" s="204" t="s">
        <v>1487</v>
      </c>
      <c r="O1" s="204" t="s">
        <v>1480</v>
      </c>
      <c r="P1" s="204" t="s">
        <v>1501</v>
      </c>
      <c r="Q1" s="204" t="s">
        <v>1488</v>
      </c>
    </row>
    <row r="2" spans="1:17" x14ac:dyDescent="0.25">
      <c r="A2" s="6" t="s">
        <v>1462</v>
      </c>
      <c r="B2" s="6" t="s">
        <v>1433</v>
      </c>
      <c r="C2" s="6" t="s">
        <v>1440</v>
      </c>
      <c r="D2" s="6" t="s">
        <v>1438</v>
      </c>
      <c r="E2" s="6" t="s">
        <v>1431</v>
      </c>
      <c r="F2" s="6">
        <v>1</v>
      </c>
      <c r="G2" s="6" t="str">
        <f>INDEX(DataColumns[ColumnLabel],MATCH(ResultColumnFinder[[#This Row],[DV Num]],DataColumns[DVNum],0))</f>
        <v>pH</v>
      </c>
      <c r="H2" s="6" t="str">
        <f>CONCATENATE(ResultColumnFinder[[#This Row],[DataType]],ResultColumnFinder[[#This Row],[Data Value Label]])</f>
        <v>ResultAnalystpH</v>
      </c>
      <c r="I2" s="6" t="str">
        <f>CONCATENATE(ResultColumnFinder[[#This Row],[DataType]],ResultColumnFinder[[#This Row],[DV Num]])</f>
        <v>ResultAnalyst1</v>
      </c>
      <c r="J2" s="6">
        <f>MATCH(ResultColumnFinder[[#This Row],[DataType]],DataColumns[#Headers],0)</f>
        <v>18</v>
      </c>
      <c r="K2" s="6">
        <f>MATCH(CONCATENATE("ResultValue",ResultColumnFinder[[#This Row],[Data Value Label]]),DataColumns[Concat],0)</f>
        <v>8</v>
      </c>
      <c r="L2" s="6" t="e">
        <f>MATCH(ResultColumnFinder[[#This Row],[Concat]],DataColumns[Concat],0)</f>
        <v>#N/A</v>
      </c>
      <c r="M2" s="6">
        <f>IF(ResultColumnFinder[[#This Row],[REQUIRED]]="Optional",0,
IF(ResultColumnFinder[[#This Row],[VBV or Column]]="Value-By-Value",NumSpecimens,
1))</f>
        <v>0</v>
      </c>
      <c r="N2" s="6">
        <f>IF(ISERROR(ResultColumnFinder[[#This Row],[Data Values Column Number]]),
IF(ISERROR(ResultColumnFinder[[#This Row],[Data Columns Input Column]]),
0,
IF(INDEX(DataColumns[],ResultColumnFinder[[#This Row],[Data Values Input Row]],ResultColumnFinder[[#This Row],[Data Columns Input Column]])="",
0,
1)),
1)</f>
        <v>0</v>
      </c>
      <c r="O2" s="6" t="str">
        <f>IF(ResultColumnFinder[[#This Row],[Num Given]]&lt;ResultColumnFinder[[#This Row],[Num Required]],
"MISSING",
"OK")</f>
        <v>OK</v>
      </c>
      <c r="P2"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6" t="e">
        <f>INDIRECT(ResultColumnFinder[[#This Row],[First Value Address]],FALSE)</f>
        <v>#REF!</v>
      </c>
    </row>
    <row r="3" spans="1:17" x14ac:dyDescent="0.25">
      <c r="A3" s="6" t="s">
        <v>1522</v>
      </c>
      <c r="B3" s="6" t="s">
        <v>1180</v>
      </c>
      <c r="C3" s="6" t="s">
        <v>1444</v>
      </c>
      <c r="D3" s="6" t="s">
        <v>1382</v>
      </c>
      <c r="E3" s="6" t="s">
        <v>1431</v>
      </c>
      <c r="F3" s="6">
        <v>1</v>
      </c>
      <c r="G3" s="6" t="str">
        <f>INDEX(DataColumns[ColumnLabel],MATCH(ResultColumnFinder[[#This Row],[DV Num]],DataColumns[DVNum],0))</f>
        <v>pH</v>
      </c>
      <c r="H3" s="6" t="str">
        <f>CONCATENATE(ResultColumnFinder[[#This Row],[DataType]],ResultColumnFinder[[#This Row],[Data Value Label]])</f>
        <v>AnalysisMethodCodepH</v>
      </c>
      <c r="I3" s="6" t="str">
        <f>CONCATENATE(ResultColumnFinder[[#This Row],[DataType]],ResultColumnFinder[[#This Row],[DV Num]])</f>
        <v>AnalysisMethodCode1</v>
      </c>
      <c r="J3" s="6">
        <f>MATCH(ResultColumnFinder[[#This Row],[DataType]],DataColumns[#Headers],0)</f>
        <v>20</v>
      </c>
      <c r="K3" s="6">
        <f>MATCH(CONCATENATE("ResultValue",ResultColumnFinder[[#This Row],[Data Value Label]]),DataColumns[Concat],0)</f>
        <v>8</v>
      </c>
      <c r="L3" s="6" t="e">
        <f>MATCH(ResultColumnFinder[[#This Row],[Concat]],DataColumns[Concat],0)</f>
        <v>#N/A</v>
      </c>
      <c r="M3" s="6">
        <f>IF(ResultColumnFinder[[#This Row],[REQUIRED]]="Optional",0,
IF(ResultColumnFinder[[#This Row],[VBV or Column]]="Value-By-Value",NumSpecimens,
1))</f>
        <v>1</v>
      </c>
      <c r="N3" s="6">
        <f>IF(ISERROR(ResultColumnFinder[[#This Row],[Data Values Column Number]]),
IF(ISERROR(ResultColumnFinder[[#This Row],[Data Columns Input Column]]),
0,
IF(INDEX(DataColumns[],ResultColumnFinder[[#This Row],[Data Values Input Row]],ResultColumnFinder[[#This Row],[Data Columns Input Column]])="",
0,
1)),
1)</f>
        <v>1</v>
      </c>
      <c r="O3" s="6" t="str">
        <f>IF(ResultColumnFinder[[#This Row],[Num Given]]&lt;ResultColumnFinder[[#This Row],[Num Required]],
"MISSING",
"OK")</f>
        <v>OK</v>
      </c>
      <c r="P3"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6" t="str">
        <f>INDIRECT(ResultColumnFinder[[#This Row],[First Value Address]],FALSE)</f>
        <v>Mettler</v>
      </c>
    </row>
    <row r="4" spans="1:17" x14ac:dyDescent="0.25">
      <c r="A4" s="6" t="s">
        <v>1154</v>
      </c>
      <c r="B4" s="6" t="s">
        <v>1434</v>
      </c>
      <c r="C4" s="6" t="s">
        <v>1154</v>
      </c>
      <c r="D4" s="6" t="s">
        <v>1382</v>
      </c>
      <c r="E4" s="6" t="s">
        <v>1431</v>
      </c>
      <c r="F4" s="6">
        <v>1</v>
      </c>
      <c r="G4" s="6" t="str">
        <f>INDEX(DataColumns[ColumnLabel],MATCH(ResultColumnFinder[[#This Row],[DV Num]],DataColumns[DVNum],0))</f>
        <v>pH</v>
      </c>
      <c r="H4" s="6" t="str">
        <f>CONCATENATE(ResultColumnFinder[[#This Row],[DataType]],ResultColumnFinder[[#This Row],[Data Value Label]])</f>
        <v>AggregationStatisticCVpH</v>
      </c>
      <c r="I4" s="6" t="str">
        <f>CONCATENATE(ResultColumnFinder[[#This Row],[DataType]],ResultColumnFinder[[#This Row],[DV Num]])</f>
        <v>AggregationStatisticCV1</v>
      </c>
      <c r="J4" s="6">
        <f>MATCH(ResultColumnFinder[[#This Row],[DataType]],DataColumns[#Headers],0)</f>
        <v>27</v>
      </c>
      <c r="K4" s="6">
        <f>MATCH(CONCATENATE("ResultValue",ResultColumnFinder[[#This Row],[Data Value Label]]),DataColumns[Concat],0)</f>
        <v>8</v>
      </c>
      <c r="L4" s="6" t="e">
        <f>MATCH(ResultColumnFinder[[#This Row],[Concat]],DataColumns[Concat],0)</f>
        <v>#N/A</v>
      </c>
      <c r="M4" s="6">
        <f>IF(ResultColumnFinder[[#This Row],[REQUIRED]]="Optional",0,
IF(ResultColumnFinder[[#This Row],[VBV or Column]]="Value-By-Value",NumSpecimens,
1))</f>
        <v>1</v>
      </c>
      <c r="N4" s="6">
        <f>IF(ISERROR(ResultColumnFinder[[#This Row],[Data Values Column Number]]),
IF(ISERROR(ResultColumnFinder[[#This Row],[Data Columns Input Column]]),
0,
IF(INDEX(DataColumns[],ResultColumnFinder[[#This Row],[Data Values Input Row]],ResultColumnFinder[[#This Row],[Data Columns Input Column]])="",
0,
1)),
1)</f>
        <v>1</v>
      </c>
      <c r="O4" s="6" t="str">
        <f>IF(ResultColumnFinder[[#This Row],[Num Given]]&lt;ResultColumnFinder[[#This Row],[Num Required]],
"MISSING",
"OK")</f>
        <v>OK</v>
      </c>
      <c r="P4"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s="6" t="str">
        <f>INDIRECT(ResultColumnFinder[[#This Row],[First Value Address]],FALSE)</f>
        <v>Average</v>
      </c>
    </row>
    <row r="5" spans="1:17" x14ac:dyDescent="0.25">
      <c r="A5" s="6" t="s">
        <v>1143</v>
      </c>
      <c r="B5" s="6" t="s">
        <v>1434</v>
      </c>
      <c r="C5" s="6" t="s">
        <v>1143</v>
      </c>
      <c r="D5" s="6" t="s">
        <v>1382</v>
      </c>
      <c r="E5" s="6" t="s">
        <v>1431</v>
      </c>
      <c r="F5" s="6">
        <v>1</v>
      </c>
      <c r="G5" s="6" t="str">
        <f>INDEX(DataColumns[ColumnLabel],MATCH(ResultColumnFinder[[#This Row],[DV Num]],DataColumns[DVNum],0))</f>
        <v>pH</v>
      </c>
      <c r="H5" s="6" t="str">
        <f>CONCATENATE(ResultColumnFinder[[#This Row],[DataType]],ResultColumnFinder[[#This Row],[Data Value Label]])</f>
        <v>CensorCodeCVpH</v>
      </c>
      <c r="I5" s="6" t="str">
        <f>CONCATENATE(ResultColumnFinder[[#This Row],[DataType]],ResultColumnFinder[[#This Row],[DV Num]])</f>
        <v>CensorCodeCV1</v>
      </c>
      <c r="J5" s="6">
        <f>MATCH(ResultColumnFinder[[#This Row],[DataType]],DataColumns[#Headers],0)</f>
        <v>22</v>
      </c>
      <c r="K5" s="6">
        <f>MATCH(CONCATENATE("ResultValue",ResultColumnFinder[[#This Row],[Data Value Label]]),DataColumns[Concat],0)</f>
        <v>8</v>
      </c>
      <c r="L5" s="6" t="e">
        <f>MATCH(ResultColumnFinder[[#This Row],[Concat]],DataColumns[Concat],0)</f>
        <v>#N/A</v>
      </c>
      <c r="M5" s="6">
        <f>IF(ResultColumnFinder[[#This Row],[REQUIRED]]="Optional",0,
IF(ResultColumnFinder[[#This Row],[VBV or Column]]="Value-By-Value",NumSpecimens,
1))</f>
        <v>1</v>
      </c>
      <c r="N5" s="6">
        <f>IF(ISERROR(ResultColumnFinder[[#This Row],[Data Values Column Number]]),
IF(ISERROR(ResultColumnFinder[[#This Row],[Data Columns Input Column]]),
0,
IF(INDEX(DataColumns[],ResultColumnFinder[[#This Row],[Data Values Input Row]],ResultColumnFinder[[#This Row],[Data Columns Input Column]])="",
0,
1)),
1)</f>
        <v>1</v>
      </c>
      <c r="O5" s="6" t="str">
        <f>IF(ResultColumnFinder[[#This Row],[Num Given]]&lt;ResultColumnFinder[[#This Row],[Num Required]],
"MISSING",
"OK")</f>
        <v>OK</v>
      </c>
      <c r="P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6" t="str">
        <f>INDIRECT(ResultColumnFinder[[#This Row],[First Value Address]],FALSE)</f>
        <v>Not censored</v>
      </c>
    </row>
    <row r="6" spans="1:17" x14ac:dyDescent="0.25">
      <c r="A6" s="6" t="s">
        <v>1144</v>
      </c>
      <c r="B6" s="6" t="s">
        <v>1434</v>
      </c>
      <c r="C6" s="6" t="s">
        <v>1144</v>
      </c>
      <c r="D6" s="6" t="s">
        <v>1382</v>
      </c>
      <c r="E6" s="6" t="s">
        <v>1431</v>
      </c>
      <c r="F6" s="6">
        <v>1</v>
      </c>
      <c r="G6" s="6" t="str">
        <f>INDEX(DataColumns[ColumnLabel],MATCH(ResultColumnFinder[[#This Row],[DV Num]],DataColumns[DVNum],0))</f>
        <v>pH</v>
      </c>
      <c r="H6" s="6" t="str">
        <f>CONCATENATE(ResultColumnFinder[[#This Row],[DataType]],ResultColumnFinder[[#This Row],[Data Value Label]])</f>
        <v>QualityCodeCVpH</v>
      </c>
      <c r="I6" s="6" t="str">
        <f>CONCATENATE(ResultColumnFinder[[#This Row],[DataType]],ResultColumnFinder[[#This Row],[DV Num]])</f>
        <v>QualityCodeCV1</v>
      </c>
      <c r="J6" s="6">
        <f>MATCH(ResultColumnFinder[[#This Row],[DataType]],DataColumns[#Headers],0)</f>
        <v>23</v>
      </c>
      <c r="K6" s="6">
        <f>MATCH(CONCATENATE("ResultValue",ResultColumnFinder[[#This Row],[Data Value Label]]),DataColumns[Concat],0)</f>
        <v>8</v>
      </c>
      <c r="L6" s="6" t="e">
        <f>MATCH(ResultColumnFinder[[#This Row],[Concat]],DataColumns[Concat],0)</f>
        <v>#N/A</v>
      </c>
      <c r="M6" s="6">
        <f>IF(ResultColumnFinder[[#This Row],[REQUIRED]]="Optional",0,
IF(ResultColumnFinder[[#This Row],[VBV or Column]]="Value-By-Value",NumSpecimens,
1))</f>
        <v>1</v>
      </c>
      <c r="N6" s="6">
        <f>IF(ISERROR(ResultColumnFinder[[#This Row],[Data Values Column Number]]),
IF(ISERROR(ResultColumnFinder[[#This Row],[Data Columns Input Column]]),
0,
IF(INDEX(DataColumns[],ResultColumnFinder[[#This Row],[Data Values Input Row]],ResultColumnFinder[[#This Row],[Data Columns Input Column]])="",
0,
1)),
1)</f>
        <v>1</v>
      </c>
      <c r="O6" s="6" t="str">
        <f>IF(ResultColumnFinder[[#This Row],[Num Given]]&lt;ResultColumnFinder[[#This Row],[Num Required]],
"MISSING",
"OK")</f>
        <v>OK</v>
      </c>
      <c r="P6"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6" t="str">
        <f>INDIRECT(ResultColumnFinder[[#This Row],[First Value Address]],FALSE)</f>
        <v>Good</v>
      </c>
    </row>
    <row r="7" spans="1:17" x14ac:dyDescent="0.25">
      <c r="A7" s="6" t="s">
        <v>1362</v>
      </c>
      <c r="B7" s="6" t="s">
        <v>1434</v>
      </c>
      <c r="D7" s="6" t="s">
        <v>1382</v>
      </c>
      <c r="E7" s="6" t="s">
        <v>1431</v>
      </c>
      <c r="F7" s="6">
        <v>1</v>
      </c>
      <c r="G7" s="6" t="str">
        <f>INDEX(DataColumns[ColumnLabel],MATCH(ResultColumnFinder[[#This Row],[DV Num]],DataColumns[DVNum],0))</f>
        <v>pH</v>
      </c>
      <c r="H7" s="6" t="str">
        <f>CONCATENATE(ResultColumnFinder[[#This Row],[DataType]],ResultColumnFinder[[#This Row],[Data Value Label]])</f>
        <v>TimeAggregationIntervalpH</v>
      </c>
      <c r="I7" s="6" t="str">
        <f>CONCATENATE(ResultColumnFinder[[#This Row],[DataType]],ResultColumnFinder[[#This Row],[DV Num]])</f>
        <v>TimeAggregationInterval1</v>
      </c>
      <c r="J7" s="6">
        <f>MATCH(ResultColumnFinder[[#This Row],[DataType]],DataColumns[#Headers],0)</f>
        <v>25</v>
      </c>
      <c r="K7" s="6">
        <f>MATCH(CONCATENATE("ResultValue",ResultColumnFinder[[#This Row],[Data Value Label]]),DataColumns[Concat],0)</f>
        <v>8</v>
      </c>
      <c r="L7" s="6" t="e">
        <f>MATCH(ResultColumnFinder[[#This Row],[Concat]],DataColumns[Concat],0)</f>
        <v>#N/A</v>
      </c>
      <c r="M7" s="6">
        <f>IF(ResultColumnFinder[[#This Row],[REQUIRED]]="Optional",0,
IF(ResultColumnFinder[[#This Row],[VBV or Column]]="Value-By-Value",NumSpecimens,
1))</f>
        <v>1</v>
      </c>
      <c r="N7" s="6">
        <f>IF(ISERROR(ResultColumnFinder[[#This Row],[Data Values Column Number]]),
IF(ISERROR(ResultColumnFinder[[#This Row],[Data Columns Input Column]]),
0,
IF(INDEX(DataColumns[],ResultColumnFinder[[#This Row],[Data Values Input Row]],ResultColumnFinder[[#This Row],[Data Columns Input Column]])="",
0,
1)),
1)</f>
        <v>1</v>
      </c>
      <c r="O7" s="6" t="str">
        <f>IF(ResultColumnFinder[[#This Row],[Num Given]]&lt;ResultColumnFinder[[#This Row],[Num Required]],
"MISSING",
"OK")</f>
        <v>OK</v>
      </c>
      <c r="P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6">
        <f>INDIRECT(ResultColumnFinder[[#This Row],[First Value Address]],FALSE)</f>
        <v>0</v>
      </c>
    </row>
    <row r="8" spans="1:17" x14ac:dyDescent="0.25">
      <c r="A8" s="6" t="s">
        <v>1363</v>
      </c>
      <c r="B8" s="6" t="s">
        <v>1434</v>
      </c>
      <c r="D8" s="6" t="s">
        <v>1382</v>
      </c>
      <c r="E8" s="6" t="s">
        <v>1431</v>
      </c>
      <c r="F8" s="6">
        <v>1</v>
      </c>
      <c r="G8" s="6" t="str">
        <f>INDEX(DataColumns[ColumnLabel],MATCH(ResultColumnFinder[[#This Row],[DV Num]],DataColumns[DVNum],0))</f>
        <v>pH</v>
      </c>
      <c r="H8" s="6" t="str">
        <f>CONCATENATE(ResultColumnFinder[[#This Row],[DataType]],ResultColumnFinder[[#This Row],[Data Value Label]])</f>
        <v>TimeAggregationIntervalUnitCodepH</v>
      </c>
      <c r="I8" s="6" t="str">
        <f>CONCATENATE(ResultColumnFinder[[#This Row],[DataType]],ResultColumnFinder[[#This Row],[DV Num]])</f>
        <v>TimeAggregationIntervalUnitCode1</v>
      </c>
      <c r="J8" s="6">
        <f>MATCH(ResultColumnFinder[[#This Row],[DataType]],DataColumns[#Headers],0)</f>
        <v>26</v>
      </c>
      <c r="K8" s="6">
        <f>MATCH(CONCATENATE("ResultValue",ResultColumnFinder[[#This Row],[Data Value Label]]),DataColumns[Concat],0)</f>
        <v>8</v>
      </c>
      <c r="L8" s="6" t="e">
        <f>MATCH(ResultColumnFinder[[#This Row],[Concat]],DataColumns[Concat],0)</f>
        <v>#N/A</v>
      </c>
      <c r="M8" s="6">
        <f>IF(ResultColumnFinder[[#This Row],[REQUIRED]]="Optional",0,
IF(ResultColumnFinder[[#This Row],[VBV or Column]]="Value-By-Value",NumSpecimens,
1))</f>
        <v>1</v>
      </c>
      <c r="N8" s="6">
        <f>IF(ISERROR(ResultColumnFinder[[#This Row],[Data Values Column Number]]),
IF(ISERROR(ResultColumnFinder[[#This Row],[Data Columns Input Column]]),
0,
IF(INDEX(DataColumns[],ResultColumnFinder[[#This Row],[Data Values Input Row]],ResultColumnFinder[[#This Row],[Data Columns Input Column]])="",
0,
1)),
1)</f>
        <v>1</v>
      </c>
      <c r="O8" s="6" t="str">
        <f>IF(ResultColumnFinder[[#This Row],[Num Given]]&lt;ResultColumnFinder[[#This Row],[Num Required]],
"MISSING",
"OK")</f>
        <v>OK</v>
      </c>
      <c r="P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6" t="str">
        <f>INDIRECT(ResultColumnFinder[[#This Row],[First Value Address]],FALSE)</f>
        <v>sec</v>
      </c>
    </row>
    <row r="9" spans="1:17" x14ac:dyDescent="0.25">
      <c r="A9" s="6" t="s">
        <v>1364</v>
      </c>
      <c r="B9" s="6" t="s">
        <v>1185</v>
      </c>
      <c r="C9" s="6" t="s">
        <v>1441</v>
      </c>
      <c r="D9" s="6" t="s">
        <v>1382</v>
      </c>
      <c r="E9" s="6" t="s">
        <v>1431</v>
      </c>
      <c r="F9" s="6">
        <v>1</v>
      </c>
      <c r="G9" s="6" t="str">
        <f>INDEX(DataColumns[ColumnLabel],MATCH(ResultColumnFinder[[#This Row],[DV Num]],DataColumns[DVNum],0))</f>
        <v>pH</v>
      </c>
      <c r="H9" s="6" t="str">
        <f>CONCATENATE(ResultColumnFinder[[#This Row],[DataType]],ResultColumnFinder[[#This Row],[Data Value Label]])</f>
        <v>ProcessingLevelCodepH</v>
      </c>
      <c r="I9" s="6" t="str">
        <f>CONCATENATE(ResultColumnFinder[[#This Row],[DataType]],ResultColumnFinder[[#This Row],[DV Num]])</f>
        <v>ProcessingLevelCode1</v>
      </c>
      <c r="J9" s="6">
        <f>MATCH(ResultColumnFinder[[#This Row],[DataType]],DataColumns[#Headers],0)</f>
        <v>21</v>
      </c>
      <c r="K9" s="6">
        <f>MATCH(CONCATENATE("ResultValue",ResultColumnFinder[[#This Row],[Data Value Label]]),DataColumns[Concat],0)</f>
        <v>8</v>
      </c>
      <c r="L9" s="6">
        <f>MATCH(ResultColumnFinder[[#This Row],[Concat]],DataColumns[Concat],0)</f>
        <v>16</v>
      </c>
      <c r="M9" s="6">
        <f>IF(ResultColumnFinder[[#This Row],[REQUIRED]]="Optional",0,
IF(ResultColumnFinder[[#This Row],[VBV or Column]]="Value-By-Value",NumSpecimens,
1))</f>
        <v>1</v>
      </c>
      <c r="N9" s="6">
        <f>IF(ISERROR(ResultColumnFinder[[#This Row],[Data Values Column Number]]),
IF(ISERROR(ResultColumnFinder[[#This Row],[Data Columns Input Column]]),
0,
IF(INDEX(DataColumns[],ResultColumnFinder[[#This Row],[Data Values Input Row]],ResultColumnFinder[[#This Row],[Data Columns Input Column]])="",
0,
1)),
1)</f>
        <v>0</v>
      </c>
      <c r="O9" s="6" t="str">
        <f>IF(ResultColumnFinder[[#This Row],[Num Given]]&lt;ResultColumnFinder[[#This Row],[Num Required]],
"MISSING",
"OK")</f>
        <v>OK</v>
      </c>
      <c r="P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6">
        <f>INDIRECT(ResultColumnFinder[[#This Row],[First Value Address]],FALSE)</f>
        <v>4</v>
      </c>
    </row>
    <row r="10" spans="1:17" x14ac:dyDescent="0.25">
      <c r="A10" s="6" t="s">
        <v>1138</v>
      </c>
      <c r="B10" s="6" t="s">
        <v>1185</v>
      </c>
      <c r="C10" s="6" t="s">
        <v>1138</v>
      </c>
      <c r="D10" s="6" t="s">
        <v>1382</v>
      </c>
      <c r="E10" s="6" t="s">
        <v>1431</v>
      </c>
      <c r="F10" s="6">
        <v>1</v>
      </c>
      <c r="G10" s="6" t="str">
        <f>INDEX(DataColumns[ColumnLabel],MATCH(ResultColumnFinder[[#This Row],[DV Num]],DataColumns[DVNum],0))</f>
        <v>pH</v>
      </c>
      <c r="H10" s="6" t="str">
        <f>CONCATENATE(ResultColumnFinder[[#This Row],[DataType]],ResultColumnFinder[[#This Row],[Data Value Label]])</f>
        <v>ResultTypeCVpH</v>
      </c>
      <c r="I10" s="6" t="str">
        <f>CONCATENATE(ResultColumnFinder[[#This Row],[DataType]],ResultColumnFinder[[#This Row],[DV Num]])</f>
        <v>ResultTypeCV1</v>
      </c>
      <c r="J10" s="6">
        <f>MATCH(ResultColumnFinder[[#This Row],[DataType]],DataColumns[#Headers],0)</f>
        <v>14</v>
      </c>
      <c r="K10" s="6">
        <f>MATCH(CONCATENATE("ResultValue",ResultColumnFinder[[#This Row],[Data Value Label]]),DataColumns[Concat],0)</f>
        <v>8</v>
      </c>
      <c r="L10" s="6" t="e">
        <f>MATCH(ResultColumnFinder[[#This Row],[Concat]],DataColumns[Concat],0)</f>
        <v>#N/A</v>
      </c>
      <c r="M10" s="6">
        <f>IF(ResultColumnFinder[[#This Row],[REQUIRED]]="Optional",0,
IF(ResultColumnFinder[[#This Row],[VBV or Column]]="Value-By-Value",NumSpecimens,
1))</f>
        <v>1</v>
      </c>
      <c r="N10" s="6">
        <f>IF(ISERROR(ResultColumnFinder[[#This Row],[Data Values Column Number]]),
IF(ISERROR(ResultColumnFinder[[#This Row],[Data Columns Input Column]]),
0,
IF(INDEX(DataColumns[],ResultColumnFinder[[#This Row],[Data Values Input Row]],ResultColumnFinder[[#This Row],[Data Columns Input Column]])="",
0,
1)),
1)</f>
        <v>1</v>
      </c>
      <c r="O10" s="6" t="str">
        <f>IF(ResultColumnFinder[[#This Row],[Num Given]]&lt;ResultColumnFinder[[#This Row],[Num Required]],
"MISSING",
"OK")</f>
        <v>OK</v>
      </c>
      <c r="P10"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6" t="str">
        <f>INDIRECT(ResultColumnFinder[[#This Row],[First Value Address]],FALSE)</f>
        <v>Measurement</v>
      </c>
    </row>
    <row r="11" spans="1:17" x14ac:dyDescent="0.25">
      <c r="A11" s="6" t="s">
        <v>201</v>
      </c>
      <c r="B11" s="6" t="s">
        <v>1185</v>
      </c>
      <c r="C11" s="6" t="s">
        <v>201</v>
      </c>
      <c r="D11" s="6" t="s">
        <v>1382</v>
      </c>
      <c r="E11" s="6" t="s">
        <v>1431</v>
      </c>
      <c r="F11" s="6">
        <v>1</v>
      </c>
      <c r="G11" s="6" t="str">
        <f>INDEX(DataColumns[ColumnLabel],MATCH(ResultColumnFinder[[#This Row],[DV Num]],DataColumns[DVNum],0))</f>
        <v>pH</v>
      </c>
      <c r="H11" s="6" t="str">
        <f>CONCATENATE(ResultColumnFinder[[#This Row],[DataType]],ResultColumnFinder[[#This Row],[Data Value Label]])</f>
        <v>SampledMediumCVpH</v>
      </c>
      <c r="I11" s="6" t="str">
        <f>CONCATENATE(ResultColumnFinder[[#This Row],[DataType]],ResultColumnFinder[[#This Row],[DV Num]])</f>
        <v>SampledMediumCV1</v>
      </c>
      <c r="J11" s="6">
        <f>MATCH(ResultColumnFinder[[#This Row],[DataType]],DataColumns[#Headers],0)</f>
        <v>17</v>
      </c>
      <c r="K11" s="6">
        <f>MATCH(CONCATENATE("ResultValue",ResultColumnFinder[[#This Row],[Data Value Label]]),DataColumns[Concat],0)</f>
        <v>8</v>
      </c>
      <c r="L11" s="6" t="e">
        <f>MATCH(ResultColumnFinder[[#This Row],[Concat]],DataColumns[Concat],0)</f>
        <v>#N/A</v>
      </c>
      <c r="M11" s="6">
        <f>IF(ResultColumnFinder[[#This Row],[REQUIRED]]="Optional",0,
IF(ResultColumnFinder[[#This Row],[VBV or Column]]="Value-By-Value",NumSpecimens,
1))</f>
        <v>1</v>
      </c>
      <c r="N11" s="6">
        <f>IF(ISERROR(ResultColumnFinder[[#This Row],[Data Values Column Number]]),
IF(ISERROR(ResultColumnFinder[[#This Row],[Data Columns Input Column]]),
0,
IF(INDEX(DataColumns[],ResultColumnFinder[[#This Row],[Data Values Input Row]],ResultColumnFinder[[#This Row],[Data Columns Input Column]])="",
0,
1)),
1)</f>
        <v>1</v>
      </c>
      <c r="O11" s="6" t="str">
        <f>IF(ResultColumnFinder[[#This Row],[Num Given]]&lt;ResultColumnFinder[[#This Row],[Num Required]],
"MISSING",
"OK")</f>
        <v>OK</v>
      </c>
      <c r="P11"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6" t="str">
        <f>INDIRECT(ResultColumnFinder[[#This Row],[First Value Address]],FALSE)</f>
        <v>Liquid aqueous</v>
      </c>
    </row>
    <row r="12" spans="1:17" x14ac:dyDescent="0.25">
      <c r="A12" s="6" t="s">
        <v>1381</v>
      </c>
      <c r="B12" s="6" t="s">
        <v>1185</v>
      </c>
      <c r="C12" s="6" t="s">
        <v>1443</v>
      </c>
      <c r="D12" s="6" t="s">
        <v>1438</v>
      </c>
      <c r="E12" s="6" t="s">
        <v>1431</v>
      </c>
      <c r="F12" s="6">
        <v>1</v>
      </c>
      <c r="G12" s="6" t="str">
        <f>INDEX(DataColumns[ColumnLabel],MATCH(ResultColumnFinder[[#This Row],[DV Num]],DataColumns[DVNum],0))</f>
        <v>pH</v>
      </c>
      <c r="H12" s="6" t="str">
        <f>CONCATENATE(ResultColumnFinder[[#This Row],[DataType]],ResultColumnFinder[[#This Row],[Data Value Label]])</f>
        <v>TaxonomicClassifierNamepH</v>
      </c>
      <c r="I12" s="6" t="str">
        <f>CONCATENATE(ResultColumnFinder[[#This Row],[DataType]],ResultColumnFinder[[#This Row],[DV Num]])</f>
        <v>TaxonomicClassifierName1</v>
      </c>
      <c r="J12" s="6">
        <f>MATCH(ResultColumnFinder[[#This Row],[DataType]],DataColumns[#Headers],0)</f>
        <v>24</v>
      </c>
      <c r="K12" s="6">
        <f>MATCH(CONCATENATE("ResultValue",ResultColumnFinder[[#This Row],[Data Value Label]]),DataColumns[Concat],0)</f>
        <v>8</v>
      </c>
      <c r="L12" s="6" t="e">
        <f>MATCH(ResultColumnFinder[[#This Row],[Concat]],DataColumns[Concat],0)</f>
        <v>#N/A</v>
      </c>
      <c r="M12" s="6">
        <f>IF(ResultColumnFinder[[#This Row],[REQUIRED]]="Optional",0,
IF(ResultColumnFinder[[#This Row],[VBV or Column]]="Value-By-Value",NumSpecimens,
1))</f>
        <v>0</v>
      </c>
      <c r="N12" s="6">
        <f>IF(ISERROR(ResultColumnFinder[[#This Row],[Data Values Column Number]]),
IF(ISERROR(ResultColumnFinder[[#This Row],[Data Columns Input Column]]),
0,
IF(INDEX(DataColumns[],ResultColumnFinder[[#This Row],[Data Values Input Row]],ResultColumnFinder[[#This Row],[Data Columns Input Column]])="",
0,
1)),
1)</f>
        <v>0</v>
      </c>
      <c r="O12" s="6" t="str">
        <f>IF(ResultColumnFinder[[#This Row],[Num Given]]&lt;ResultColumnFinder[[#This Row],[Num Required]],
"MISSING",
"OK")</f>
        <v>OK</v>
      </c>
      <c r="P12"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6" t="e">
        <f>INDIRECT(ResultColumnFinder[[#This Row],[First Value Address]],FALSE)</f>
        <v>#REF!</v>
      </c>
    </row>
    <row r="13" spans="1:17" x14ac:dyDescent="0.25">
      <c r="A13" s="6" t="s">
        <v>1449</v>
      </c>
      <c r="B13" s="6" t="s">
        <v>1185</v>
      </c>
      <c r="D13" s="6" t="s">
        <v>1382</v>
      </c>
      <c r="E13" s="6" t="s">
        <v>1431</v>
      </c>
      <c r="F13" s="6">
        <v>1</v>
      </c>
      <c r="G13" s="6" t="str">
        <f>INDEX(DataColumns[ColumnLabel],MATCH(ResultColumnFinder[[#This Row],[DV Num]],DataColumns[DVNum],0))</f>
        <v>pH</v>
      </c>
      <c r="H13" s="6" t="str">
        <f>CONCATENATE(ResultColumnFinder[[#This Row],[DataType]],ResultColumnFinder[[#This Row],[Data Value Label]])</f>
        <v>UnitNamepH</v>
      </c>
      <c r="I13" s="6" t="str">
        <f>CONCATENATE(ResultColumnFinder[[#This Row],[DataType]],ResultColumnFinder[[#This Row],[DV Num]])</f>
        <v>UnitName1</v>
      </c>
      <c r="J13" s="6">
        <f>MATCH(ResultColumnFinder[[#This Row],[DataType]],DataColumns[#Headers],0)</f>
        <v>16</v>
      </c>
      <c r="K13" s="6">
        <f>MATCH(CONCATENATE("ResultValue",ResultColumnFinder[[#This Row],[Data Value Label]]),DataColumns[Concat],0)</f>
        <v>8</v>
      </c>
      <c r="L13" s="6" t="e">
        <f>MATCH(ResultColumnFinder[[#This Row],[Concat]],DataColumns[Concat],0)</f>
        <v>#N/A</v>
      </c>
      <c r="M13" s="6">
        <f>IF(ResultColumnFinder[[#This Row],[REQUIRED]]="Optional",0,
IF(ResultColumnFinder[[#This Row],[VBV or Column]]="Value-By-Value",NumSpecimens,
1))</f>
        <v>1</v>
      </c>
      <c r="N13" s="6">
        <f>IF(ISERROR(ResultColumnFinder[[#This Row],[Data Values Column Number]]),
IF(ISERROR(ResultColumnFinder[[#This Row],[Data Columns Input Column]]),
0,
IF(INDEX(DataColumns[],ResultColumnFinder[[#This Row],[Data Values Input Row]],ResultColumnFinder[[#This Row],[Data Columns Input Column]])="",
0,
1)),
1)</f>
        <v>1</v>
      </c>
      <c r="O13" s="6" t="str">
        <f>IF(ResultColumnFinder[[#This Row],[Num Given]]&lt;ResultColumnFinder[[#This Row],[Num Required]],
"MISSING",
"OK")</f>
        <v>OK</v>
      </c>
      <c r="P13"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6" t="str">
        <f>INDIRECT(ResultColumnFinder[[#This Row],[First Value Address]],FALSE)</f>
        <v>pH</v>
      </c>
    </row>
    <row r="14" spans="1:17" x14ac:dyDescent="0.25">
      <c r="A14" s="6" t="s">
        <v>1450</v>
      </c>
      <c r="B14" s="6" t="s">
        <v>1185</v>
      </c>
      <c r="C14" s="6" t="s">
        <v>1445</v>
      </c>
      <c r="D14" s="6" t="s">
        <v>1382</v>
      </c>
      <c r="E14" s="6" t="s">
        <v>1431</v>
      </c>
      <c r="F14" s="6">
        <v>1</v>
      </c>
      <c r="G14" s="6" t="str">
        <f>INDEX(DataColumns[ColumnLabel],MATCH(ResultColumnFinder[[#This Row],[DV Num]],DataColumns[DVNum],0))</f>
        <v>pH</v>
      </c>
      <c r="H14" s="6" t="str">
        <f>CONCATENATE(ResultColumnFinder[[#This Row],[DataType]],ResultColumnFinder[[#This Row],[Data Value Label]])</f>
        <v>VariableCodepH</v>
      </c>
      <c r="I14" s="6" t="str">
        <f>CONCATENATE(ResultColumnFinder[[#This Row],[DataType]],ResultColumnFinder[[#This Row],[DV Num]])</f>
        <v>VariableCode1</v>
      </c>
      <c r="J14" s="6">
        <f>MATCH(ResultColumnFinder[[#This Row],[DataType]],DataColumns[#Headers],0)</f>
        <v>15</v>
      </c>
      <c r="K14" s="6">
        <f>MATCH(CONCATENATE("ResultValue",ResultColumnFinder[[#This Row],[Data Value Label]]),DataColumns[Concat],0)</f>
        <v>8</v>
      </c>
      <c r="L14" s="6" t="e">
        <f>MATCH(ResultColumnFinder[[#This Row],[Concat]],DataColumns[Concat],0)</f>
        <v>#N/A</v>
      </c>
      <c r="M14" s="6">
        <f>IF(ResultColumnFinder[[#This Row],[REQUIRED]]="Optional",0,
IF(ResultColumnFinder[[#This Row],[VBV or Column]]="Value-By-Value",NumSpecimens,
1))</f>
        <v>1</v>
      </c>
      <c r="N14" s="6">
        <f>IF(ISERROR(ResultColumnFinder[[#This Row],[Data Values Column Number]]),
IF(ISERROR(ResultColumnFinder[[#This Row],[Data Columns Input Column]]),
0,
IF(INDEX(DataColumns[],ResultColumnFinder[[#This Row],[Data Values Input Row]],ResultColumnFinder[[#This Row],[Data Columns Input Column]])="",
0,
1)),
1)</f>
        <v>1</v>
      </c>
      <c r="O14" s="6" t="str">
        <f>IF(ResultColumnFinder[[#This Row],[Num Given]]&lt;ResultColumnFinder[[#This Row],[Num Required]],
"MISSING",
"OK")</f>
        <v>OK</v>
      </c>
      <c r="P14"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6" t="str">
        <f>INDIRECT(ResultColumnFinder[[#This Row],[First Value Address]],FALSE)</f>
        <v>pH_mettler</v>
      </c>
    </row>
    <row r="15" spans="1:17" x14ac:dyDescent="0.25">
      <c r="A15" s="6" t="s">
        <v>1428</v>
      </c>
      <c r="B15" s="6" t="s">
        <v>1180</v>
      </c>
      <c r="D15" s="6" t="s">
        <v>1438</v>
      </c>
      <c r="E15" s="6" t="s">
        <v>1432</v>
      </c>
      <c r="F15" s="6">
        <v>1</v>
      </c>
      <c r="G15" s="6" t="str">
        <f>INDEX(DataColumns[ColumnLabel],MATCH(ResultColumnFinder[[#This Row],[DV Num]],DataColumns[DVNum],0))</f>
        <v>pH</v>
      </c>
      <c r="H15" s="6" t="str">
        <f>CONCATENATE(ResultColumnFinder[[#This Row],[DataType]],ResultColumnFinder[[#This Row],[Data Value Label]])</f>
        <v>AnalysisDateTimepH</v>
      </c>
      <c r="I15" s="6" t="str">
        <f>CONCATENATE(ResultColumnFinder[[#This Row],[DataType]],ResultColumnFinder[[#This Row],[DV Num]])</f>
        <v>AnalysisDateTime1</v>
      </c>
      <c r="J15" s="6" t="e">
        <f>MATCH(ResultColumnFinder[[#This Row],[DataType]],DataColumns[#Headers],0)</f>
        <v>#N/A</v>
      </c>
      <c r="K15" s="6">
        <f>MATCH(CONCATENATE("ResultValue",ResultColumnFinder[[#This Row],[Data Value Label]]),DataColumns[Concat],0)</f>
        <v>8</v>
      </c>
      <c r="L15" s="6">
        <f>MATCH(ResultColumnFinder[[#This Row],[Concat]],DataColumns[Concat],0)</f>
        <v>14</v>
      </c>
      <c r="M15" s="6">
        <f>IF(ResultColumnFinder[[#This Row],[REQUIRED]]="Optional",0,
IF(ResultColumnFinder[[#This Row],[VBV or Column]]="Value-By-Value",NumSpecimens,
1))</f>
        <v>0</v>
      </c>
      <c r="N15" s="6">
        <f>IF(ISERROR(ResultColumnFinder[[#This Row],[Data Values Column Number]]),
IF(ISERROR(ResultColumnFinder[[#This Row],[Data Columns Input Column]]),
0,
IF(INDEX(DataColumns[],ResultColumnFinder[[#This Row],[Data Values Input Row]],ResultColumnFinder[[#This Row],[Data Columns Input Column]])="",
0,
1)),
1)</f>
        <v>1</v>
      </c>
      <c r="O15" s="6" t="str">
        <f>IF(ResultColumnFinder[[#This Row],[Num Given]]&lt;ResultColumnFinder[[#This Row],[Num Required]],
"MISSING",
"OK")</f>
        <v>OK</v>
      </c>
      <c r="P1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6">
        <f>INDIRECT(ResultColumnFinder[[#This Row],[First Value Address]],FALSE)</f>
        <v>40564.206966489699</v>
      </c>
    </row>
    <row r="16" spans="1:17" x14ac:dyDescent="0.25">
      <c r="A16" s="6" t="s">
        <v>1429</v>
      </c>
      <c r="B16" s="6" t="s">
        <v>1180</v>
      </c>
      <c r="D16" s="6" t="s">
        <v>1438</v>
      </c>
      <c r="E16" s="6" t="s">
        <v>1431</v>
      </c>
      <c r="F16" s="6">
        <v>1</v>
      </c>
      <c r="G16" s="6" t="str">
        <f>INDEX(DataColumns[ColumnLabel],MATCH(ResultColumnFinder[[#This Row],[DV Num]],DataColumns[DVNum],0))</f>
        <v>pH</v>
      </c>
      <c r="H16" s="6" t="str">
        <f>CONCATENATE(ResultColumnFinder[[#This Row],[DataType]],ResultColumnFinder[[#This Row],[Data Value Label]])</f>
        <v>AnalysisDateTimeUTCOffsetpH</v>
      </c>
      <c r="I16" s="6" t="str">
        <f>CONCATENATE(ResultColumnFinder[[#This Row],[DataType]],ResultColumnFinder[[#This Row],[DV Num]])</f>
        <v>AnalysisDateTimeUTCOffset1</v>
      </c>
      <c r="J16" s="6">
        <f>MATCH(ResultColumnFinder[[#This Row],[DataType]],DataColumns[#Headers],0)</f>
        <v>19</v>
      </c>
      <c r="K16" s="6">
        <f>MATCH(CONCATENATE("ResultValue",ResultColumnFinder[[#This Row],[Data Value Label]]),DataColumns[Concat],0)</f>
        <v>8</v>
      </c>
      <c r="L16" s="6">
        <f>MATCH(ResultColumnFinder[[#This Row],[Concat]],DataColumns[Concat],0)</f>
        <v>15</v>
      </c>
      <c r="M16" s="6">
        <f>IF(ResultColumnFinder[[#This Row],[REQUIRED]]="Optional",0,
IF(ResultColumnFinder[[#This Row],[VBV or Column]]="Value-By-Value",NumSpecimens,
1))</f>
        <v>0</v>
      </c>
      <c r="N16" s="6">
        <f>IF(ISERROR(ResultColumnFinder[[#This Row],[Data Values Column Number]]),
IF(ISERROR(ResultColumnFinder[[#This Row],[Data Columns Input Column]]),
0,
IF(INDEX(DataColumns[],ResultColumnFinder[[#This Row],[Data Values Input Row]],ResultColumnFinder[[#This Row],[Data Columns Input Column]])="",
0,
1)),
1)</f>
        <v>1</v>
      </c>
      <c r="O16" s="6" t="str">
        <f>IF(ResultColumnFinder[[#This Row],[Num Given]]&lt;ResultColumnFinder[[#This Row],[Num Required]],
"MISSING",
"OK")</f>
        <v>OK</v>
      </c>
      <c r="P16"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6">
        <f>INDIRECT(ResultColumnFinder[[#This Row],[First Value Address]],FALSE)</f>
        <v>-7</v>
      </c>
    </row>
    <row r="17" spans="1:17" x14ac:dyDescent="0.25">
      <c r="A17" s="6" t="s">
        <v>1430</v>
      </c>
      <c r="B17" s="6" t="s">
        <v>1437</v>
      </c>
      <c r="D17" s="6" t="s">
        <v>1438</v>
      </c>
      <c r="E17" s="6" t="s">
        <v>1432</v>
      </c>
      <c r="F17" s="6">
        <v>1</v>
      </c>
      <c r="G17" s="6" t="str">
        <f>INDEX(DataColumns[ColumnLabel],MATCH(ResultColumnFinder[[#This Row],[DV Num]],DataColumns[DVNum],0))</f>
        <v>pH</v>
      </c>
      <c r="H17" s="6" t="str">
        <f>CONCATENATE(ResultColumnFinder[[#This Row],[DataType]],ResultColumnFinder[[#This Row],[Data Value Label]])</f>
        <v>ValueAnnotationpH</v>
      </c>
      <c r="I17" s="6" t="str">
        <f>CONCATENATE(ResultColumnFinder[[#This Row],[DataType]],ResultColumnFinder[[#This Row],[DV Num]])</f>
        <v>ValueAnnotation1</v>
      </c>
      <c r="J17" s="6" t="e">
        <f>MATCH(ResultColumnFinder[[#This Row],[DataType]],DataColumns[#Headers],0)</f>
        <v>#N/A</v>
      </c>
      <c r="K17" s="6">
        <f>MATCH(CONCATENATE("ResultValue",ResultColumnFinder[[#This Row],[Data Value Label]]),DataColumns[Concat],0)</f>
        <v>8</v>
      </c>
      <c r="L17" s="6" t="e">
        <f>MATCH(ResultColumnFinder[[#This Row],[Concat]],DataColumns[Concat],0)</f>
        <v>#N/A</v>
      </c>
      <c r="M17" s="6">
        <f>IF(ResultColumnFinder[[#This Row],[REQUIRED]]="Optional",0,
IF(ResultColumnFinder[[#This Row],[VBV or Column]]="Value-By-Value",NumSpecimens,
1))</f>
        <v>0</v>
      </c>
      <c r="N17" s="6">
        <f>IF(ISERROR(ResultColumnFinder[[#This Row],[Data Values Column Number]]),
IF(ISERROR(ResultColumnFinder[[#This Row],[Data Columns Input Column]]),
0,
IF(INDEX(DataColumns[],ResultColumnFinder[[#This Row],[Data Values Input Row]],ResultColumnFinder[[#This Row],[Data Columns Input Column]])="",
0,
1)),
1)</f>
        <v>0</v>
      </c>
      <c r="O17" s="6" t="str">
        <f>IF(ResultColumnFinder[[#This Row],[Num Given]]&lt;ResultColumnFinder[[#This Row],[Num Required]],
"MISSING",
"OK")</f>
        <v>OK</v>
      </c>
      <c r="P1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INDIRECT(ResultColumnFinder[[#This Row],[First Value Address]],FALSE)</f>
        <v>#REF!</v>
      </c>
    </row>
    <row r="18" spans="1:17" x14ac:dyDescent="0.25">
      <c r="A18" s="6" t="s">
        <v>1137</v>
      </c>
      <c r="B18" s="6" t="s">
        <v>1185</v>
      </c>
      <c r="D18" s="6" t="s">
        <v>1438</v>
      </c>
      <c r="E18" s="6" t="s">
        <v>1432</v>
      </c>
      <c r="F18" s="6">
        <v>1</v>
      </c>
      <c r="G18" s="6" t="str">
        <f>INDEX(DataColumns[ColumnLabel],MATCH(ResultColumnFinder[[#This Row],[DV Num]],DataColumns[DVNum],0))</f>
        <v>pH</v>
      </c>
      <c r="H18" s="6" t="str">
        <f>CONCATENATE(ResultColumnFinder[[#This Row],[DataType]],ResultColumnFinder[[#This Row],[Data Value Label]])</f>
        <v>ResultUUIDpH</v>
      </c>
      <c r="I18" s="6" t="str">
        <f>CONCATENATE(ResultColumnFinder[[#This Row],[DataType]],ResultColumnFinder[[#This Row],[DV Num]])</f>
        <v>ResultUUID1</v>
      </c>
      <c r="J18" s="6" t="e">
        <f>MATCH(ResultColumnFinder[[#This Row],[DataType]],DataColumns[#Headers],0)</f>
        <v>#N/A</v>
      </c>
      <c r="K18" s="6">
        <f>MATCH(CONCATENATE("ResultValue",ResultColumnFinder[[#This Row],[Data Value Label]]),DataColumns[Concat],0)</f>
        <v>8</v>
      </c>
      <c r="L18" s="6" t="e">
        <f>MATCH(ResultColumnFinder[[#This Row],[Concat]],DataColumns[Concat],0)</f>
        <v>#N/A</v>
      </c>
      <c r="M18" s="6">
        <f>IF(ResultColumnFinder[[#This Row],[REQUIRED]]="Optional",0,
IF(ResultColumnFinder[[#This Row],[VBV or Column]]="Value-By-Value",NumSpecimens,
1))</f>
        <v>0</v>
      </c>
      <c r="N18" s="6">
        <f>IF(ISERROR(ResultColumnFinder[[#This Row],[Data Values Column Number]]),
IF(ISERROR(ResultColumnFinder[[#This Row],[Data Columns Input Column]]),
0,
IF(INDEX(DataColumns[],ResultColumnFinder[[#This Row],[Data Values Input Row]],ResultColumnFinder[[#This Row],[Data Columns Input Column]])="",
0,
1)),
1)</f>
        <v>0</v>
      </c>
      <c r="O18" s="6" t="str">
        <f>IF(ResultColumnFinder[[#This Row],[Num Given]]&lt;ResultColumnFinder[[#This Row],[Num Required]],
"MISSING",
"OK")</f>
        <v>OK</v>
      </c>
      <c r="P1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INDIRECT(ResultColumnFinder[[#This Row],[First Value Address]],FALSE)</f>
        <v>#REF!</v>
      </c>
    </row>
    <row r="19" spans="1:17" x14ac:dyDescent="0.25">
      <c r="A19" s="6" t="s">
        <v>1513</v>
      </c>
      <c r="B19" s="6" t="s">
        <v>1435</v>
      </c>
      <c r="D19" s="6" t="s">
        <v>1382</v>
      </c>
      <c r="E19" s="6" t="s">
        <v>1432</v>
      </c>
      <c r="F19" s="6">
        <v>1</v>
      </c>
      <c r="G19" s="6" t="str">
        <f>INDEX(DataColumns[ColumnLabel],MATCH(ResultColumnFinder[[#This Row],[DV Num]],DataColumns[DVNum],0))</f>
        <v>pH</v>
      </c>
      <c r="H19" s="6" t="str">
        <f>CONCATENATE(ResultColumnFinder[[#This Row],[DataType]],ResultColumnFinder[[#This Row],[Data Value Label]])</f>
        <v>ResultValuepH</v>
      </c>
      <c r="I19" s="6" t="str">
        <f>CONCATENATE(ResultColumnFinder[[#This Row],[DataType]],ResultColumnFinder[[#This Row],[DV Num]])</f>
        <v>ResultValue1</v>
      </c>
      <c r="J19" s="6" t="e">
        <f>MATCH(ResultColumnFinder[[#This Row],[DataType]],DataColumns[#Headers],0)</f>
        <v>#N/A</v>
      </c>
      <c r="K19" s="6">
        <f>MATCH(CONCATENATE("ResultValue",ResultColumnFinder[[#This Row],[Data Value Label]]),DataColumns[Concat],0)</f>
        <v>8</v>
      </c>
      <c r="L19" s="6">
        <f>MATCH(ResultColumnFinder[[#This Row],[Concat]],DataColumns[Concat],0)</f>
        <v>8</v>
      </c>
      <c r="M19" s="6">
        <f>IF(ResultColumnFinder[[#This Row],[REQUIRED]]="Optional",0,
IF(ResultColumnFinder[[#This Row],[VBV or Column]]="Value-By-Value",NumSpecimens,
1))</f>
        <v>277</v>
      </c>
      <c r="N19" s="6">
        <f>IF(ISERROR(ResultColumnFinder[[#This Row],[Data Values Column Number]]),
IF(ISERROR(ResultColumnFinder[[#This Row],[Data Columns Input Column]]),
0,
IF(INDEX(DataColumns[],ResultColumnFinder[[#This Row],[Data Values Input Row]],ResultColumnFinder[[#This Row],[Data Columns Input Column]])="",
0,
1)),
1)</f>
        <v>1</v>
      </c>
      <c r="O19" s="6" t="str">
        <f>IF(ResultColumnFinder[[#This Row],[Num Given]]&lt;ResultColumnFinder[[#This Row],[Num Required]],
"MISSING",
"OK")</f>
        <v>MISSING</v>
      </c>
      <c r="P1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6">
        <f>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AN1" workbookViewId="0">
      <selection activeCell="A8" sqref="A8:XFD1665"/>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1297</v>
      </c>
      <c r="D1" s="26" t="s">
        <v>217</v>
      </c>
      <c r="E1" s="26" t="s">
        <v>1275</v>
      </c>
      <c r="F1" s="26" t="s">
        <v>1255</v>
      </c>
      <c r="G1" s="26" t="s">
        <v>216</v>
      </c>
      <c r="H1" s="26" t="s">
        <v>1266</v>
      </c>
      <c r="I1" s="26" t="s">
        <v>218</v>
      </c>
      <c r="J1" s="26" t="s">
        <v>219</v>
      </c>
      <c r="K1" s="26" t="s">
        <v>1265</v>
      </c>
      <c r="L1" s="26" t="s">
        <v>220</v>
      </c>
      <c r="M1" s="26" t="s">
        <v>221</v>
      </c>
      <c r="N1" s="26" t="s">
        <v>222</v>
      </c>
      <c r="O1" s="26" t="s">
        <v>1399</v>
      </c>
      <c r="P1" s="26" t="s">
        <v>1539</v>
      </c>
      <c r="Q1" s="26" t="s">
        <v>1424</v>
      </c>
      <c r="R1" s="26" t="s">
        <v>1425</v>
      </c>
      <c r="S1" s="26" t="s">
        <v>1398</v>
      </c>
      <c r="T1" s="26" t="s">
        <v>1540</v>
      </c>
      <c r="U1" s="26" t="s">
        <v>1541</v>
      </c>
      <c r="V1" s="26" t="s">
        <v>1456</v>
      </c>
      <c r="W1" s="26" t="s">
        <v>223</v>
      </c>
      <c r="X1" s="26" t="s">
        <v>1267</v>
      </c>
      <c r="Y1" s="26" t="s">
        <v>224</v>
      </c>
      <c r="Z1" s="26" t="s">
        <v>226</v>
      </c>
      <c r="AA1" s="26" t="s">
        <v>243</v>
      </c>
      <c r="AB1" s="26" t="s">
        <v>1489</v>
      </c>
      <c r="AC1" s="26" t="s">
        <v>1490</v>
      </c>
      <c r="AD1" s="26" t="s">
        <v>1491</v>
      </c>
      <c r="AE1" s="26" t="s">
        <v>1492</v>
      </c>
      <c r="AF1" s="26" t="s">
        <v>244</v>
      </c>
      <c r="AG1" s="26" t="s">
        <v>248</v>
      </c>
      <c r="AH1" s="26" t="s">
        <v>1078</v>
      </c>
      <c r="AI1" s="26" t="s">
        <v>238</v>
      </c>
      <c r="AJ1" s="26" t="s">
        <v>1494</v>
      </c>
      <c r="AK1" s="26" t="s">
        <v>1179</v>
      </c>
      <c r="AL1" s="26" t="s">
        <v>1531</v>
      </c>
      <c r="AM1" s="26" t="s">
        <v>1532</v>
      </c>
      <c r="AN1" s="26" t="s">
        <v>1533</v>
      </c>
      <c r="AO1" s="26" t="s">
        <v>1549</v>
      </c>
      <c r="AP1" s="26" t="s">
        <v>1537</v>
      </c>
      <c r="AQ1" s="26" t="s">
        <v>1542</v>
      </c>
      <c r="AR1" s="26" t="s">
        <v>1502</v>
      </c>
      <c r="AS1" s="26" t="s">
        <v>1505</v>
      </c>
      <c r="AT1" s="26" t="s">
        <v>1513</v>
      </c>
      <c r="AU1" s="26" t="s">
        <v>1534</v>
      </c>
      <c r="AV1" s="26" t="s">
        <v>1535</v>
      </c>
      <c r="AW1" s="26" t="s">
        <v>1536</v>
      </c>
      <c r="AX1" s="26" t="s">
        <v>1548</v>
      </c>
      <c r="AY1" s="26" t="s">
        <v>1538</v>
      </c>
      <c r="AZ1" s="26" t="s">
        <v>1543</v>
      </c>
      <c r="BA1" s="26" t="s">
        <v>1544</v>
      </c>
      <c r="BB1" s="26" t="s">
        <v>1545</v>
      </c>
      <c r="BC1" s="26" t="s">
        <v>1546</v>
      </c>
      <c r="BD1" s="26" t="s">
        <v>1547</v>
      </c>
      <c r="BE1" s="26" t="s">
        <v>1137</v>
      </c>
      <c r="BF1" s="26" t="s">
        <v>1504</v>
      </c>
      <c r="BG1" s="26" t="s">
        <v>1506</v>
      </c>
      <c r="BH1" s="26" t="s">
        <v>1507</v>
      </c>
      <c r="BI1" s="26" t="s">
        <v>1508</v>
      </c>
      <c r="BJ1" s="26" t="s">
        <v>1509</v>
      </c>
      <c r="BK1" s="26" t="s">
        <v>1510</v>
      </c>
      <c r="BL1" s="26" t="s">
        <v>1511</v>
      </c>
      <c r="BM1" s="26" t="s">
        <v>1512</v>
      </c>
      <c r="BN1" s="26" t="s">
        <v>1516</v>
      </c>
      <c r="BO1" s="26" t="s">
        <v>1517</v>
      </c>
      <c r="BP1" s="26" t="s">
        <v>1518</v>
      </c>
      <c r="BQ1" s="26" t="s">
        <v>1519</v>
      </c>
      <c r="BR1" s="26" t="s">
        <v>1520</v>
      </c>
      <c r="BS1" s="26" t="s">
        <v>1185</v>
      </c>
      <c r="BT1" s="26" t="s">
        <v>1559</v>
      </c>
      <c r="BU1" s="26" t="s">
        <v>1187</v>
      </c>
      <c r="BV1" s="26" t="s">
        <v>1188</v>
      </c>
      <c r="BW1" s="26" t="s">
        <v>1514</v>
      </c>
      <c r="BX1" s="26" t="s">
        <v>1515</v>
      </c>
      <c r="BY1" s="26" t="s">
        <v>1551</v>
      </c>
      <c r="BZ1" s="26" t="s">
        <v>1552</v>
      </c>
      <c r="CA1" s="26" t="s">
        <v>1553</v>
      </c>
      <c r="CB1" s="26" t="s">
        <v>1550</v>
      </c>
      <c r="CC1" s="26" t="s">
        <v>1205</v>
      </c>
    </row>
    <row r="2" spans="1:82" x14ac:dyDescent="0.25">
      <c r="A2" s="26" t="s">
        <v>1080</v>
      </c>
      <c r="B2" s="26">
        <v>3</v>
      </c>
      <c r="C2" s="26">
        <v>2</v>
      </c>
      <c r="D2" s="26">
        <f>MAX(NumOrganizations+1,2)</f>
        <v>3</v>
      </c>
      <c r="E2" s="26">
        <f>IF(AND(CitationDOI="",NumORCIDs=0,NumIGSNs=0),1,3)</f>
        <v>3</v>
      </c>
      <c r="F2" s="26">
        <f>IF(AND(CitationDOI="",NumORCIDs=0,NumIGSNs=0),1,4)</f>
        <v>4</v>
      </c>
      <c r="G2" s="26">
        <f>MAX(NumPeople+1,2)</f>
        <v>7</v>
      </c>
      <c r="H2" s="26">
        <f>IF(NumORCIDs=0,1,MAX(NumORCIDs+1,2))</f>
        <v>2</v>
      </c>
      <c r="I2" s="26">
        <f>MAX(NumOrganizations+1,NumPeople+1,2)</f>
        <v>7</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285</v>
      </c>
      <c r="X2" s="26">
        <f>IF(AND(NumIGSNs=0,COUNTIF(DataColumns[ColumnType],"SpecimenIGSN")=0),1,MAX(2,NumIGSNs+1,NumParentSamplingFeatures+NumSpecimens+1))</f>
        <v>1</v>
      </c>
      <c r="Y2" s="26">
        <f>IF(NumSites=0,1,NumSites+1)</f>
        <v>8</v>
      </c>
      <c r="Z2" s="26">
        <f>NumParentSpecimens+NumSpecimens+1</f>
        <v>278</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278</v>
      </c>
      <c r="AG2" s="26">
        <f>MAX(NumMethods+1,2)</f>
        <v>8</v>
      </c>
      <c r="AH2" s="26">
        <f>MAX(NumVariables+1,2)</f>
        <v>7</v>
      </c>
      <c r="AI2" s="26">
        <v>1</v>
      </c>
      <c r="AJ2" s="26">
        <f>IF(NumTaxClassifiers=0,1,NumTaxClassifiers+1)</f>
        <v>1</v>
      </c>
      <c r="AK2" s="26">
        <f>MAX(NumProcessingLevels+1,2)</f>
        <v>6</v>
      </c>
      <c r="AL2" s="26">
        <v>1</v>
      </c>
      <c r="AM2" s="26">
        <v>1</v>
      </c>
      <c r="AN2" s="26">
        <v>1</v>
      </c>
      <c r="AO2" s="26">
        <v>1</v>
      </c>
      <c r="AP2" s="26">
        <v>1</v>
      </c>
      <c r="AQ2" s="26">
        <f>NumSpecimens+1</f>
        <v>278</v>
      </c>
      <c r="AR2" s="26">
        <v>1</v>
      </c>
      <c r="AS2" s="26">
        <v>1</v>
      </c>
      <c r="AT2" s="26">
        <v>1</v>
      </c>
      <c r="AU2" s="26">
        <v>1</v>
      </c>
      <c r="AV2" s="26">
        <v>1</v>
      </c>
      <c r="AW2" s="26">
        <v>1</v>
      </c>
      <c r="AX2" s="26">
        <v>1</v>
      </c>
      <c r="AY2" s="26">
        <v>1</v>
      </c>
      <c r="AZ2" s="26">
        <f>MAX(NumDataColumns*NumSpecimens+1,2)</f>
        <v>1663</v>
      </c>
      <c r="BA2" s="26">
        <f>NumSpecimens+1</f>
        <v>278</v>
      </c>
      <c r="BB2" s="26">
        <f>MAX(NumDataColumns*NumSpecimens+1,2)</f>
        <v>1663</v>
      </c>
      <c r="BC2" s="26">
        <f>NumSpecimens+1</f>
        <v>278</v>
      </c>
      <c r="BD2" s="26">
        <f>MAX(NumDataColumns*NumSpecimens+1,2)</f>
        <v>1663</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1663</v>
      </c>
      <c r="BT2" s="26">
        <f>MAX(NumDataColumns*NumSpecimens+1,2)</f>
        <v>1663</v>
      </c>
      <c r="BU2" s="26">
        <f>IF(COUNTIF(BF:BF,"Measurement")=0,1,MAX(NumDataColumns*NumSpecimens+1,2))</f>
        <v>1663</v>
      </c>
      <c r="BV2" s="26">
        <f>IF(COUNTIF(BF:BF,"Measurement")=0,1,MAX(NumDataColumns*NumSpecimens+1,2))</f>
        <v>1663</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1210</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175</v>
      </c>
      <c r="H3" s="26" t="str">
        <f>IF(NumORCIDs=0,"","PersonExternalIdentifiers:")</f>
        <v>PersonExternalIdentifiers:</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IF(MAX(SamplingFeatures[SiteID])=0,"","Sites:")</f>
        <v>Sites:</v>
      </c>
      <c r="Z3" s="26" t="s">
        <v>1475</v>
      </c>
      <c r="AA3" s="26" t="str">
        <f>IF(COUNTA(SpatialOffsets[Spatial Offset Code])=0,"","SpatialOffsets:")</f>
        <v/>
      </c>
      <c r="AB3" s="26" t="str">
        <f>""</f>
        <v/>
      </c>
      <c r="AC3" s="26" t="str">
        <f>""</f>
        <v/>
      </c>
      <c r="AD3" s="26" t="str">
        <f>""</f>
        <v/>
      </c>
      <c r="AE3" s="26" t="str">
        <f>""</f>
        <v/>
      </c>
      <c r="AF3" s="26" t="str">
        <f>IF(AND(NumRelatedFeatures=0,INDEX(SpecimenColumnFinder[First Value Address],MATCH("ParentSamplingFeatureCode",SpecimenColumnFinder[DataType],0))="NOT GIVEN"),"","RelatedFeatures:")</f>
        <v>RelatedFeatures:</v>
      </c>
      <c r="AG3" s="26" t="s">
        <v>273</v>
      </c>
      <c r="AH3" s="26" t="s">
        <v>1079</v>
      </c>
      <c r="AI3" s="26" t="str">
        <f>""</f>
        <v/>
      </c>
      <c r="AJ3" s="26" t="str">
        <f>IF(NumTaxClassifiers=0,"","TaxonomicClassifiers:")</f>
        <v/>
      </c>
      <c r="AK3" s="26" t="s">
        <v>1495</v>
      </c>
      <c r="AL3" s="26" t="str">
        <f>""</f>
        <v/>
      </c>
      <c r="AM3" s="26" t="str">
        <f>""</f>
        <v/>
      </c>
      <c r="AN3" s="26" t="str">
        <f>""</f>
        <v/>
      </c>
      <c r="AO3" s="26" t="str">
        <f>""</f>
        <v/>
      </c>
      <c r="AP3" s="26" t="str">
        <f>""</f>
        <v/>
      </c>
      <c r="AQ3" s="26" t="s">
        <v>1182</v>
      </c>
      <c r="AR3" s="26" t="str">
        <f>""</f>
        <v/>
      </c>
      <c r="AS3" s="26" t="str">
        <f>""</f>
        <v/>
      </c>
      <c r="AT3" s="26" t="str">
        <f>""</f>
        <v/>
      </c>
      <c r="AU3" s="26" t="str">
        <f>""</f>
        <v/>
      </c>
      <c r="AV3" s="26" t="str">
        <f>""</f>
        <v/>
      </c>
      <c r="AW3" s="26" t="str">
        <f>""</f>
        <v/>
      </c>
      <c r="AX3" s="26" t="str">
        <f>""</f>
        <v/>
      </c>
      <c r="AY3" s="26" t="str">
        <f>""</f>
        <v/>
      </c>
      <c r="AZ3" s="26" t="str">
        <f>""</f>
        <v/>
      </c>
      <c r="BA3" s="26" t="s">
        <v>1184</v>
      </c>
      <c r="BB3" s="26" t="str">
        <f>""</f>
        <v/>
      </c>
      <c r="BC3" s="26" t="s">
        <v>1298</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1186</v>
      </c>
      <c r="BT3" s="26" t="s">
        <v>1558</v>
      </c>
      <c r="BU3" s="26" t="str">
        <f>IF(COUNTIF(BF:BF,"Measurement")=0,"","MeasurementResults:")</f>
        <v>MeasurementResults:</v>
      </c>
      <c r="BV3" s="26" t="str">
        <f>IF(COUNTIF(BF:BF,"Measurement")=0,"","MeasurementResultValues:")</f>
        <v>MeasurementResultValues:</v>
      </c>
      <c r="BW3" s="26" t="str">
        <f>IF(COUNTIFS(BF:BF,"Count observation",BF:BF,"Truth observation",BF:BF,"Category observation")=0,"","CategoricalResults:")</f>
        <v/>
      </c>
      <c r="BX3" s="26" t="str">
        <f>IF(COUNTIFS(BF:BF,"Count observation",BF:BF,"Truth observation",BF:BF,"Category observation")=0,"","CategoricalResultValues:")</f>
        <v/>
      </c>
      <c r="CC3" s="26" t="s">
        <v>1209</v>
      </c>
      <c r="CD3" s="26">
        <f>MAX(B2:BX2)</f>
        <v>1663</v>
      </c>
    </row>
    <row r="4" spans="1:82" x14ac:dyDescent="0.25">
      <c r="A4" s="26">
        <f t="shared" si="0"/>
        <v>1</v>
      </c>
      <c r="B4" s="26" t="s">
        <v>1299</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DatasetTypeCV:  "Specimen time series",  DatasetCode:  "SWChemis_2011-2013",  DatasetTitle:  "Chemistry data from White Clay Creek from 2011-2013",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&amp;AffiliationID00001 {PersonObj: *PersonID00001, OrganizationObj: *OrganizationID00001, IsPrimaryOrganizationContact: ", AffiliationStartDate: ", AffiliationEndDate: ", PrimaryPhone: ", PrimaryEmail: "sdamiano@stroudcenter.org", PrimaryAddress: "Stroud Water Research Center, 970 Spencer Road, Avondale, PA 19311", PersonLink: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*SamplingFeatureID00001, SiteTypeCV:  "Stream", Latitude:  39.86347, Longitude:  -75.78473, SpatialReferenceObj:  *SRSID00001}</v>
      </c>
      <c r="Z4" s="26"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*SamplingFeatureID00008, SpecimenTypeCV:  "Grab", SpecimenMediumCV:  "Liquid aqueous", IsFieldSpecimen:  "TRUE"}</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*SamplingFeatureID00008</v>
      </c>
      <c r="AC4"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6"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6" t="str">
        <f t="shared" ref="AP4:AP8" si="1">CONCATENATE("*SamplingFeatureID",TEXT(ROW()-3+NumParentSamplingFeatures,"00000"))</f>
        <v>*SamplingFeatureID00008</v>
      </c>
      <c r="AQ4" s="26" t="str">
        <f>IF(ROW()-3&gt;NumSpecimens,"",
CONCATENATE("  - &amp;ActionID",TEXT(ROW()-3,"00000"),
" {","ActionTypeCV:  ",CHAR(34),"Specimen collection",CHAR(34),
", MethodObj: ",AL4,
", BeginDateTime:  ",CHAR(34),AM4,CHAR(34),
", BeginDateTimeUTCOffset:  ",CHAR(34),AN4,CHAR(34),
", EndDateTime:  """,
", EndDateTimeUTCOffset:  """,
", ActionDescription:  ",CHAR(34),"Action generated by Excel Template for ",TemplateProfile," v.",TemplateVersion,CHAR(34),
", ActionFileLink:  """,
,"}"))</f>
        <v xml:space="preserve">  - &amp;ActionID00001 {ActionTypeCV:  "Specimen collection", MethodObj: *MethodID00006, BeginDateTime:  "2011-01-05 15:36:00", BeginDateTimeUTCOffset:  "-5", EndDateTime:  ", EndDateTimeUTCOffset:  ", ActionDescription:  "Action generated by Excel Template for Specimen v.0.1.0-alpha", ActionFileLink:  "}</v>
      </c>
      <c r="AR4" s="26">
        <v>1</v>
      </c>
      <c r="AS4" s="26" t="str">
        <f>INDEX(ResultColumnFinder[Data Value Label],MATCH($AR4,ResultColumnFinder[DV Num],1))</f>
        <v>pH</v>
      </c>
      <c r="AT4" s="26">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6"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6">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6"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6" t="str">
        <f t="shared" ref="AY4:AY8" si="2">CONCATENATE("*SamplingFeatureID",TEXT(ROW()-3-($AR4-1)*NumSpecimens+NumParentSamplingFeatures,"00000"))</f>
        <v>*SamplingFeatureID00008</v>
      </c>
      <c r="AZ4" s="26" t="str">
        <f>IF(ROW()-3&gt;NumDataColumns*NumSpecimens,"",
IF(AT4="","",
CONCATENATE("  - &amp;ActionID",TEXT(ROW()-3+NumSpecimens,"00000"),
" {","ActionTypeCV:  ",CHAR(34),"Specimen analysis",CHAR(34),
", MethodObj: ",AU4,
", BeginDateTime:  ",CHAR(34),AV4,CHAR(34),
", BeginDateTimeUTCOffset:  ",CHAR(34),AW4,CHAR(34),
", EndDateTime:  """,
", EndDateTimeUTCOffset:  """,
", ActionDescription:  ",CHAR(34),"Action generated by Excel Template for ",TemplateProfile," v.",TemplateVersion,CHAR(34),
", ActionFileLink:  """,
,"}")))</f>
        <v xml:space="preserve">  - &amp;ActionID00278 {ActionTypeCV:  "Specimen analysis", MethodObj: *MethodID00001, BeginDateTime:  "2011-01-21 04:58:02", BeginDateTimeUTCOffset:  "-7", EndDateTime:  ", EndDateTimeUTCOffset:  ", ActionDescription:  "Action generated by Excel Template for Specimen v.0.1.0-alpha", ActionFileLink:  "}</v>
      </c>
      <c r="BA4" s="26" t="str">
        <f>IF(ROW()-3&gt;NumSpecimens,"",
CONCATENATE("  - &amp;FeatureActionID",TEXT(ROW()-3,"00000"),
" {","SamplingFeatureObj:  ",AP4,
", ActionObj:  *ActionID",TEXT(ROW()-3,"00000"),"}"))</f>
        <v xml:space="preserve">  - &amp;FeatureActionID00001 {SamplingFeatureObj:  *SamplingFeatureID00008, ActionObj:  *ActionID00001}</v>
      </c>
      <c r="BB4" s="26"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6" t="str">
        <f>IF(ROW()-3&gt;NumSpecimens,"",
IF(AO4="","",
CONCATENATE("  - {",
"ActionObj:  *ActionID",TEXT(ROW()-3,"00000"),
", AffiliationObj:  ",AO4,
", IsActionLead: TRUE",
", RoleDescription: """,
"}")))</f>
        <v xml:space="preserve">  - {ActionObj:  *ActionID00001, AffiliationObj:  *AffiliationID00001, IsActionLead: TRUE, RoleDescription: "}</v>
      </c>
      <c r="BD4" s="26" t="str">
        <f>IF(ROW()-3&gt;NumDataColumns*NumSpecimens,"",
IF(AT4="","",
IF(AX4="","",
CONCATENATE("  - {",
"ActionObj:  *ActionID",TEXT(ROW()-3+NumSpecimens,"00000"),
", AffiliationObj:  ",AX4,
", IsActionLead: TRUE",
", RoleDescription: """,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6"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6"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6"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6"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6"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6"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6"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6"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6">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6"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v>
      </c>
      <c r="BT4" s="26" t="str">
        <f>IF(NumDataColumns=0,"THERE MUST BE AT LEAST ONE COLUMN OF DATA VALUES",
IF(AT4="","",
CONCATENATE("  - {DatasetObj: *DatasetID00001, ",
"ResultObj: *ResultID",TEXT(ROW()-3,"00000"),
"}")))</f>
        <v xml:space="preserve">  - {DatasetObj: *DatasetID00001, ResultObj: *ResultID00001}</v>
      </c>
      <c r="BU4" s="26" t="str">
        <f>IF(BF4&lt;&gt;"Measurement","",
IF(AT4="","",
CONCATENATE("  - &amp;MeasurementResultID",TEXT(ROW()-3,"00000"),
" {","ResultObj: *ResultID",TEXT(ROW()-3,"00000"),
", XLocation:  """,
", XLocationUnitsObj:  ","",
", YLocation:  """,
", YLocationUnitsObj:  ","",
", ZLocation:  """,
", ZLocationUnitsObj:  ","",
", SpatialReferenceObj:  ","",
", CensorCodeCV: ",CHAR(34),BN4,CHAR(34),
", QualityCodeCV:  ",CHAR(34),BO4,CHAR(34),
", AggregationStatisticCV:  ",CHAR(34),BP4,CHAR(34),
", TimeAggregationInterval:  ",CHAR(34),BQ4,CHAR(34),
", TimeAggregationUnitsObj:  ",CHAR(34),BR4,CHAR(34),
"}")))</f>
        <v xml:space="preserve">  - &amp;MeasurementResultID00001 {ResultObj: *ResultID00001, XLocation:  ", XLocationUnitsObj:  , YLocation:  ", YLocationUnitsObj:  , ZLocation:  ", ZLocationUnitsObj:  , SpatialReferenceObj:  , CensorCodeCV: "Not censored", QualityCodeCV:  "Good", AggregationStatisticCV:  "Average", TimeAggregationInterval:  "0", TimeAggregationUnitsObj:  "sec"}</v>
      </c>
      <c r="BV4" s="26"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6" t="str">
        <f>IF(BF4="Measurement","",
IF(AT4="","",
CONCATENATE("  - &amp;CategoricalResultID",TEXT(ROW()-3,"00000"),
" {","ResultObj: *ResultID",TEXT(ROW()-3,"00000"),
", XLocation:  """,
", XLocationUnitsObj:  ","",
", YLocation:  """,
", YLocationUnitsObj:  ","",
", ZLocation:  """,
", ZLocationUnitsObj:  ","",
", SpatialReferenceObj:  ","",
", QualityCodeCV:  ",CHAR(34),BO4,CHAR(34),
"}")))</f>
        <v/>
      </c>
      <c r="BX4" s="26" t="str">
        <f>IF(BF4="Measurement","",
IF(AT4="","",
CONCATENATE("  - &amp;CategoricalResultValueID",TEXT(ROW()-3,"00000"),
" {","MeasurementResultObj: *CategoricalResultID",TEXT(ROW()-3,"00000"),
", DataValue: ",AT4,
", ValueDateTime:  ",CHAR(34),BK4,CHAR(34),
", ValueDateTimeUTCOffset:  ",BL4,
"}")))</f>
        <v/>
      </c>
      <c r="CC4" s="26" t="s">
        <v>1206</v>
      </c>
      <c r="CD4" s="26">
        <f>SUM(B2:BX2)</f>
        <v>13427</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 DateCreated: "2015-04-27", DateUpdated: "2015-04-27"}</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&amp;AffiliationID00002 {PersonObj: *PersonID00002, OrganizationObj: *OrganizationID00001, IsPrimaryOrganizationContact: ", AffiliationStartDate: ", AffiliationEndDate: ", PrimaryPhone: ", PrimaryEmail: "mgentile@stroudcenter.org", PrimaryAddress: "Stroud Water Research Center, 970 Spencer Road, Avondale, PA 19311", PersonLink: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*SamplingFeatureID00002, SiteTypeCV:  "Stream", Latitude:  39.86217, Longitude:  -75.77877, SpatialReferenceObj:  *SRSID00001}</v>
      </c>
      <c r="Z5" s="26"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*SamplingFeatureID00009, SpecimenTypeCV:  "Grab", SpecimenMediumCV:  "Liquid aqueous", IsFieldSpecimen:  "TRUE"}</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*SamplingFeatureID00009</v>
      </c>
      <c r="AC5"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"Specific conductance", VariableDefinition:  "", SpeciationCV:  "", NoDataValue:  "NULL"}</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6" t="str">
        <f t="shared" si="1"/>
        <v>*SamplingFeatureID00009</v>
      </c>
      <c r="AQ5" s="26" t="str">
        <f>IF(ROW()-3&gt;NumSpecimens,"",
CONCATENATE("  - &amp;ActionID",TEXT(ROW()-3,"00000"),
" {","ActionTypeCV:  ",CHAR(34),"Specimen collection",CHAR(34),
", MethodObj: ",AL5,
", BeginDateTime:  ",CHAR(34),AM5,CHAR(34),
", BeginDateTimeUTCOffset:  ",CHAR(34),AN5,CHAR(34),
", EndDateTime:  """,
", EndDateTimeUTCOffset:  """,
", ActionDescription:  ",CHAR(34),"Action generated by Excel Template for ",TemplateProfile," v.",TemplateVersion,CHAR(34),
", ActionFileLink:  """,
,"}"))</f>
        <v xml:space="preserve">  - &amp;ActionID00002 {ActionTypeCV:  "Specimen collection", MethodObj: *MethodID00006, BeginDateTime:  "2011-01-14 13:23:00", BeginDateTimeUTCOffset:  "-5", EndDateTime:  ", EndDateTimeUTCOffset:  ", ActionDescription:  "Action generated by Excel Template for Specimen v.0.1.0-alpha", ActionFileLink:  "}</v>
      </c>
      <c r="AR5" s="26">
        <f t="shared" ref="AR5:AR8" si="4">IF(ROW()-3&gt;NumSpecimens*AR4,AR4+1,AR4)</f>
        <v>1</v>
      </c>
      <c r="AS5" s="26" t="str">
        <f>INDEX(ResultColumnFinder[Data Value Label],MATCH($AR5,ResultColumnFinder[DV Num],1))</f>
        <v>pH</v>
      </c>
      <c r="AT5" s="26">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6"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6"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6">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6"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6" t="str">
        <f t="shared" si="2"/>
        <v>*SamplingFeatureID00009</v>
      </c>
      <c r="AZ5" s="26" t="str">
        <f>IF(ROW()-3&gt;NumDataColumns*NumSpecimens,"",
IF(AT5="","",
CONCATENATE("  - &amp;ActionID",TEXT(ROW()-3+NumSpecimens,"00000"),
" {","ActionTypeCV:  ",CHAR(34),"Specimen analysis",CHAR(34),
", MethodObj: ",AU5,
", BeginDateTime:  ",CHAR(34),AV5,CHAR(34),
", BeginDateTimeUTCOffset:  ",CHAR(34),AW5,CHAR(34),
", EndDateTime:  """,
", EndDateTimeUTCOffset:  """,
", ActionDescription:  ",CHAR(34),"Action generated by Excel Template for ",TemplateProfile," v.",TemplateVersion,CHAR(34),
", ActionFileLink:  """,
,"}")))</f>
        <v xml:space="preserve">  - &amp;ActionID00279 {ActionTypeCV:  "Specimen analysis", MethodObj: *MethodID00001, BeginDateTime:  "2011-01-21 04:58:02", BeginDateTimeUTCOffset:  "-7", EndDateTime:  ", EndDateTimeUTCOffset:  ", ActionDescription:  "Action generated by Excel Template for Specimen v.0.1.0-alpha", ActionFileLink:  "}</v>
      </c>
      <c r="BA5" s="26" t="str">
        <f>IF(ROW()-3&gt;NumSpecimens,"",
CONCATENATE("  - &amp;FeatureActionID",TEXT(ROW()-3,"00000"),
" {","SamplingFeatureObj:  ",AP5,
", ActionObj:  *ActionID",TEXT(ROW()-3,"00000"),"}"))</f>
        <v xml:space="preserve">  - &amp;FeatureActionID00002 {SamplingFeatureObj:  *SamplingFeatureID00009, ActionObj:  *ActionID00002}</v>
      </c>
      <c r="BB5" s="26"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6" t="str">
        <f>IF(ROW()-3&gt;NumSpecimens,"",
IF(AO5="","",
CONCATENATE("  - {",
"ActionObj:  *ActionID",TEXT(ROW()-3,"00000"),
", AffiliationObj:  ",AO5,
", IsActionLead: TRUE",
", RoleDescription: """,
"}")))</f>
        <v xml:space="preserve">  - {ActionObj:  *ActionID00002, AffiliationObj:  *AffiliationID00001, IsActionLead: TRUE, RoleDescription: "}</v>
      </c>
      <c r="BD5" s="26" t="str">
        <f>IF(ROW()-3&gt;NumDataColumns*NumSpecimens,"",
IF(AT5="","",
IF(AX5="","",
CONCATENATE("  - {",
"ActionObj:  *ActionID",TEXT(ROW()-3+NumSpecimens,"00000"),
", AffiliationObj:  ",AX5,
", IsActionLead: TRUE",
", RoleDescription: """,
"}"))))</f>
        <v/>
      </c>
      <c r="BE5" s="26"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6"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6"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6"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6"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6"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6"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6"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6"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6"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6">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6"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v>
      </c>
      <c r="BT5" s="26" t="str">
        <f>IF(ROW()-3&gt;NumDataColumns*NumSpecimens,"",
IF(AT5="","",
CONCATENATE("  - {DatasetObj: *DatasetID00001, ",
"ResultObj: *ResultID",TEXT(ROW()-3,"00000"),
"}")))</f>
        <v xml:space="preserve">  - {DatasetObj: *DatasetID00001, ResultObj: *ResultID00002}</v>
      </c>
      <c r="BU5" s="26" t="str">
        <f>IF(BF5&lt;&gt;"Measurement","",
IF(AT5="","",
CONCATENATE("  - &amp;MeasurementResultID",TEXT(ROW()-3,"00000"),
" {","ResultObj: *ResultID",TEXT(ROW()-3,"00000"),
", XLocation:  """,
", XLocationUnitsObj:  ","",
", YLocation:  """,
", YLocationUnitsObj:  ","",
", ZLocation:  """,
", ZLocationUnitsObj:  ","",
", SpatialReferenceObj:  ","",
", CensorCodeCV: ",CHAR(34),BN5,CHAR(34),
", QualityCodeCV:  ",CHAR(34),BO5,CHAR(34),
", AggregationStatisticCV:  ",CHAR(34),BP5,CHAR(34),
", TimeAggregationInterval:  ",CHAR(34),BQ5,CHAR(34),
", TimeAggregationUnitsObj:  ",CHAR(34),BR5,CHAR(34),
"}")))</f>
        <v xml:space="preserve">  - &amp;MeasurementResultID00002 {ResultObj: *ResultID00002, XLocation:  ", XLocationUnitsObj:  , YLocation:  ", YLocationUnitsObj:  , ZLocation:  ", ZLocationUnitsObj:  , SpatialReferenceObj:  , CensorCodeCV: "Not censored", QualityCodeCV:  "Good", AggregationStatisticCV:  "Average", TimeAggregationInterval:  "0", TimeAggregationUnitsObj:  "sec"}</v>
      </c>
      <c r="BV5" s="26"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6" t="str">
        <f>IF(BF5="Measurement","",
IF(AT5="","",
CONCATENATE("  - &amp;CategoricalResultID",TEXT(ROW()-3,"00000"),
" {","ResultObj: *ResultID",TEXT(ROW()-3,"00000"),
", XLocation:  """,
", XLocationUnitsObj:  ","",
", YLocation:  """,
", YLocationUnitsObj:  ","",
", ZLocation:  """,
", ZLocationUnitsObj:  ","",
", SpatialReferenceObj:  ","",
", QualityCodeCV:  ",CHAR(34),BO5,CHAR(34),
"}")))</f>
        <v/>
      </c>
      <c r="BX5" s="26" t="str">
        <f>IF(BF5="Measurement","",
IF(AT5="","",
CONCATENATE("  - &amp;CategoricalResultValueID",TEXT(ROW()-3,"00000"),
" {","MeasurementResultObj: *CategoricalResultID",TEXT(ROW()-3,"00000"),
", DataValue: ",AT5,
", ValueDateTime:  ",CHAR(34),BK5,CHAR(34),
", ValueDateTimeUTCOffset:  ",BL5,
"}")))</f>
        <v/>
      </c>
      <c r="CC5" s="26" t="s">
        <v>1207</v>
      </c>
      <c r="CD5" s="26">
        <f>COUNT(INDIRECT(CONCATENATE("'Data Values'!C2:C96148")))</f>
        <v>277</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&amp;AffiliationID00003 {PersonObj: *PersonID00003, OrganizationObj: *OrganizationID00001, IsPrimaryOrganizationContact: ", AffiliationStartDate: ", AffiliationEndDate: ", PrimaryPhone: ", PrimaryEmail: "newbold@stroudcenter.org", PrimaryAddress: "Stroud Water Research Center, 970 Spencer Road, Avondale, PA 19311", PersonLink: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*SamplingFeatureID00003, SiteTypeCV:  "Stream", Latitude:  39.8615016666666, Longitude:  -75.78305, SpatialReferenceObj:  *SRSID00001}</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*SamplingFeatureID00010, SpecimenTypeCV:  "Grab", SpecimenMediumCV:  "Liquid aqueous", IsFieldSpecimen:  "TRUE"}</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*SamplingFeatureID00010</v>
      </c>
      <c r="AC6"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6" t="str">
        <f t="shared" si="1"/>
        <v>*SamplingFeatureID00010</v>
      </c>
      <c r="AQ6" s="26" t="str">
        <f>IF(ROW()-3&gt;NumSpecimens,"",
CONCATENATE("  - &amp;ActionID",TEXT(ROW()-3,"00000"),
" {","ActionTypeCV:  ",CHAR(34),"Specimen collection",CHAR(34),
", MethodObj: ",AL6,
", BeginDateTime:  ",CHAR(34),AM6,CHAR(34),
", BeginDateTimeUTCOffset:  ",CHAR(34),AN6,CHAR(34),
", EndDateTime:  """,
", EndDateTimeUTCOffset:  """,
", ActionDescription:  ",CHAR(34),"Action generated by Excel Template for ",TemplateProfile," v.",TemplateVersion,CHAR(34),
", ActionFileLink:  """,
,"}"))</f>
        <v xml:space="preserve">  - &amp;ActionID00003 {ActionTypeCV:  "Specimen collection", MethodObj: *MethodID00006, BeginDateTime:  "2011-01-14 14:45:00", BeginDateTimeUTCOffset:  "-5", EndDateTime:  ", EndDateTimeUTCOffset:  ", ActionDescription:  "Action generated by Excel Template for Specimen v.0.1.0-alpha", ActionFileLink:  "}</v>
      </c>
      <c r="AR6" s="26">
        <f t="shared" si="4"/>
        <v>1</v>
      </c>
      <c r="AS6" s="26" t="str">
        <f>INDEX(ResultColumnFinder[Data Value Label],MATCH($AR6,ResultColumnFinder[DV Num],1))</f>
        <v>pH</v>
      </c>
      <c r="AT6" s="26">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6"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6"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6">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6"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6" t="str">
        <f t="shared" si="2"/>
        <v>*SamplingFeatureID00010</v>
      </c>
      <c r="AZ6" s="26" t="str">
        <f>IF(ROW()-3&gt;NumDataColumns*NumSpecimens,"",
IF(AT6="","",
CONCATENATE("  - &amp;ActionID",TEXT(ROW()-3+NumSpecimens,"00000"),
" {","ActionTypeCV:  ",CHAR(34),"Specimen analysis",CHAR(34),
", MethodObj: ",AU6,
", BeginDateTime:  ",CHAR(34),AV6,CHAR(34),
", BeginDateTimeUTCOffset:  ",CHAR(34),AW6,CHAR(34),
", EndDateTime:  """,
", EndDateTimeUTCOffset:  """,
", ActionDescription:  ",CHAR(34),"Action generated by Excel Template for ",TemplateProfile," v.",TemplateVersion,CHAR(34),
", ActionFileLink:  """,
,"}")))</f>
        <v xml:space="preserve">  - &amp;ActionID00280 {ActionTypeCV:  "Specimen analysis", MethodObj: *MethodID00001, BeginDateTime:  "2011-01-20 22:25:40", BeginDateTimeUTCOffset:  "-7", EndDateTime:  ", EndDateTimeUTCOffset:  ", ActionDescription:  "Action generated by Excel Template for Specimen v.0.1.0-alpha", ActionFileLink:  "}</v>
      </c>
      <c r="BA6" s="26" t="str">
        <f>IF(ROW()-3&gt;NumSpecimens,"",
CONCATENATE("  - &amp;FeatureActionID",TEXT(ROW()-3,"00000"),
" {","SamplingFeatureObj:  ",AP6,
", ActionObj:  *ActionID",TEXT(ROW()-3,"00000"),"}"))</f>
        <v xml:space="preserve">  - &amp;FeatureActionID00003 {SamplingFeatureObj:  *SamplingFeatureID00010, ActionObj:  *ActionID00003}</v>
      </c>
      <c r="BB6" s="26"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6" t="str">
        <f>IF(ROW()-3&gt;NumSpecimens,"",
IF(AO6="","",
CONCATENATE("  - {",
"ActionObj:  *ActionID",TEXT(ROW()-3,"00000"),
", AffiliationObj:  ",AO6,
", IsActionLead: TRUE",
", RoleDescription: """,
"}")))</f>
        <v xml:space="preserve">  - {ActionObj:  *ActionID00003, AffiliationObj:  *AffiliationID00001, IsActionLead: TRUE, RoleDescription: "}</v>
      </c>
      <c r="BD6" s="26" t="str">
        <f>IF(ROW()-3&gt;NumDataColumns*NumSpecimens,"",
IF(AT6="","",
IF(AX6="","",
CONCATENATE("  - {",
"ActionObj:  *ActionID",TEXT(ROW()-3+NumSpecimens,"00000"),
", AffiliationObj:  ",AX6,
", IsActionLead: TRUE",
", RoleDescription: """,
"}"))))</f>
        <v/>
      </c>
      <c r="BE6" s="26"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6"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6"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6"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6"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6"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6"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6"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6"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6"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6">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6"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v>
      </c>
      <c r="BT6" s="26" t="str">
        <f>IF(ROW()-3&gt;NumDataColumns*NumSpecimens,"",
IF(AT6="","",
CONCATENATE("  - {DatasetObj: *DatasetID00001, ",
"ResultObj: *ResultID",TEXT(ROW()-3,"00000"),
"}")))</f>
        <v xml:space="preserve">  - {DatasetObj: *DatasetID00001, ResultObj: *ResultID00003}</v>
      </c>
      <c r="BU6" s="26" t="str">
        <f>IF(BF6&lt;&gt;"Measurement","",
IF(AT6="","",
CONCATENATE("  - &amp;MeasurementResultID",TEXT(ROW()-3,"00000"),
" {","ResultObj: *ResultID",TEXT(ROW()-3,"00000"),
", XLocation:  """,
", XLocationUnitsObj:  ","",
", YLocation:  """,
", YLocationUnitsObj:  ","",
", ZLocation:  """,
", ZLocationUnitsObj:  ","",
", SpatialReferenceObj:  ","",
", CensorCodeCV: ",CHAR(34),BN6,CHAR(34),
", QualityCodeCV:  ",CHAR(34),BO6,CHAR(34),
", AggregationStatisticCV:  ",CHAR(34),BP6,CHAR(34),
", TimeAggregationInterval:  ",CHAR(34),BQ6,CHAR(34),
", TimeAggregationUnitsObj:  ",CHAR(34),BR6,CHAR(34),
"}")))</f>
        <v xml:space="preserve">  - &amp;MeasurementResultID00003 {ResultObj: *ResultID00003, XLocation:  ", XLocationUnitsObj:  , YLocation:  ", YLocationUnitsObj:  , ZLocation:  ", ZLocationUnitsObj:  , SpatialReferenceObj:  , CensorCodeCV: "Not censored", QualityCodeCV:  "Good", AggregationStatisticCV:  "Average", TimeAggregationInterval:  "0", TimeAggregationUnitsObj:  "sec"}</v>
      </c>
      <c r="BV6" s="26"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6" t="str">
        <f>IF(BF6="Measurement","",
IF(AT6="","",
CONCATENATE("  - &amp;CategoricalResultID",TEXT(ROW()-3,"00000"),
" {","ResultObj: *ResultID",TEXT(ROW()-3,"00000"),
", XLocation:  """,
", XLocationUnitsObj:  ","",
", YLocation:  """,
", YLocationUnitsObj:  ","",
", ZLocation:  """,
", ZLocationUnitsObj:  ","",
", SpatialReferenceObj:  ","",
", QualityCodeCV:  ",CHAR(34),BO6,CHAR(34),
"}")))</f>
        <v/>
      </c>
      <c r="BX6" s="26" t="str">
        <f>IF(BF6="Measurement","",
IF(AT6="","",
CONCATENATE("  - &amp;CategoricalResultValueID",TEXT(ROW()-3,"00000"),
" {","MeasurementResultObj: *CategoricalResultID",TEXT(ROW()-3,"00000"),
", DataValue: ",AT6,
", ValueDateTime:  ",CHAR(34),BK6,CHAR(34),
", ValueDateTimeUTCOffset:  ",BL6,
"}")))</f>
        <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&amp;AffiliationID00004 {PersonObj: *PersonID00004, OrganizationObj: *OrganizationID00002, IsPrimaryOrganizationContact: ", AffiliationStartDate: ", AffiliationEndDate: ", PrimaryPhone: ", PrimaryEmail: "dlkarwan@umn.edu", PrimaryAddress: "301G Green Hall, 1530 Cleveland Avenue North, St. Paul, MN 55108", PersonLink: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*SamplingFeatureID00004, SiteTypeCV:  "Stream", Latitude:  39.86066, Longitude:  -75.783855, SpatialReferenceObj:  *SRSID00001}</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*SamplingFeatureID00011, SpecimenTypeCV:  "Grab", SpecimenMediumCV:  "Liquid aqueous", IsFieldSpecimen:  "TRUE"}</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*SamplingFeatureID00011</v>
      </c>
      <c r="AC7"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6" t="str">
        <f t="shared" si="1"/>
        <v>*SamplingFeatureID00011</v>
      </c>
      <c r="AQ7" s="26" t="str">
        <f>IF(ROW()-3&gt;NumSpecimens,"",
CONCATENATE("  - &amp;ActionID",TEXT(ROW()-3,"00000"),
" {","ActionTypeCV:  ",CHAR(34),"Specimen collection",CHAR(34),
", MethodObj: ",AL7,
", BeginDateTime:  ",CHAR(34),AM7,CHAR(34),
", BeginDateTimeUTCOffset:  ",CHAR(34),AN7,CHAR(34),
", EndDateTime:  """,
", EndDateTimeUTCOffset:  """,
", ActionDescription:  ",CHAR(34),"Action generated by Excel Template for ",TemplateProfile," v.",TemplateVersion,CHAR(34),
", ActionFileLink:  """,
,"}"))</f>
        <v xml:space="preserve">  - &amp;ActionID00004 {ActionTypeCV:  "Specimen collection", MethodObj: *MethodID00006, BeginDateTime:  "2011-02-02 14:54:00", BeginDateTimeUTCOffset:  "-5", EndDateTime:  ", EndDateTimeUTCOffset:  ", ActionDescription:  "Action generated by Excel Template for Specimen v.0.1.0-alpha", ActionFileLink:  "}</v>
      </c>
      <c r="AR7" s="26">
        <f t="shared" si="4"/>
        <v>1</v>
      </c>
      <c r="AS7" s="26" t="str">
        <f>INDEX(ResultColumnFinder[Data Value Label],MATCH($AR7,ResultColumnFinder[DV Num],1))</f>
        <v>pH</v>
      </c>
      <c r="AT7" s="26">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6"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6"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6">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6"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6" t="str">
        <f t="shared" si="2"/>
        <v>*SamplingFeatureID00011</v>
      </c>
      <c r="AZ7" s="26" t="str">
        <f>IF(ROW()-3&gt;NumDataColumns*NumSpecimens,"",
IF(AT7="","",
CONCATENATE("  - &amp;ActionID",TEXT(ROW()-3+NumSpecimens,"00000"),
" {","ActionTypeCV:  ",CHAR(34),"Specimen analysis",CHAR(34),
", MethodObj: ",AU7,
", BeginDateTime:  ",CHAR(34),AV7,CHAR(34),
", BeginDateTimeUTCOffset:  ",CHAR(34),AW7,CHAR(34),
", EndDateTime:  """,
", EndDateTimeUTCOffset:  """,
", ActionDescription:  ",CHAR(34),"Action generated by Excel Template for ",TemplateProfile," v.",TemplateVersion,CHAR(34),
", ActionFileLink:  """,
,"}")))</f>
        <v xml:space="preserve">  - &amp;ActionID00281 {ActionTypeCV:  "Specimen analysis", MethodObj: *MethodID00001, BeginDateTime:  "2011-01-20 22:25:40", BeginDateTimeUTCOffset:  "-7", EndDateTime:  ", EndDateTimeUTCOffset:  ", ActionDescription:  "Action generated by Excel Template for Specimen v.0.1.0-alpha", ActionFileLink:  "}</v>
      </c>
      <c r="BA7" s="26" t="str">
        <f>IF(ROW()-3&gt;NumSpecimens,"",
CONCATENATE("  - &amp;FeatureActionID",TEXT(ROW()-3,"00000"),
" {","SamplingFeatureObj:  ",AP7,
", ActionObj:  *ActionID",TEXT(ROW()-3,"00000"),"}"))</f>
        <v xml:space="preserve">  - &amp;FeatureActionID00004 {SamplingFeatureObj:  *SamplingFeatureID00011, ActionObj:  *ActionID00004}</v>
      </c>
      <c r="BB7" s="26"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6" t="str">
        <f>IF(ROW()-3&gt;NumSpecimens,"",
IF(AO7="","",
CONCATENATE("  - {",
"ActionObj:  *ActionID",TEXT(ROW()-3,"00000"),
", AffiliationObj:  ",AO7,
", IsActionLead: TRUE",
", RoleDescription: """,
"}")))</f>
        <v xml:space="preserve">  - {ActionObj:  *ActionID00004, AffiliationObj:  *AffiliationID00001, IsActionLead: TRUE, RoleDescription: "}</v>
      </c>
      <c r="BD7" s="26" t="str">
        <f>IF(ROW()-3&gt;NumDataColumns*NumSpecimens,"",
IF(AT7="","",
IF(AX7="","",
CONCATENATE("  - {",
"ActionObj:  *ActionID",TEXT(ROW()-3+NumSpecimens,"00000"),
", AffiliationObj:  ",AX7,
", IsActionLead: TRUE",
", RoleDescription: """,
"}"))))</f>
        <v/>
      </c>
      <c r="BE7" s="26"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6"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6"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6"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6"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6"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6"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6"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6"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6"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6">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6"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v>
      </c>
      <c r="BT7" s="26" t="str">
        <f>IF(ROW()-3&gt;NumDataColumns*NumSpecimens,"",
IF(AT7="","",
CONCATENATE("  - {DatasetObj: *DatasetID00001, ",
"ResultObj: *ResultID",TEXT(ROW()-3,"00000"),
"}")))</f>
        <v xml:space="preserve">  - {DatasetObj: *DatasetID00001, ResultObj: *ResultID00004}</v>
      </c>
      <c r="BU7" s="26" t="str">
        <f>IF(BF7&lt;&gt;"Measurement","",
IF(AT7="","",
CONCATENATE("  - &amp;MeasurementResultID",TEXT(ROW()-3,"00000"),
" {","ResultObj: *ResultID",TEXT(ROW()-3,"00000"),
", XLocation:  """,
", XLocationUnitsObj:  ","",
", YLocation:  """,
", YLocationUnitsObj:  ","",
", ZLocation:  """,
", ZLocationUnitsObj:  ","",
", SpatialReferenceObj:  ","",
", CensorCodeCV: ",CHAR(34),BN7,CHAR(34),
", QualityCodeCV:  ",CHAR(34),BO7,CHAR(34),
", AggregationStatisticCV:  ",CHAR(34),BP7,CHAR(34),
", TimeAggregationInterval:  ",CHAR(34),BQ7,CHAR(34),
", TimeAggregationUnitsObj:  ",CHAR(34),BR7,CHAR(34),
"}")))</f>
        <v xml:space="preserve">  - &amp;MeasurementResultID00004 {ResultObj: *ResultID00004, XLocation:  ", XLocationUnitsObj:  , YLocation:  ", YLocationUnitsObj:  , ZLocation:  ", ZLocationUnitsObj:  , SpatialReferenceObj:  , CensorCodeCV: "Not censored", QualityCodeCV:  "Good", AggregationStatisticCV:  "Average", TimeAggregationInterval:  "0", TimeAggregationUnitsObj:  "sec"}</v>
      </c>
      <c r="BV7" s="26"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6" t="str">
        <f>IF(BF7="Measurement","",
IF(AT7="","",
CONCATENATE("  - &amp;CategoricalResultID",TEXT(ROW()-3,"00000"),
" {","ResultObj: *ResultID",TEXT(ROW()-3,"00000"),
", XLocation:  """,
", XLocationUnitsObj:  ","",
", YLocation:  """,
", YLocationUnitsObj:  ","",
", ZLocation:  """,
", ZLocationUnitsObj:  ","",
", SpatialReferenceObj:  ","",
", QualityCodeCV:  ",CHAR(34),BO7,CHAR(34),
"}")))</f>
        <v/>
      </c>
      <c r="BX7" s="26" t="str">
        <f>IF(BF7="Measurement","",
IF(AT7="","",
CONCATENATE("  - &amp;CategoricalResultValueID",TEXT(ROW()-3,"00000"),
" {","MeasurementResultObj: *CategoricalResultID",TEXT(ROW()-3,"00000"),
", DataValue: ",AT7,
", ValueDateTime:  ",CHAR(34),BK7,CHAR(34),
", ValueDateTimeUTCOffset:  ",BL7,
"}")))</f>
        <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&amp;AffiliationID00005 {PersonObj: *PersonID00005, OrganizationObj: *OrganizationID00001, IsPrimaryOrganizationContact: ", AffiliationStartDate: ", AffiliationEndDate: ", PrimaryPhone: ", PrimaryEmail: "sroberts@stroudcenter.org", PrimaryAddress: "Stroud Water Research Center, 970 Spencer Road, Avondale, PA 19311", PersonLink: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*SamplingFeatureID00005, SiteTypeCV:  "Stream", Latitude:  39.864087, Longitude:  -75.785841, SpatialReferenceObj:  *SRSID00001}</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*SamplingFeatureID00012, SpecimenTypeCV:  "Grab", SpecimenMediumCV:  "Liquid aqueous", IsFieldSpecimen:  "TRUE"}</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*SamplingFeatureID00012</v>
      </c>
      <c r="AC8"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nitrate (NO3)", VariableDefinition:  "", SpeciationCV:  "", NoDataValue:  "NULL"}</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6" t="str">
        <f t="shared" si="1"/>
        <v>*SamplingFeatureID00012</v>
      </c>
      <c r="AQ8" s="26" t="str">
        <f>IF(ROW()-3&gt;NumSpecimens,"",
CONCATENATE("  - &amp;ActionID",TEXT(ROW()-3,"00000"),
" {","ActionTypeCV:  ",CHAR(34),"Specimen collection",CHAR(34),
", MethodObj: ",AL8,
", BeginDateTime:  ",CHAR(34),AM8,CHAR(34),
", BeginDateTimeUTCOffset:  ",CHAR(34),AN8,CHAR(34),
", EndDateTime:  """,
", EndDateTimeUTCOffset:  """,
", ActionDescription:  ",CHAR(34),"Action generated by Excel Template for ",TemplateProfile," v.",TemplateVersion,CHAR(34),
", ActionFileLink:  """,
,"}"))</f>
        <v xml:space="preserve">  - &amp;ActionID00005 {ActionTypeCV:  "Specimen collection", MethodObj: *MethodID00006, BeginDateTime:  "2011-02-14 15:28:00", BeginDateTimeUTCOffset:  "-5", EndDateTime:  ", EndDateTimeUTCOffset:  ", ActionDescription:  "Action generated by Excel Template for Specimen v.0.1.0-alpha", ActionFileLink:  "}</v>
      </c>
      <c r="AR8" s="26">
        <f t="shared" si="4"/>
        <v>1</v>
      </c>
      <c r="AS8" s="26" t="str">
        <f>INDEX(ResultColumnFinder[Data Value Label],MATCH($AR8,ResultColumnFinder[DV Num],1))</f>
        <v>pH</v>
      </c>
      <c r="AT8" s="26">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6"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6"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6">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6"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6" t="str">
        <f t="shared" si="2"/>
        <v>*SamplingFeatureID00012</v>
      </c>
      <c r="AZ8" s="26" t="str">
        <f>IF(ROW()-3&gt;NumDataColumns*NumSpecimens,"",
IF(AT8="","",
CONCATENATE("  - &amp;ActionID",TEXT(ROW()-3+NumSpecimens,"00000"),
" {","ActionTypeCV:  ",CHAR(34),"Specimen analysis",CHAR(34),
", MethodObj: ",AU8,
", BeginDateTime:  ",CHAR(34),AV8,CHAR(34),
", BeginDateTimeUTCOffset:  ",CHAR(34),AW8,CHAR(34),
", EndDateTime:  """,
", EndDateTimeUTCOffset:  """,
", ActionDescription:  ",CHAR(34),"Action generated by Excel Template for ",TemplateProfile," v.",TemplateVersion,CHAR(34),
", ActionFileLink:  """,
,"}")))</f>
        <v xml:space="preserve">  - &amp;ActionID00282 {ActionTypeCV:  "Specimen analysis", MethodObj: *MethodID00001, BeginDateTime:  "2011-03-05 12:46:27", BeginDateTimeUTCOffset:  "-7", EndDateTime:  ", EndDateTimeUTCOffset:  ", ActionDescription:  "Action generated by Excel Template for Specimen v.0.1.0-alpha", ActionFileLink:  "}</v>
      </c>
      <c r="BA8" s="26" t="str">
        <f>IF(ROW()-3&gt;NumSpecimens,"",
CONCATENATE("  - &amp;FeatureActionID",TEXT(ROW()-3,"00000"),
" {","SamplingFeatureObj:  ",AP8,
", ActionObj:  *ActionID",TEXT(ROW()-3,"00000"),"}"))</f>
        <v xml:space="preserve">  - &amp;FeatureActionID00005 {SamplingFeatureObj:  *SamplingFeatureID00012, ActionObj:  *ActionID00005}</v>
      </c>
      <c r="BB8" s="26"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6" t="str">
        <f>IF(ROW()-3&gt;NumSpecimens,"",
IF(AO8="","",
CONCATENATE("  - {",
"ActionObj:  *ActionID",TEXT(ROW()-3,"00000"),
", AffiliationObj:  ",AO8,
", IsActionLead: TRUE",
", RoleDescription: """,
"}")))</f>
        <v xml:space="preserve">  - {ActionObj:  *ActionID00005, AffiliationObj:  *AffiliationID00001, IsActionLead: TRUE, RoleDescription: "}</v>
      </c>
      <c r="BD8" s="26" t="str">
        <f>IF(ROW()-3&gt;NumDataColumns*NumSpecimens,"",
IF(AT8="","",
IF(AX8="","",
CONCATENATE("  - {",
"ActionObj:  *ActionID",TEXT(ROW()-3+NumSpecimens,"00000"),
", AffiliationObj:  ",AX8,
", IsActionLead: TRUE",
", RoleDescription: """,
"}"))))</f>
        <v/>
      </c>
      <c r="BE8" s="26"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6"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6"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6"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6"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6"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6"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6"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6"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6"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6">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6"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v>
      </c>
      <c r="BT8" s="26" t="str">
        <f>IF(ROW()-3&gt;NumDataColumns*NumSpecimens,"",
IF(AT8="","",
CONCATENATE("  - {DatasetObj: *DatasetID00001, ",
"ResultObj: *ResultID",TEXT(ROW()-3,"00000"),
"}")))</f>
        <v xml:space="preserve">  - {DatasetObj: *DatasetID00001, ResultObj: *ResultID00005}</v>
      </c>
      <c r="BU8" s="26" t="str">
        <f>IF(BF8&lt;&gt;"Measurement","",
IF(AT8="","",
CONCATENATE("  - &amp;MeasurementResultID",TEXT(ROW()-3,"00000"),
" {","ResultObj: *ResultID",TEXT(ROW()-3,"00000"),
", XLocation:  """,
", XLocationUnitsObj:  ","",
", YLocation:  """,
", YLocationUnitsObj:  ","",
", ZLocation:  """,
", ZLocationUnitsObj:  ","",
", SpatialReferenceObj:  ","",
", CensorCodeCV: ",CHAR(34),BN8,CHAR(34),
", QualityCodeCV:  ",CHAR(34),BO8,CHAR(34),
", AggregationStatisticCV:  ",CHAR(34),BP8,CHAR(34),
", TimeAggregationInterval:  ",CHAR(34),BQ8,CHAR(34),
", TimeAggregationUnitsObj:  ",CHAR(34),BR8,CHAR(34),
"}")))</f>
        <v xml:space="preserve">  - &amp;MeasurementResultID00005 {ResultObj: *ResultID00005, XLocation:  ", XLocationUnitsObj:  , YLocation:  ", YLocationUnitsObj:  , ZLocation:  ", ZLocationUnitsObj:  , SpatialReferenceObj:  , CensorCodeCV: "Not censored", QualityCodeCV:  "Good", AggregationStatisticCV:  "Average", TimeAggregationInterval:  "0", TimeAggregationUnitsObj:  "sec"}</v>
      </c>
      <c r="BV8" s="26"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6" t="str">
        <f>IF(BF8="Measurement","",
IF(AT8="","",
CONCATENATE("  - &amp;CategoricalResultID",TEXT(ROW()-3,"00000"),
" {","ResultObj: *ResultID",TEXT(ROW()-3,"00000"),
", XLocation:  """,
", XLocationUnitsObj:  ","",
", YLocation:  """,
", YLocationUnitsObj:  ","",
", ZLocation:  """,
", ZLocationUnitsObj:  ","",
", SpatialReferenceObj:  ","",
", QualityCodeCV:  ",CHAR(34),BO8,CHAR(34),
"}")))</f>
        <v/>
      </c>
      <c r="BX8" s="26"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3428"/>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1192</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topLeftCell="A40" workbookViewId="0">
      <selection activeCell="O21" sqref="O21"/>
    </sheetView>
  </sheetViews>
  <sheetFormatPr defaultRowHeight="15" x14ac:dyDescent="0.25"/>
  <sheetData>
    <row r="1" spans="1:1" x14ac:dyDescent="0.25">
      <c r="A1" t="s">
        <v>134</v>
      </c>
    </row>
    <row r="2" spans="1:1" x14ac:dyDescent="0.25">
      <c r="A2" t="s">
        <v>1299</v>
      </c>
    </row>
    <row r="3" spans="1:1" x14ac:dyDescent="0.25">
      <c r="A3" t="s">
        <v>7594</v>
      </c>
    </row>
    <row r="4" spans="1:1" x14ac:dyDescent="0.25">
      <c r="A4" t="s">
        <v>1210</v>
      </c>
    </row>
    <row r="5" spans="1:1" x14ac:dyDescent="0.25">
      <c r="A5" t="s">
        <v>6109</v>
      </c>
    </row>
    <row r="6" spans="1:1" x14ac:dyDescent="0.25">
      <c r="A6" t="s">
        <v>177</v>
      </c>
    </row>
    <row r="7" spans="1:1" x14ac:dyDescent="0.25">
      <c r="A7" t="s">
        <v>1561</v>
      </c>
    </row>
    <row r="8" spans="1:1" x14ac:dyDescent="0.25">
      <c r="A8" t="s">
        <v>6110</v>
      </c>
    </row>
    <row r="9" spans="1:1" x14ac:dyDescent="0.25">
      <c r="A9" s="141" t="s">
        <v>1562</v>
      </c>
    </row>
    <row r="10" spans="1:1" x14ac:dyDescent="0.25">
      <c r="A10" t="s">
        <v>1563</v>
      </c>
    </row>
    <row r="11" spans="1:1" x14ac:dyDescent="0.25">
      <c r="A11" t="s">
        <v>1564</v>
      </c>
    </row>
    <row r="12" spans="1:1" x14ac:dyDescent="0.25">
      <c r="A12" t="s">
        <v>1565</v>
      </c>
    </row>
    <row r="13" spans="1:1" x14ac:dyDescent="0.25">
      <c r="A13" t="s">
        <v>1566</v>
      </c>
    </row>
    <row r="14" spans="1:1" x14ac:dyDescent="0.25">
      <c r="A14" t="s">
        <v>1567</v>
      </c>
    </row>
    <row r="15" spans="1:1" x14ac:dyDescent="0.25">
      <c r="A15" t="s">
        <v>1568</v>
      </c>
    </row>
    <row r="16" spans="1:1" x14ac:dyDescent="0.25">
      <c r="A16" t="s">
        <v>175</v>
      </c>
    </row>
    <row r="17" spans="1:1" x14ac:dyDescent="0.25">
      <c r="A17" t="s">
        <v>1569</v>
      </c>
    </row>
    <row r="18" spans="1:1" x14ac:dyDescent="0.25">
      <c r="A18" t="s">
        <v>1570</v>
      </c>
    </row>
    <row r="19" spans="1:1" x14ac:dyDescent="0.25">
      <c r="A19" t="s">
        <v>1571</v>
      </c>
    </row>
    <row r="20" spans="1:1" x14ac:dyDescent="0.25">
      <c r="A20" t="s">
        <v>1572</v>
      </c>
    </row>
    <row r="21" spans="1:1" x14ac:dyDescent="0.25">
      <c r="A21" t="s">
        <v>1573</v>
      </c>
    </row>
    <row r="22" spans="1:1" x14ac:dyDescent="0.25">
      <c r="A22" t="s">
        <v>1574</v>
      </c>
    </row>
    <row r="23" spans="1:1" x14ac:dyDescent="0.25">
      <c r="A23" t="s">
        <v>1575</v>
      </c>
    </row>
    <row r="24" spans="1:1" x14ac:dyDescent="0.25">
      <c r="A24" t="s">
        <v>1576</v>
      </c>
    </row>
    <row r="25" spans="1:1" x14ac:dyDescent="0.25">
      <c r="A25" t="s">
        <v>178</v>
      </c>
    </row>
    <row r="26" spans="1:1" x14ac:dyDescent="0.25">
      <c r="A26" t="s">
        <v>7595</v>
      </c>
    </row>
    <row r="27" spans="1:1" x14ac:dyDescent="0.25">
      <c r="A27" t="s">
        <v>7596</v>
      </c>
    </row>
    <row r="28" spans="1:1" x14ac:dyDescent="0.25">
      <c r="A28" t="s">
        <v>7597</v>
      </c>
    </row>
    <row r="29" spans="1:1" x14ac:dyDescent="0.25">
      <c r="A29" t="s">
        <v>7598</v>
      </c>
    </row>
    <row r="30" spans="1:1" x14ac:dyDescent="0.25">
      <c r="A30" t="s">
        <v>7599</v>
      </c>
    </row>
    <row r="31" spans="1:1" x14ac:dyDescent="0.25">
      <c r="A31" t="s">
        <v>7600</v>
      </c>
    </row>
    <row r="32" spans="1:1" x14ac:dyDescent="0.25">
      <c r="A32" t="s">
        <v>213</v>
      </c>
    </row>
    <row r="33" spans="1:1" x14ac:dyDescent="0.25">
      <c r="A33" t="s">
        <v>1577</v>
      </c>
    </row>
    <row r="34" spans="1:1" x14ac:dyDescent="0.25">
      <c r="A34" t="s">
        <v>214</v>
      </c>
    </row>
    <row r="35" spans="1:1" x14ac:dyDescent="0.25">
      <c r="A35" t="s">
        <v>6111</v>
      </c>
    </row>
    <row r="36" spans="1:1" x14ac:dyDescent="0.25">
      <c r="A36" t="s">
        <v>6112</v>
      </c>
    </row>
    <row r="37" spans="1:1" x14ac:dyDescent="0.25">
      <c r="A37" t="s">
        <v>6113</v>
      </c>
    </row>
    <row r="38" spans="1:1" x14ac:dyDescent="0.25">
      <c r="A38" t="s">
        <v>6114</v>
      </c>
    </row>
    <row r="39" spans="1:1" x14ac:dyDescent="0.25">
      <c r="A39" t="s">
        <v>6115</v>
      </c>
    </row>
    <row r="40" spans="1:1" x14ac:dyDescent="0.25">
      <c r="A40" t="s">
        <v>6116</v>
      </c>
    </row>
    <row r="41" spans="1:1" x14ac:dyDescent="0.25">
      <c r="A41" t="s">
        <v>6117</v>
      </c>
    </row>
    <row r="42" spans="1:1" x14ac:dyDescent="0.25">
      <c r="A42" t="s">
        <v>9119</v>
      </c>
    </row>
    <row r="43" spans="1:1" x14ac:dyDescent="0.25">
      <c r="A43" t="s">
        <v>9120</v>
      </c>
    </row>
    <row r="44" spans="1:1" x14ac:dyDescent="0.25">
      <c r="A44" t="s">
        <v>9121</v>
      </c>
    </row>
    <row r="45" spans="1:1" x14ac:dyDescent="0.25">
      <c r="A45" t="s">
        <v>9122</v>
      </c>
    </row>
    <row r="46" spans="1:1" x14ac:dyDescent="0.25">
      <c r="A46" t="s">
        <v>9123</v>
      </c>
    </row>
    <row r="47" spans="1:1" x14ac:dyDescent="0.25">
      <c r="A47" t="s">
        <v>9124</v>
      </c>
    </row>
    <row r="48" spans="1:1" x14ac:dyDescent="0.25">
      <c r="A48" t="s">
        <v>9125</v>
      </c>
    </row>
    <row r="49" spans="1:1" x14ac:dyDescent="0.25">
      <c r="A49" t="s">
        <v>9126</v>
      </c>
    </row>
    <row r="50" spans="1:1" x14ac:dyDescent="0.25">
      <c r="A50" t="s">
        <v>9127</v>
      </c>
    </row>
    <row r="51" spans="1:1" x14ac:dyDescent="0.25">
      <c r="A51" t="s">
        <v>9128</v>
      </c>
    </row>
    <row r="52" spans="1:1" x14ac:dyDescent="0.25">
      <c r="A52" t="s">
        <v>9129</v>
      </c>
    </row>
    <row r="53" spans="1:1" x14ac:dyDescent="0.25">
      <c r="A53" t="s">
        <v>9130</v>
      </c>
    </row>
    <row r="54" spans="1:1" x14ac:dyDescent="0.25">
      <c r="A54" t="s">
        <v>9131</v>
      </c>
    </row>
    <row r="55" spans="1:1" x14ac:dyDescent="0.25">
      <c r="A55" t="s">
        <v>9132</v>
      </c>
    </row>
    <row r="56" spans="1:1" x14ac:dyDescent="0.25">
      <c r="A56" t="s">
        <v>9133</v>
      </c>
    </row>
    <row r="57" spans="1:1" x14ac:dyDescent="0.25">
      <c r="A57" t="s">
        <v>9134</v>
      </c>
    </row>
    <row r="58" spans="1:1" x14ac:dyDescent="0.25">
      <c r="A58" t="s">
        <v>9135</v>
      </c>
    </row>
    <row r="59" spans="1:1" x14ac:dyDescent="0.25">
      <c r="A59" t="s">
        <v>9136</v>
      </c>
    </row>
    <row r="60" spans="1:1" x14ac:dyDescent="0.25">
      <c r="A60" t="s">
        <v>9137</v>
      </c>
    </row>
    <row r="61" spans="1:1" x14ac:dyDescent="0.25">
      <c r="A61" t="s">
        <v>9138</v>
      </c>
    </row>
    <row r="62" spans="1:1" x14ac:dyDescent="0.25">
      <c r="A62" t="s">
        <v>9139</v>
      </c>
    </row>
    <row r="63" spans="1:1" x14ac:dyDescent="0.25">
      <c r="A63" t="s">
        <v>9140</v>
      </c>
    </row>
    <row r="64" spans="1:1" x14ac:dyDescent="0.25">
      <c r="A64" t="s">
        <v>9141</v>
      </c>
    </row>
    <row r="65" spans="1:1" x14ac:dyDescent="0.25">
      <c r="A65" t="s">
        <v>9142</v>
      </c>
    </row>
    <row r="66" spans="1:1" x14ac:dyDescent="0.25">
      <c r="A66" t="s">
        <v>9143</v>
      </c>
    </row>
    <row r="67" spans="1:1" x14ac:dyDescent="0.25">
      <c r="A67" t="s">
        <v>9144</v>
      </c>
    </row>
    <row r="68" spans="1:1" x14ac:dyDescent="0.25">
      <c r="A68" t="s">
        <v>9145</v>
      </c>
    </row>
    <row r="69" spans="1:1" x14ac:dyDescent="0.25">
      <c r="A69" t="s">
        <v>9146</v>
      </c>
    </row>
    <row r="70" spans="1:1" x14ac:dyDescent="0.25">
      <c r="A70" t="s">
        <v>9147</v>
      </c>
    </row>
    <row r="71" spans="1:1" x14ac:dyDescent="0.25">
      <c r="A71" t="s">
        <v>9148</v>
      </c>
    </row>
    <row r="72" spans="1:1" x14ac:dyDescent="0.25">
      <c r="A72" t="s">
        <v>9149</v>
      </c>
    </row>
    <row r="73" spans="1:1" x14ac:dyDescent="0.25">
      <c r="A73" t="s">
        <v>9150</v>
      </c>
    </row>
    <row r="74" spans="1:1" x14ac:dyDescent="0.25">
      <c r="A74" t="s">
        <v>9151</v>
      </c>
    </row>
    <row r="75" spans="1:1" x14ac:dyDescent="0.25">
      <c r="A75" t="s">
        <v>9152</v>
      </c>
    </row>
    <row r="76" spans="1:1" x14ac:dyDescent="0.25">
      <c r="A76" t="s">
        <v>9153</v>
      </c>
    </row>
    <row r="77" spans="1:1" x14ac:dyDescent="0.25">
      <c r="A77" t="s">
        <v>9154</v>
      </c>
    </row>
    <row r="78" spans="1:1" x14ac:dyDescent="0.25">
      <c r="A78" t="s">
        <v>9155</v>
      </c>
    </row>
    <row r="79" spans="1:1" x14ac:dyDescent="0.25">
      <c r="A79" t="s">
        <v>9156</v>
      </c>
    </row>
    <row r="80" spans="1:1" x14ac:dyDescent="0.25">
      <c r="A80" t="s">
        <v>9157</v>
      </c>
    </row>
    <row r="81" spans="1:1" x14ac:dyDescent="0.25">
      <c r="A81" t="s">
        <v>9158</v>
      </c>
    </row>
    <row r="82" spans="1:1" x14ac:dyDescent="0.25">
      <c r="A82" t="s">
        <v>9159</v>
      </c>
    </row>
    <row r="83" spans="1:1" x14ac:dyDescent="0.25">
      <c r="A83" t="s">
        <v>9160</v>
      </c>
    </row>
    <row r="84" spans="1:1" x14ac:dyDescent="0.25">
      <c r="A84" t="s">
        <v>9161</v>
      </c>
    </row>
    <row r="85" spans="1:1" x14ac:dyDescent="0.25">
      <c r="A85" t="s">
        <v>9162</v>
      </c>
    </row>
    <row r="86" spans="1:1" x14ac:dyDescent="0.25">
      <c r="A86" t="s">
        <v>9163</v>
      </c>
    </row>
    <row r="87" spans="1:1" x14ac:dyDescent="0.25">
      <c r="A87" t="s">
        <v>9164</v>
      </c>
    </row>
    <row r="88" spans="1:1" x14ac:dyDescent="0.25">
      <c r="A88" t="s">
        <v>9165</v>
      </c>
    </row>
    <row r="89" spans="1:1" x14ac:dyDescent="0.25">
      <c r="A89" t="s">
        <v>9166</v>
      </c>
    </row>
    <row r="90" spans="1:1" x14ac:dyDescent="0.25">
      <c r="A90" t="s">
        <v>9167</v>
      </c>
    </row>
    <row r="91" spans="1:1" x14ac:dyDescent="0.25">
      <c r="A91" t="s">
        <v>9168</v>
      </c>
    </row>
    <row r="92" spans="1:1" x14ac:dyDescent="0.25">
      <c r="A92" t="s">
        <v>9169</v>
      </c>
    </row>
    <row r="93" spans="1:1" x14ac:dyDescent="0.25">
      <c r="A93" t="s">
        <v>9170</v>
      </c>
    </row>
    <row r="94" spans="1:1" x14ac:dyDescent="0.25">
      <c r="A94" t="s">
        <v>9171</v>
      </c>
    </row>
    <row r="95" spans="1:1" x14ac:dyDescent="0.25">
      <c r="A95" t="s">
        <v>9172</v>
      </c>
    </row>
    <row r="96" spans="1:1" x14ac:dyDescent="0.25">
      <c r="A96" t="s">
        <v>9173</v>
      </c>
    </row>
    <row r="97" spans="1:1" x14ac:dyDescent="0.25">
      <c r="A97" t="s">
        <v>9174</v>
      </c>
    </row>
    <row r="98" spans="1:1" x14ac:dyDescent="0.25">
      <c r="A98" t="s">
        <v>9175</v>
      </c>
    </row>
    <row r="99" spans="1:1" x14ac:dyDescent="0.25">
      <c r="A99" t="s">
        <v>9176</v>
      </c>
    </row>
    <row r="100" spans="1:1" x14ac:dyDescent="0.25">
      <c r="A100" t="s">
        <v>9177</v>
      </c>
    </row>
    <row r="101" spans="1:1" x14ac:dyDescent="0.25">
      <c r="A101" t="s">
        <v>9178</v>
      </c>
    </row>
    <row r="102" spans="1:1" x14ac:dyDescent="0.25">
      <c r="A102" t="s">
        <v>9179</v>
      </c>
    </row>
    <row r="103" spans="1:1" x14ac:dyDescent="0.25">
      <c r="A103" t="s">
        <v>9180</v>
      </c>
    </row>
    <row r="104" spans="1:1" x14ac:dyDescent="0.25">
      <c r="A104" t="s">
        <v>9181</v>
      </c>
    </row>
    <row r="105" spans="1:1" x14ac:dyDescent="0.25">
      <c r="A105" t="s">
        <v>9182</v>
      </c>
    </row>
    <row r="106" spans="1:1" x14ac:dyDescent="0.25">
      <c r="A106" t="s">
        <v>9183</v>
      </c>
    </row>
    <row r="107" spans="1:1" x14ac:dyDescent="0.25">
      <c r="A107" t="s">
        <v>9184</v>
      </c>
    </row>
    <row r="108" spans="1:1" x14ac:dyDescent="0.25">
      <c r="A108" t="s">
        <v>9185</v>
      </c>
    </row>
    <row r="109" spans="1:1" x14ac:dyDescent="0.25">
      <c r="A109" t="s">
        <v>9186</v>
      </c>
    </row>
    <row r="110" spans="1:1" x14ac:dyDescent="0.25">
      <c r="A110" t="s">
        <v>9187</v>
      </c>
    </row>
    <row r="111" spans="1:1" x14ac:dyDescent="0.25">
      <c r="A111" t="s">
        <v>9188</v>
      </c>
    </row>
    <row r="112" spans="1:1" x14ac:dyDescent="0.25">
      <c r="A112" t="s">
        <v>9189</v>
      </c>
    </row>
    <row r="113" spans="1:1" x14ac:dyDescent="0.25">
      <c r="A113" t="s">
        <v>9190</v>
      </c>
    </row>
    <row r="114" spans="1:1" x14ac:dyDescent="0.25">
      <c r="A114" t="s">
        <v>9191</v>
      </c>
    </row>
    <row r="115" spans="1:1" x14ac:dyDescent="0.25">
      <c r="A115" t="s">
        <v>9192</v>
      </c>
    </row>
    <row r="116" spans="1:1" x14ac:dyDescent="0.25">
      <c r="A116" t="s">
        <v>9193</v>
      </c>
    </row>
    <row r="117" spans="1:1" x14ac:dyDescent="0.25">
      <c r="A117" t="s">
        <v>9194</v>
      </c>
    </row>
    <row r="118" spans="1:1" x14ac:dyDescent="0.25">
      <c r="A118" t="s">
        <v>9195</v>
      </c>
    </row>
    <row r="119" spans="1:1" x14ac:dyDescent="0.25">
      <c r="A119" t="s">
        <v>9196</v>
      </c>
    </row>
    <row r="120" spans="1:1" x14ac:dyDescent="0.25">
      <c r="A120" t="s">
        <v>9197</v>
      </c>
    </row>
    <row r="121" spans="1:1" x14ac:dyDescent="0.25">
      <c r="A121" t="s">
        <v>9198</v>
      </c>
    </row>
    <row r="122" spans="1:1" x14ac:dyDescent="0.25">
      <c r="A122" t="s">
        <v>9199</v>
      </c>
    </row>
    <row r="123" spans="1:1" x14ac:dyDescent="0.25">
      <c r="A123" t="s">
        <v>9200</v>
      </c>
    </row>
    <row r="124" spans="1:1" x14ac:dyDescent="0.25">
      <c r="A124" t="s">
        <v>9201</v>
      </c>
    </row>
    <row r="125" spans="1:1" x14ac:dyDescent="0.25">
      <c r="A125" t="s">
        <v>9202</v>
      </c>
    </row>
    <row r="126" spans="1:1" x14ac:dyDescent="0.25">
      <c r="A126" t="s">
        <v>9203</v>
      </c>
    </row>
    <row r="127" spans="1:1" x14ac:dyDescent="0.25">
      <c r="A127" t="s">
        <v>9204</v>
      </c>
    </row>
    <row r="128" spans="1:1" x14ac:dyDescent="0.25">
      <c r="A128" t="s">
        <v>9205</v>
      </c>
    </row>
    <row r="129" spans="1:1" x14ac:dyDescent="0.25">
      <c r="A129" t="s">
        <v>9206</v>
      </c>
    </row>
    <row r="130" spans="1:1" x14ac:dyDescent="0.25">
      <c r="A130" t="s">
        <v>9207</v>
      </c>
    </row>
    <row r="131" spans="1:1" x14ac:dyDescent="0.25">
      <c r="A131" t="s">
        <v>9208</v>
      </c>
    </row>
    <row r="132" spans="1:1" x14ac:dyDescent="0.25">
      <c r="A132" t="s">
        <v>9209</v>
      </c>
    </row>
    <row r="133" spans="1:1" x14ac:dyDescent="0.25">
      <c r="A133" t="s">
        <v>9210</v>
      </c>
    </row>
    <row r="134" spans="1:1" x14ac:dyDescent="0.25">
      <c r="A134" t="s">
        <v>9211</v>
      </c>
    </row>
    <row r="135" spans="1:1" x14ac:dyDescent="0.25">
      <c r="A135" t="s">
        <v>9212</v>
      </c>
    </row>
    <row r="136" spans="1:1" x14ac:dyDescent="0.25">
      <c r="A136" t="s">
        <v>9213</v>
      </c>
    </row>
    <row r="137" spans="1:1" x14ac:dyDescent="0.25">
      <c r="A137" t="s">
        <v>9214</v>
      </c>
    </row>
    <row r="138" spans="1:1" x14ac:dyDescent="0.25">
      <c r="A138" t="s">
        <v>9215</v>
      </c>
    </row>
    <row r="139" spans="1:1" x14ac:dyDescent="0.25">
      <c r="A139" t="s">
        <v>9216</v>
      </c>
    </row>
    <row r="140" spans="1:1" x14ac:dyDescent="0.25">
      <c r="A140" t="s">
        <v>9217</v>
      </c>
    </row>
    <row r="141" spans="1:1" x14ac:dyDescent="0.25">
      <c r="A141" t="s">
        <v>9218</v>
      </c>
    </row>
    <row r="142" spans="1:1" x14ac:dyDescent="0.25">
      <c r="A142" t="s">
        <v>9219</v>
      </c>
    </row>
    <row r="143" spans="1:1" x14ac:dyDescent="0.25">
      <c r="A143" t="s">
        <v>9220</v>
      </c>
    </row>
    <row r="144" spans="1:1" x14ac:dyDescent="0.25">
      <c r="A144" t="s">
        <v>9221</v>
      </c>
    </row>
    <row r="145" spans="1:1" x14ac:dyDescent="0.25">
      <c r="A145" t="s">
        <v>9222</v>
      </c>
    </row>
    <row r="146" spans="1:1" x14ac:dyDescent="0.25">
      <c r="A146" t="s">
        <v>9223</v>
      </c>
    </row>
    <row r="147" spans="1:1" x14ac:dyDescent="0.25">
      <c r="A147" t="s">
        <v>9224</v>
      </c>
    </row>
    <row r="148" spans="1:1" x14ac:dyDescent="0.25">
      <c r="A148" t="s">
        <v>9225</v>
      </c>
    </row>
    <row r="149" spans="1:1" x14ac:dyDescent="0.25">
      <c r="A149" t="s">
        <v>9226</v>
      </c>
    </row>
    <row r="150" spans="1:1" x14ac:dyDescent="0.25">
      <c r="A150" t="s">
        <v>9227</v>
      </c>
    </row>
    <row r="151" spans="1:1" x14ac:dyDescent="0.25">
      <c r="A151" t="s">
        <v>9228</v>
      </c>
    </row>
    <row r="152" spans="1:1" x14ac:dyDescent="0.25">
      <c r="A152" t="s">
        <v>9229</v>
      </c>
    </row>
    <row r="153" spans="1:1" x14ac:dyDescent="0.25">
      <c r="A153" t="s">
        <v>9230</v>
      </c>
    </row>
    <row r="154" spans="1:1" x14ac:dyDescent="0.25">
      <c r="A154" t="s">
        <v>9231</v>
      </c>
    </row>
    <row r="155" spans="1:1" x14ac:dyDescent="0.25">
      <c r="A155" t="s">
        <v>9232</v>
      </c>
    </row>
    <row r="156" spans="1:1" x14ac:dyDescent="0.25">
      <c r="A156" t="s">
        <v>9233</v>
      </c>
    </row>
    <row r="157" spans="1:1" x14ac:dyDescent="0.25">
      <c r="A157" t="s">
        <v>9234</v>
      </c>
    </row>
    <row r="158" spans="1:1" x14ac:dyDescent="0.25">
      <c r="A158" t="s">
        <v>9235</v>
      </c>
    </row>
    <row r="159" spans="1:1" x14ac:dyDescent="0.25">
      <c r="A159" t="s">
        <v>9236</v>
      </c>
    </row>
    <row r="160" spans="1:1" x14ac:dyDescent="0.25">
      <c r="A160" t="s">
        <v>9237</v>
      </c>
    </row>
    <row r="161" spans="1:1" x14ac:dyDescent="0.25">
      <c r="A161" t="s">
        <v>9238</v>
      </c>
    </row>
    <row r="162" spans="1:1" x14ac:dyDescent="0.25">
      <c r="A162" t="s">
        <v>9239</v>
      </c>
    </row>
    <row r="163" spans="1:1" x14ac:dyDescent="0.25">
      <c r="A163" t="s">
        <v>9240</v>
      </c>
    </row>
    <row r="164" spans="1:1" x14ac:dyDescent="0.25">
      <c r="A164" t="s">
        <v>9241</v>
      </c>
    </row>
    <row r="165" spans="1:1" x14ac:dyDescent="0.25">
      <c r="A165" t="s">
        <v>9242</v>
      </c>
    </row>
    <row r="166" spans="1:1" x14ac:dyDescent="0.25">
      <c r="A166" t="s">
        <v>9243</v>
      </c>
    </row>
    <row r="167" spans="1:1" x14ac:dyDescent="0.25">
      <c r="A167" t="s">
        <v>9244</v>
      </c>
    </row>
    <row r="168" spans="1:1" x14ac:dyDescent="0.25">
      <c r="A168" t="s">
        <v>9245</v>
      </c>
    </row>
    <row r="169" spans="1:1" x14ac:dyDescent="0.25">
      <c r="A169" t="s">
        <v>9246</v>
      </c>
    </row>
    <row r="170" spans="1:1" x14ac:dyDescent="0.25">
      <c r="A170" t="s">
        <v>9247</v>
      </c>
    </row>
    <row r="171" spans="1:1" x14ac:dyDescent="0.25">
      <c r="A171" t="s">
        <v>9248</v>
      </c>
    </row>
    <row r="172" spans="1:1" x14ac:dyDescent="0.25">
      <c r="A172" t="s">
        <v>9249</v>
      </c>
    </row>
    <row r="173" spans="1:1" x14ac:dyDescent="0.25">
      <c r="A173" t="s">
        <v>9250</v>
      </c>
    </row>
    <row r="174" spans="1:1" x14ac:dyDescent="0.25">
      <c r="A174" t="s">
        <v>9251</v>
      </c>
    </row>
    <row r="175" spans="1:1" x14ac:dyDescent="0.25">
      <c r="A175" t="s">
        <v>9252</v>
      </c>
    </row>
    <row r="176" spans="1:1" x14ac:dyDescent="0.25">
      <c r="A176" t="s">
        <v>9253</v>
      </c>
    </row>
    <row r="177" spans="1:1" x14ac:dyDescent="0.25">
      <c r="A177" t="s">
        <v>9254</v>
      </c>
    </row>
    <row r="178" spans="1:1" x14ac:dyDescent="0.25">
      <c r="A178" t="s">
        <v>9255</v>
      </c>
    </row>
    <row r="179" spans="1:1" x14ac:dyDescent="0.25">
      <c r="A179" t="s">
        <v>9256</v>
      </c>
    </row>
    <row r="180" spans="1:1" x14ac:dyDescent="0.25">
      <c r="A180" t="s">
        <v>9257</v>
      </c>
    </row>
    <row r="181" spans="1:1" x14ac:dyDescent="0.25">
      <c r="A181" t="s">
        <v>9258</v>
      </c>
    </row>
    <row r="182" spans="1:1" x14ac:dyDescent="0.25">
      <c r="A182" t="s">
        <v>9259</v>
      </c>
    </row>
    <row r="183" spans="1:1" x14ac:dyDescent="0.25">
      <c r="A183" t="s">
        <v>9260</v>
      </c>
    </row>
    <row r="184" spans="1:1" x14ac:dyDescent="0.25">
      <c r="A184" t="s">
        <v>9261</v>
      </c>
    </row>
    <row r="185" spans="1:1" x14ac:dyDescent="0.25">
      <c r="A185" t="s">
        <v>9262</v>
      </c>
    </row>
    <row r="186" spans="1:1" x14ac:dyDescent="0.25">
      <c r="A186" t="s">
        <v>9263</v>
      </c>
    </row>
    <row r="187" spans="1:1" x14ac:dyDescent="0.25">
      <c r="A187" t="s">
        <v>9264</v>
      </c>
    </row>
    <row r="188" spans="1:1" x14ac:dyDescent="0.25">
      <c r="A188" t="s">
        <v>9265</v>
      </c>
    </row>
    <row r="189" spans="1:1" x14ac:dyDescent="0.25">
      <c r="A189" t="s">
        <v>9266</v>
      </c>
    </row>
    <row r="190" spans="1:1" x14ac:dyDescent="0.25">
      <c r="A190" t="s">
        <v>9267</v>
      </c>
    </row>
    <row r="191" spans="1:1" x14ac:dyDescent="0.25">
      <c r="A191" t="s">
        <v>9268</v>
      </c>
    </row>
    <row r="192" spans="1:1" x14ac:dyDescent="0.25">
      <c r="A192" t="s">
        <v>9269</v>
      </c>
    </row>
    <row r="193" spans="1:1" x14ac:dyDescent="0.25">
      <c r="A193" t="s">
        <v>9270</v>
      </c>
    </row>
    <row r="194" spans="1:1" x14ac:dyDescent="0.25">
      <c r="A194" t="s">
        <v>9271</v>
      </c>
    </row>
    <row r="195" spans="1:1" x14ac:dyDescent="0.25">
      <c r="A195" t="s">
        <v>9272</v>
      </c>
    </row>
    <row r="196" spans="1:1" x14ac:dyDescent="0.25">
      <c r="A196" t="s">
        <v>9273</v>
      </c>
    </row>
    <row r="197" spans="1:1" x14ac:dyDescent="0.25">
      <c r="A197" t="s">
        <v>9274</v>
      </c>
    </row>
    <row r="198" spans="1:1" x14ac:dyDescent="0.25">
      <c r="A198" t="s">
        <v>9275</v>
      </c>
    </row>
    <row r="199" spans="1:1" x14ac:dyDescent="0.25">
      <c r="A199" t="s">
        <v>9276</v>
      </c>
    </row>
    <row r="200" spans="1:1" x14ac:dyDescent="0.25">
      <c r="A200" t="s">
        <v>9277</v>
      </c>
    </row>
    <row r="201" spans="1:1" x14ac:dyDescent="0.25">
      <c r="A201" t="s">
        <v>9278</v>
      </c>
    </row>
    <row r="202" spans="1:1" x14ac:dyDescent="0.25">
      <c r="A202" t="s">
        <v>9279</v>
      </c>
    </row>
    <row r="203" spans="1:1" x14ac:dyDescent="0.25">
      <c r="A203" t="s">
        <v>9280</v>
      </c>
    </row>
    <row r="204" spans="1:1" x14ac:dyDescent="0.25">
      <c r="A204" t="s">
        <v>9281</v>
      </c>
    </row>
    <row r="205" spans="1:1" x14ac:dyDescent="0.25">
      <c r="A205" t="s">
        <v>9282</v>
      </c>
    </row>
    <row r="206" spans="1:1" x14ac:dyDescent="0.25">
      <c r="A206" t="s">
        <v>9283</v>
      </c>
    </row>
    <row r="207" spans="1:1" x14ac:dyDescent="0.25">
      <c r="A207" t="s">
        <v>9284</v>
      </c>
    </row>
    <row r="208" spans="1:1" x14ac:dyDescent="0.25">
      <c r="A208" t="s">
        <v>9285</v>
      </c>
    </row>
    <row r="209" spans="1:1" x14ac:dyDescent="0.25">
      <c r="A209" t="s">
        <v>9286</v>
      </c>
    </row>
    <row r="210" spans="1:1" x14ac:dyDescent="0.25">
      <c r="A210" t="s">
        <v>9287</v>
      </c>
    </row>
    <row r="211" spans="1:1" x14ac:dyDescent="0.25">
      <c r="A211" t="s">
        <v>9288</v>
      </c>
    </row>
    <row r="212" spans="1:1" x14ac:dyDescent="0.25">
      <c r="A212" t="s">
        <v>9289</v>
      </c>
    </row>
    <row r="213" spans="1:1" x14ac:dyDescent="0.25">
      <c r="A213" t="s">
        <v>9290</v>
      </c>
    </row>
    <row r="214" spans="1:1" x14ac:dyDescent="0.25">
      <c r="A214" t="s">
        <v>9291</v>
      </c>
    </row>
    <row r="215" spans="1:1" x14ac:dyDescent="0.25">
      <c r="A215" t="s">
        <v>9292</v>
      </c>
    </row>
    <row r="216" spans="1:1" x14ac:dyDescent="0.25">
      <c r="A216" t="s">
        <v>9293</v>
      </c>
    </row>
    <row r="217" spans="1:1" x14ac:dyDescent="0.25">
      <c r="A217" t="s">
        <v>9294</v>
      </c>
    </row>
    <row r="218" spans="1:1" x14ac:dyDescent="0.25">
      <c r="A218" t="s">
        <v>9295</v>
      </c>
    </row>
    <row r="219" spans="1:1" x14ac:dyDescent="0.25">
      <c r="A219" t="s">
        <v>9296</v>
      </c>
    </row>
    <row r="220" spans="1:1" x14ac:dyDescent="0.25">
      <c r="A220" t="s">
        <v>9297</v>
      </c>
    </row>
    <row r="221" spans="1:1" x14ac:dyDescent="0.25">
      <c r="A221" t="s">
        <v>9298</v>
      </c>
    </row>
    <row r="222" spans="1:1" x14ac:dyDescent="0.25">
      <c r="A222" t="s">
        <v>9299</v>
      </c>
    </row>
    <row r="223" spans="1:1" x14ac:dyDescent="0.25">
      <c r="A223" t="s">
        <v>9300</v>
      </c>
    </row>
    <row r="224" spans="1:1" x14ac:dyDescent="0.25">
      <c r="A224" t="s">
        <v>9301</v>
      </c>
    </row>
    <row r="225" spans="1:1" x14ac:dyDescent="0.25">
      <c r="A225" t="s">
        <v>9302</v>
      </c>
    </row>
    <row r="226" spans="1:1" x14ac:dyDescent="0.25">
      <c r="A226" t="s">
        <v>9303</v>
      </c>
    </row>
    <row r="227" spans="1:1" x14ac:dyDescent="0.25">
      <c r="A227" t="s">
        <v>9304</v>
      </c>
    </row>
    <row r="228" spans="1:1" x14ac:dyDescent="0.25">
      <c r="A228" t="s">
        <v>9305</v>
      </c>
    </row>
    <row r="229" spans="1:1" x14ac:dyDescent="0.25">
      <c r="A229" t="s">
        <v>9306</v>
      </c>
    </row>
    <row r="230" spans="1:1" x14ac:dyDescent="0.25">
      <c r="A230" t="s">
        <v>9307</v>
      </c>
    </row>
    <row r="231" spans="1:1" x14ac:dyDescent="0.25">
      <c r="A231" t="s">
        <v>9308</v>
      </c>
    </row>
    <row r="232" spans="1:1" x14ac:dyDescent="0.25">
      <c r="A232" t="s">
        <v>9309</v>
      </c>
    </row>
    <row r="233" spans="1:1" x14ac:dyDescent="0.25">
      <c r="A233" t="s">
        <v>9310</v>
      </c>
    </row>
    <row r="234" spans="1:1" x14ac:dyDescent="0.25">
      <c r="A234" t="s">
        <v>9311</v>
      </c>
    </row>
    <row r="235" spans="1:1" x14ac:dyDescent="0.25">
      <c r="A235" t="s">
        <v>9312</v>
      </c>
    </row>
    <row r="236" spans="1:1" x14ac:dyDescent="0.25">
      <c r="A236" t="s">
        <v>9313</v>
      </c>
    </row>
    <row r="237" spans="1:1" x14ac:dyDescent="0.25">
      <c r="A237" t="s">
        <v>9314</v>
      </c>
    </row>
    <row r="238" spans="1:1" x14ac:dyDescent="0.25">
      <c r="A238" t="s">
        <v>9315</v>
      </c>
    </row>
    <row r="239" spans="1:1" x14ac:dyDescent="0.25">
      <c r="A239" t="s">
        <v>9316</v>
      </c>
    </row>
    <row r="240" spans="1:1" x14ac:dyDescent="0.25">
      <c r="A240" t="s">
        <v>9317</v>
      </c>
    </row>
    <row r="241" spans="1:1" x14ac:dyDescent="0.25">
      <c r="A241" t="s">
        <v>9318</v>
      </c>
    </row>
    <row r="242" spans="1:1" x14ac:dyDescent="0.25">
      <c r="A242" t="s">
        <v>9319</v>
      </c>
    </row>
    <row r="243" spans="1:1" x14ac:dyDescent="0.25">
      <c r="A243" t="s">
        <v>9320</v>
      </c>
    </row>
    <row r="244" spans="1:1" x14ac:dyDescent="0.25">
      <c r="A244" t="s">
        <v>9321</v>
      </c>
    </row>
    <row r="245" spans="1:1" x14ac:dyDescent="0.25">
      <c r="A245" t="s">
        <v>9322</v>
      </c>
    </row>
    <row r="246" spans="1:1" x14ac:dyDescent="0.25">
      <c r="A246" t="s">
        <v>9323</v>
      </c>
    </row>
    <row r="247" spans="1:1" x14ac:dyDescent="0.25">
      <c r="A247" t="s">
        <v>9324</v>
      </c>
    </row>
    <row r="248" spans="1:1" x14ac:dyDescent="0.25">
      <c r="A248" t="s">
        <v>9325</v>
      </c>
    </row>
    <row r="249" spans="1:1" x14ac:dyDescent="0.25">
      <c r="A249" t="s">
        <v>9326</v>
      </c>
    </row>
    <row r="250" spans="1:1" x14ac:dyDescent="0.25">
      <c r="A250" t="s">
        <v>9327</v>
      </c>
    </row>
    <row r="251" spans="1:1" x14ac:dyDescent="0.25">
      <c r="A251" t="s">
        <v>9328</v>
      </c>
    </row>
    <row r="252" spans="1:1" x14ac:dyDescent="0.25">
      <c r="A252" t="s">
        <v>9329</v>
      </c>
    </row>
    <row r="253" spans="1:1" x14ac:dyDescent="0.25">
      <c r="A253" t="s">
        <v>9330</v>
      </c>
    </row>
    <row r="254" spans="1:1" x14ac:dyDescent="0.25">
      <c r="A254" t="s">
        <v>9331</v>
      </c>
    </row>
    <row r="255" spans="1:1" x14ac:dyDescent="0.25">
      <c r="A255" t="s">
        <v>9332</v>
      </c>
    </row>
    <row r="256" spans="1:1" x14ac:dyDescent="0.25">
      <c r="A256" t="s">
        <v>9333</v>
      </c>
    </row>
    <row r="257" spans="1:1" x14ac:dyDescent="0.25">
      <c r="A257" t="s">
        <v>9334</v>
      </c>
    </row>
    <row r="258" spans="1:1" x14ac:dyDescent="0.25">
      <c r="A258" t="s">
        <v>9335</v>
      </c>
    </row>
    <row r="259" spans="1:1" x14ac:dyDescent="0.25">
      <c r="A259" t="s">
        <v>9336</v>
      </c>
    </row>
    <row r="260" spans="1:1" x14ac:dyDescent="0.25">
      <c r="A260" t="s">
        <v>9337</v>
      </c>
    </row>
    <row r="261" spans="1:1" x14ac:dyDescent="0.25">
      <c r="A261" t="s">
        <v>9338</v>
      </c>
    </row>
    <row r="262" spans="1:1" x14ac:dyDescent="0.25">
      <c r="A262" t="s">
        <v>9339</v>
      </c>
    </row>
    <row r="263" spans="1:1" x14ac:dyDescent="0.25">
      <c r="A263" t="s">
        <v>9340</v>
      </c>
    </row>
    <row r="264" spans="1:1" x14ac:dyDescent="0.25">
      <c r="A264" t="s">
        <v>9341</v>
      </c>
    </row>
    <row r="265" spans="1:1" x14ac:dyDescent="0.25">
      <c r="A265" t="s">
        <v>9342</v>
      </c>
    </row>
    <row r="266" spans="1:1" x14ac:dyDescent="0.25">
      <c r="A266" t="s">
        <v>9343</v>
      </c>
    </row>
    <row r="267" spans="1:1" x14ac:dyDescent="0.25">
      <c r="A267" t="s">
        <v>9344</v>
      </c>
    </row>
    <row r="268" spans="1:1" x14ac:dyDescent="0.25">
      <c r="A268" t="s">
        <v>9345</v>
      </c>
    </row>
    <row r="269" spans="1:1" x14ac:dyDescent="0.25">
      <c r="A269" t="s">
        <v>9346</v>
      </c>
    </row>
    <row r="270" spans="1:1" x14ac:dyDescent="0.25">
      <c r="A270" t="s">
        <v>9347</v>
      </c>
    </row>
    <row r="271" spans="1:1" x14ac:dyDescent="0.25">
      <c r="A271" t="s">
        <v>9348</v>
      </c>
    </row>
    <row r="272" spans="1:1" x14ac:dyDescent="0.25">
      <c r="A272" t="s">
        <v>9349</v>
      </c>
    </row>
    <row r="273" spans="1:1" x14ac:dyDescent="0.25">
      <c r="A273" t="s">
        <v>9350</v>
      </c>
    </row>
    <row r="274" spans="1:1" x14ac:dyDescent="0.25">
      <c r="A274" t="s">
        <v>9351</v>
      </c>
    </row>
    <row r="275" spans="1:1" x14ac:dyDescent="0.25">
      <c r="A275" t="s">
        <v>9352</v>
      </c>
    </row>
    <row r="276" spans="1:1" x14ac:dyDescent="0.25">
      <c r="A276" t="s">
        <v>9353</v>
      </c>
    </row>
    <row r="277" spans="1:1" x14ac:dyDescent="0.25">
      <c r="A277" t="s">
        <v>9354</v>
      </c>
    </row>
    <row r="278" spans="1:1" x14ac:dyDescent="0.25">
      <c r="A278" t="s">
        <v>9355</v>
      </c>
    </row>
    <row r="279" spans="1:1" x14ac:dyDescent="0.25">
      <c r="A279" t="s">
        <v>9356</v>
      </c>
    </row>
    <row r="280" spans="1:1" x14ac:dyDescent="0.25">
      <c r="A280" t="s">
        <v>9357</v>
      </c>
    </row>
    <row r="281" spans="1:1" x14ac:dyDescent="0.25">
      <c r="A281" t="s">
        <v>9358</v>
      </c>
    </row>
    <row r="282" spans="1:1" x14ac:dyDescent="0.25">
      <c r="A282" t="s">
        <v>9359</v>
      </c>
    </row>
    <row r="283" spans="1:1" x14ac:dyDescent="0.25">
      <c r="A283" t="s">
        <v>9360</v>
      </c>
    </row>
    <row r="284" spans="1:1" x14ac:dyDescent="0.25">
      <c r="A284" t="s">
        <v>9361</v>
      </c>
    </row>
    <row r="285" spans="1:1" x14ac:dyDescent="0.25">
      <c r="A285" t="s">
        <v>9362</v>
      </c>
    </row>
    <row r="286" spans="1:1" x14ac:dyDescent="0.25">
      <c r="A286" t="s">
        <v>9363</v>
      </c>
    </row>
    <row r="287" spans="1:1" x14ac:dyDescent="0.25">
      <c r="A287" t="s">
        <v>9364</v>
      </c>
    </row>
    <row r="288" spans="1:1" x14ac:dyDescent="0.25">
      <c r="A288" t="s">
        <v>9365</v>
      </c>
    </row>
    <row r="289" spans="1:1" x14ac:dyDescent="0.25">
      <c r="A289" t="s">
        <v>9366</v>
      </c>
    </row>
    <row r="290" spans="1:1" x14ac:dyDescent="0.25">
      <c r="A290" t="s">
        <v>9367</v>
      </c>
    </row>
    <row r="291" spans="1:1" x14ac:dyDescent="0.25">
      <c r="A291" t="s">
        <v>9368</v>
      </c>
    </row>
    <row r="292" spans="1:1" x14ac:dyDescent="0.25">
      <c r="A292" t="s">
        <v>9369</v>
      </c>
    </row>
    <row r="293" spans="1:1" x14ac:dyDescent="0.25">
      <c r="A293" t="s">
        <v>9370</v>
      </c>
    </row>
    <row r="294" spans="1:1" x14ac:dyDescent="0.25">
      <c r="A294" t="s">
        <v>9371</v>
      </c>
    </row>
    <row r="295" spans="1:1" x14ac:dyDescent="0.25">
      <c r="A295" t="s">
        <v>9372</v>
      </c>
    </row>
    <row r="296" spans="1:1" x14ac:dyDescent="0.25">
      <c r="A296" t="s">
        <v>9373</v>
      </c>
    </row>
    <row r="297" spans="1:1" x14ac:dyDescent="0.25">
      <c r="A297" t="s">
        <v>9374</v>
      </c>
    </row>
    <row r="298" spans="1:1" x14ac:dyDescent="0.25">
      <c r="A298" t="s">
        <v>9375</v>
      </c>
    </row>
    <row r="299" spans="1:1" x14ac:dyDescent="0.25">
      <c r="A299" t="s">
        <v>9376</v>
      </c>
    </row>
    <row r="300" spans="1:1" x14ac:dyDescent="0.25">
      <c r="A300" t="s">
        <v>9377</v>
      </c>
    </row>
    <row r="301" spans="1:1" x14ac:dyDescent="0.25">
      <c r="A301" t="s">
        <v>9378</v>
      </c>
    </row>
    <row r="302" spans="1:1" x14ac:dyDescent="0.25">
      <c r="A302" t="s">
        <v>9379</v>
      </c>
    </row>
    <row r="303" spans="1:1" x14ac:dyDescent="0.25">
      <c r="A303" t="s">
        <v>9380</v>
      </c>
    </row>
    <row r="304" spans="1:1" x14ac:dyDescent="0.25">
      <c r="A304" t="s">
        <v>9381</v>
      </c>
    </row>
    <row r="305" spans="1:1" x14ac:dyDescent="0.25">
      <c r="A305" t="s">
        <v>9382</v>
      </c>
    </row>
    <row r="306" spans="1:1" x14ac:dyDescent="0.25">
      <c r="A306" t="s">
        <v>9383</v>
      </c>
    </row>
    <row r="307" spans="1:1" x14ac:dyDescent="0.25">
      <c r="A307" t="s">
        <v>9384</v>
      </c>
    </row>
    <row r="308" spans="1:1" x14ac:dyDescent="0.25">
      <c r="A308" t="s">
        <v>9385</v>
      </c>
    </row>
    <row r="309" spans="1:1" x14ac:dyDescent="0.25">
      <c r="A309" t="s">
        <v>9386</v>
      </c>
    </row>
    <row r="310" spans="1:1" x14ac:dyDescent="0.25">
      <c r="A310" t="s">
        <v>9387</v>
      </c>
    </row>
    <row r="311" spans="1:1" x14ac:dyDescent="0.25">
      <c r="A311" t="s">
        <v>9388</v>
      </c>
    </row>
    <row r="312" spans="1:1" x14ac:dyDescent="0.25">
      <c r="A312" t="s">
        <v>9389</v>
      </c>
    </row>
    <row r="313" spans="1:1" x14ac:dyDescent="0.25">
      <c r="A313" t="s">
        <v>9390</v>
      </c>
    </row>
    <row r="314" spans="1:1" x14ac:dyDescent="0.25">
      <c r="A314" t="s">
        <v>9391</v>
      </c>
    </row>
    <row r="315" spans="1:1" x14ac:dyDescent="0.25">
      <c r="A315" t="s">
        <v>9392</v>
      </c>
    </row>
    <row r="316" spans="1:1" x14ac:dyDescent="0.25">
      <c r="A316" t="s">
        <v>9393</v>
      </c>
    </row>
    <row r="317" spans="1:1" x14ac:dyDescent="0.25">
      <c r="A317" t="s">
        <v>9394</v>
      </c>
    </row>
    <row r="318" spans="1:1" x14ac:dyDescent="0.25">
      <c r="A318" t="s">
        <v>9395</v>
      </c>
    </row>
    <row r="319" spans="1:1" x14ac:dyDescent="0.25">
      <c r="A319" t="s">
        <v>1578</v>
      </c>
    </row>
    <row r="320" spans="1:1" x14ac:dyDescent="0.25">
      <c r="A320" t="s">
        <v>1579</v>
      </c>
    </row>
    <row r="321" spans="1:1" x14ac:dyDescent="0.25">
      <c r="A321" t="s">
        <v>1580</v>
      </c>
    </row>
    <row r="322" spans="1:1" x14ac:dyDescent="0.25">
      <c r="A322" t="s">
        <v>1581</v>
      </c>
    </row>
    <row r="323" spans="1:1" x14ac:dyDescent="0.25">
      <c r="A323" t="s">
        <v>1582</v>
      </c>
    </row>
    <row r="324" spans="1:1" x14ac:dyDescent="0.25">
      <c r="A324" t="s">
        <v>1583</v>
      </c>
    </row>
    <row r="325" spans="1:1" x14ac:dyDescent="0.25">
      <c r="A325" t="s">
        <v>1584</v>
      </c>
    </row>
    <row r="326" spans="1:1" x14ac:dyDescent="0.25">
      <c r="A326" t="s">
        <v>1585</v>
      </c>
    </row>
    <row r="327" spans="1:1" x14ac:dyDescent="0.25">
      <c r="A327" t="s">
        <v>1475</v>
      </c>
    </row>
    <row r="328" spans="1:1" x14ac:dyDescent="0.25">
      <c r="A328" t="s">
        <v>1586</v>
      </c>
    </row>
    <row r="329" spans="1:1" x14ac:dyDescent="0.25">
      <c r="A329" t="s">
        <v>1587</v>
      </c>
    </row>
    <row r="330" spans="1:1" x14ac:dyDescent="0.25">
      <c r="A330" t="s">
        <v>1588</v>
      </c>
    </row>
    <row r="331" spans="1:1" x14ac:dyDescent="0.25">
      <c r="A331" t="s">
        <v>1589</v>
      </c>
    </row>
    <row r="332" spans="1:1" x14ac:dyDescent="0.25">
      <c r="A332" t="s">
        <v>1590</v>
      </c>
    </row>
    <row r="333" spans="1:1" x14ac:dyDescent="0.25">
      <c r="A333" t="s">
        <v>1591</v>
      </c>
    </row>
    <row r="334" spans="1:1" x14ac:dyDescent="0.25">
      <c r="A334" t="s">
        <v>1592</v>
      </c>
    </row>
    <row r="335" spans="1:1" x14ac:dyDescent="0.25">
      <c r="A335" t="s">
        <v>1593</v>
      </c>
    </row>
    <row r="336" spans="1:1" x14ac:dyDescent="0.25">
      <c r="A336" t="s">
        <v>1594</v>
      </c>
    </row>
    <row r="337" spans="1:1" x14ac:dyDescent="0.25">
      <c r="A337" t="s">
        <v>1595</v>
      </c>
    </row>
    <row r="338" spans="1:1" x14ac:dyDescent="0.25">
      <c r="A338" t="s">
        <v>1596</v>
      </c>
    </row>
    <row r="339" spans="1:1" x14ac:dyDescent="0.25">
      <c r="A339" t="s">
        <v>1597</v>
      </c>
    </row>
    <row r="340" spans="1:1" x14ac:dyDescent="0.25">
      <c r="A340" t="s">
        <v>1598</v>
      </c>
    </row>
    <row r="341" spans="1:1" x14ac:dyDescent="0.25">
      <c r="A341" t="s">
        <v>1599</v>
      </c>
    </row>
    <row r="342" spans="1:1" x14ac:dyDescent="0.25">
      <c r="A342" t="s">
        <v>1600</v>
      </c>
    </row>
    <row r="343" spans="1:1" x14ac:dyDescent="0.25">
      <c r="A343" t="s">
        <v>1601</v>
      </c>
    </row>
    <row r="344" spans="1:1" x14ac:dyDescent="0.25">
      <c r="A344" t="s">
        <v>1602</v>
      </c>
    </row>
    <row r="345" spans="1:1" x14ac:dyDescent="0.25">
      <c r="A345" t="s">
        <v>1603</v>
      </c>
    </row>
    <row r="346" spans="1:1" x14ac:dyDescent="0.25">
      <c r="A346" t="s">
        <v>1604</v>
      </c>
    </row>
    <row r="347" spans="1:1" x14ac:dyDescent="0.25">
      <c r="A347" t="s">
        <v>1605</v>
      </c>
    </row>
    <row r="348" spans="1:1" x14ac:dyDescent="0.25">
      <c r="A348" t="s">
        <v>1606</v>
      </c>
    </row>
    <row r="349" spans="1:1" x14ac:dyDescent="0.25">
      <c r="A349" t="s">
        <v>1607</v>
      </c>
    </row>
    <row r="350" spans="1:1" x14ac:dyDescent="0.25">
      <c r="A350" t="s">
        <v>1608</v>
      </c>
    </row>
    <row r="351" spans="1:1" x14ac:dyDescent="0.25">
      <c r="A351" t="s">
        <v>1609</v>
      </c>
    </row>
    <row r="352" spans="1:1" x14ac:dyDescent="0.25">
      <c r="A352" t="s">
        <v>1610</v>
      </c>
    </row>
    <row r="353" spans="1:1" x14ac:dyDescent="0.25">
      <c r="A353" t="s">
        <v>1611</v>
      </c>
    </row>
    <row r="354" spans="1:1" x14ac:dyDescent="0.25">
      <c r="A354" t="s">
        <v>1612</v>
      </c>
    </row>
    <row r="355" spans="1:1" x14ac:dyDescent="0.25">
      <c r="A355" t="s">
        <v>1613</v>
      </c>
    </row>
    <row r="356" spans="1:1" x14ac:dyDescent="0.25">
      <c r="A356" t="s">
        <v>1614</v>
      </c>
    </row>
    <row r="357" spans="1:1" x14ac:dyDescent="0.25">
      <c r="A357" t="s">
        <v>1615</v>
      </c>
    </row>
    <row r="358" spans="1:1" x14ac:dyDescent="0.25">
      <c r="A358" t="s">
        <v>1616</v>
      </c>
    </row>
    <row r="359" spans="1:1" x14ac:dyDescent="0.25">
      <c r="A359" t="s">
        <v>1617</v>
      </c>
    </row>
    <row r="360" spans="1:1" x14ac:dyDescent="0.25">
      <c r="A360" t="s">
        <v>1618</v>
      </c>
    </row>
    <row r="361" spans="1:1" x14ac:dyDescent="0.25">
      <c r="A361" t="s">
        <v>1619</v>
      </c>
    </row>
    <row r="362" spans="1:1" x14ac:dyDescent="0.25">
      <c r="A362" t="s">
        <v>1620</v>
      </c>
    </row>
    <row r="363" spans="1:1" x14ac:dyDescent="0.25">
      <c r="A363" t="s">
        <v>1621</v>
      </c>
    </row>
    <row r="364" spans="1:1" x14ac:dyDescent="0.25">
      <c r="A364" t="s">
        <v>1622</v>
      </c>
    </row>
    <row r="365" spans="1:1" x14ac:dyDescent="0.25">
      <c r="A365" t="s">
        <v>1623</v>
      </c>
    </row>
    <row r="366" spans="1:1" x14ac:dyDescent="0.25">
      <c r="A366" t="s">
        <v>1624</v>
      </c>
    </row>
    <row r="367" spans="1:1" x14ac:dyDescent="0.25">
      <c r="A367" t="s">
        <v>1625</v>
      </c>
    </row>
    <row r="368" spans="1:1" x14ac:dyDescent="0.25">
      <c r="A368" t="s">
        <v>1626</v>
      </c>
    </row>
    <row r="369" spans="1:1" x14ac:dyDescent="0.25">
      <c r="A369" t="s">
        <v>1627</v>
      </c>
    </row>
    <row r="370" spans="1:1" x14ac:dyDescent="0.25">
      <c r="A370" t="s">
        <v>1628</v>
      </c>
    </row>
    <row r="371" spans="1:1" x14ac:dyDescent="0.25">
      <c r="A371" t="s">
        <v>1629</v>
      </c>
    </row>
    <row r="372" spans="1:1" x14ac:dyDescent="0.25">
      <c r="A372" t="s">
        <v>1630</v>
      </c>
    </row>
    <row r="373" spans="1:1" x14ac:dyDescent="0.25">
      <c r="A373" t="s">
        <v>1631</v>
      </c>
    </row>
    <row r="374" spans="1:1" x14ac:dyDescent="0.25">
      <c r="A374" t="s">
        <v>1632</v>
      </c>
    </row>
    <row r="375" spans="1:1" x14ac:dyDescent="0.25">
      <c r="A375" t="s">
        <v>1633</v>
      </c>
    </row>
    <row r="376" spans="1:1" x14ac:dyDescent="0.25">
      <c r="A376" t="s">
        <v>1634</v>
      </c>
    </row>
    <row r="377" spans="1:1" x14ac:dyDescent="0.25">
      <c r="A377" t="s">
        <v>1635</v>
      </c>
    </row>
    <row r="378" spans="1:1" x14ac:dyDescent="0.25">
      <c r="A378" t="s">
        <v>1636</v>
      </c>
    </row>
    <row r="379" spans="1:1" x14ac:dyDescent="0.25">
      <c r="A379" t="s">
        <v>1637</v>
      </c>
    </row>
    <row r="380" spans="1:1" x14ac:dyDescent="0.25">
      <c r="A380" t="s">
        <v>1638</v>
      </c>
    </row>
    <row r="381" spans="1:1" x14ac:dyDescent="0.25">
      <c r="A381" t="s">
        <v>1639</v>
      </c>
    </row>
    <row r="382" spans="1:1" x14ac:dyDescent="0.25">
      <c r="A382" t="s">
        <v>1640</v>
      </c>
    </row>
    <row r="383" spans="1:1" x14ac:dyDescent="0.25">
      <c r="A383" t="s">
        <v>1641</v>
      </c>
    </row>
    <row r="384" spans="1:1" x14ac:dyDescent="0.25">
      <c r="A384" t="s">
        <v>1642</v>
      </c>
    </row>
    <row r="385" spans="1:1" x14ac:dyDescent="0.25">
      <c r="A385" t="s">
        <v>1643</v>
      </c>
    </row>
    <row r="386" spans="1:1" x14ac:dyDescent="0.25">
      <c r="A386" t="s">
        <v>1644</v>
      </c>
    </row>
    <row r="387" spans="1:1" x14ac:dyDescent="0.25">
      <c r="A387" t="s">
        <v>1645</v>
      </c>
    </row>
    <row r="388" spans="1:1" x14ac:dyDescent="0.25">
      <c r="A388" t="s">
        <v>1646</v>
      </c>
    </row>
    <row r="389" spans="1:1" x14ac:dyDescent="0.25">
      <c r="A389" t="s">
        <v>1647</v>
      </c>
    </row>
    <row r="390" spans="1:1" x14ac:dyDescent="0.25">
      <c r="A390" t="s">
        <v>1648</v>
      </c>
    </row>
    <row r="391" spans="1:1" x14ac:dyDescent="0.25">
      <c r="A391" t="s">
        <v>1649</v>
      </c>
    </row>
    <row r="392" spans="1:1" x14ac:dyDescent="0.25">
      <c r="A392" t="s">
        <v>1650</v>
      </c>
    </row>
    <row r="393" spans="1:1" x14ac:dyDescent="0.25">
      <c r="A393" t="s">
        <v>1651</v>
      </c>
    </row>
    <row r="394" spans="1:1" x14ac:dyDescent="0.25">
      <c r="A394" t="s">
        <v>1652</v>
      </c>
    </row>
    <row r="395" spans="1:1" x14ac:dyDescent="0.25">
      <c r="A395" t="s">
        <v>1653</v>
      </c>
    </row>
    <row r="396" spans="1:1" x14ac:dyDescent="0.25">
      <c r="A396" t="s">
        <v>1654</v>
      </c>
    </row>
    <row r="397" spans="1:1" x14ac:dyDescent="0.25">
      <c r="A397" t="s">
        <v>1655</v>
      </c>
    </row>
    <row r="398" spans="1:1" x14ac:dyDescent="0.25">
      <c r="A398" t="s">
        <v>1656</v>
      </c>
    </row>
    <row r="399" spans="1:1" x14ac:dyDescent="0.25">
      <c r="A399" t="s">
        <v>1657</v>
      </c>
    </row>
    <row r="400" spans="1:1" x14ac:dyDescent="0.25">
      <c r="A400" t="s">
        <v>1658</v>
      </c>
    </row>
    <row r="401" spans="1:1" x14ac:dyDescent="0.25">
      <c r="A401" t="s">
        <v>1659</v>
      </c>
    </row>
    <row r="402" spans="1:1" x14ac:dyDescent="0.25">
      <c r="A402" t="s">
        <v>1660</v>
      </c>
    </row>
    <row r="403" spans="1:1" x14ac:dyDescent="0.25">
      <c r="A403" t="s">
        <v>1661</v>
      </c>
    </row>
    <row r="404" spans="1:1" x14ac:dyDescent="0.25">
      <c r="A404" t="s">
        <v>1662</v>
      </c>
    </row>
    <row r="405" spans="1:1" x14ac:dyDescent="0.25">
      <c r="A405" t="s">
        <v>1663</v>
      </c>
    </row>
    <row r="406" spans="1:1" x14ac:dyDescent="0.25">
      <c r="A406" t="s">
        <v>1664</v>
      </c>
    </row>
    <row r="407" spans="1:1" x14ac:dyDescent="0.25">
      <c r="A407" t="s">
        <v>1665</v>
      </c>
    </row>
    <row r="408" spans="1:1" x14ac:dyDescent="0.25">
      <c r="A408" t="s">
        <v>1666</v>
      </c>
    </row>
    <row r="409" spans="1:1" x14ac:dyDescent="0.25">
      <c r="A409" t="s">
        <v>1667</v>
      </c>
    </row>
    <row r="410" spans="1:1" x14ac:dyDescent="0.25">
      <c r="A410" t="s">
        <v>1668</v>
      </c>
    </row>
    <row r="411" spans="1:1" x14ac:dyDescent="0.25">
      <c r="A411" t="s">
        <v>1669</v>
      </c>
    </row>
    <row r="412" spans="1:1" x14ac:dyDescent="0.25">
      <c r="A412" t="s">
        <v>1670</v>
      </c>
    </row>
    <row r="413" spans="1:1" x14ac:dyDescent="0.25">
      <c r="A413" t="s">
        <v>1671</v>
      </c>
    </row>
    <row r="414" spans="1:1" x14ac:dyDescent="0.25">
      <c r="A414" t="s">
        <v>1672</v>
      </c>
    </row>
    <row r="415" spans="1:1" x14ac:dyDescent="0.25">
      <c r="A415" t="s">
        <v>1673</v>
      </c>
    </row>
    <row r="416" spans="1:1" x14ac:dyDescent="0.25">
      <c r="A416" t="s">
        <v>1674</v>
      </c>
    </row>
    <row r="417" spans="1:1" x14ac:dyDescent="0.25">
      <c r="A417" t="s">
        <v>1675</v>
      </c>
    </row>
    <row r="418" spans="1:1" x14ac:dyDescent="0.25">
      <c r="A418" t="s">
        <v>1676</v>
      </c>
    </row>
    <row r="419" spans="1:1" x14ac:dyDescent="0.25">
      <c r="A419" t="s">
        <v>1677</v>
      </c>
    </row>
    <row r="420" spans="1:1" x14ac:dyDescent="0.25">
      <c r="A420" t="s">
        <v>1678</v>
      </c>
    </row>
    <row r="421" spans="1:1" x14ac:dyDescent="0.25">
      <c r="A421" t="s">
        <v>1679</v>
      </c>
    </row>
    <row r="422" spans="1:1" x14ac:dyDescent="0.25">
      <c r="A422" t="s">
        <v>1680</v>
      </c>
    </row>
    <row r="423" spans="1:1" x14ac:dyDescent="0.25">
      <c r="A423" t="s">
        <v>1681</v>
      </c>
    </row>
    <row r="424" spans="1:1" x14ac:dyDescent="0.25">
      <c r="A424" t="s">
        <v>1682</v>
      </c>
    </row>
    <row r="425" spans="1:1" x14ac:dyDescent="0.25">
      <c r="A425" t="s">
        <v>1683</v>
      </c>
    </row>
    <row r="426" spans="1:1" x14ac:dyDescent="0.25">
      <c r="A426" t="s">
        <v>1684</v>
      </c>
    </row>
    <row r="427" spans="1:1" x14ac:dyDescent="0.25">
      <c r="A427" t="s">
        <v>1685</v>
      </c>
    </row>
    <row r="428" spans="1:1" x14ac:dyDescent="0.25">
      <c r="A428" t="s">
        <v>1686</v>
      </c>
    </row>
    <row r="429" spans="1:1" x14ac:dyDescent="0.25">
      <c r="A429" t="s">
        <v>1687</v>
      </c>
    </row>
    <row r="430" spans="1:1" x14ac:dyDescent="0.25">
      <c r="A430" t="s">
        <v>1688</v>
      </c>
    </row>
    <row r="431" spans="1:1" x14ac:dyDescent="0.25">
      <c r="A431" t="s">
        <v>1689</v>
      </c>
    </row>
    <row r="432" spans="1:1" x14ac:dyDescent="0.25">
      <c r="A432" t="s">
        <v>1690</v>
      </c>
    </row>
    <row r="433" spans="1:1" x14ac:dyDescent="0.25">
      <c r="A433" t="s">
        <v>1691</v>
      </c>
    </row>
    <row r="434" spans="1:1" x14ac:dyDescent="0.25">
      <c r="A434" t="s">
        <v>1692</v>
      </c>
    </row>
    <row r="435" spans="1:1" x14ac:dyDescent="0.25">
      <c r="A435" t="s">
        <v>1693</v>
      </c>
    </row>
    <row r="436" spans="1:1" x14ac:dyDescent="0.25">
      <c r="A436" t="s">
        <v>1694</v>
      </c>
    </row>
    <row r="437" spans="1:1" x14ac:dyDescent="0.25">
      <c r="A437" t="s">
        <v>1695</v>
      </c>
    </row>
    <row r="438" spans="1:1" x14ac:dyDescent="0.25">
      <c r="A438" t="s">
        <v>1696</v>
      </c>
    </row>
    <row r="439" spans="1:1" x14ac:dyDescent="0.25">
      <c r="A439" t="s">
        <v>1697</v>
      </c>
    </row>
    <row r="440" spans="1:1" x14ac:dyDescent="0.25">
      <c r="A440" t="s">
        <v>1698</v>
      </c>
    </row>
    <row r="441" spans="1:1" x14ac:dyDescent="0.25">
      <c r="A441" t="s">
        <v>1699</v>
      </c>
    </row>
    <row r="442" spans="1:1" x14ac:dyDescent="0.25">
      <c r="A442" t="s">
        <v>1700</v>
      </c>
    </row>
    <row r="443" spans="1:1" x14ac:dyDescent="0.25">
      <c r="A443" t="s">
        <v>1701</v>
      </c>
    </row>
    <row r="444" spans="1:1" x14ac:dyDescent="0.25">
      <c r="A444" t="s">
        <v>1702</v>
      </c>
    </row>
    <row r="445" spans="1:1" x14ac:dyDescent="0.25">
      <c r="A445" t="s">
        <v>1703</v>
      </c>
    </row>
    <row r="446" spans="1:1" x14ac:dyDescent="0.25">
      <c r="A446" t="s">
        <v>1704</v>
      </c>
    </row>
    <row r="447" spans="1:1" x14ac:dyDescent="0.25">
      <c r="A447" t="s">
        <v>1705</v>
      </c>
    </row>
    <row r="448" spans="1:1" x14ac:dyDescent="0.25">
      <c r="A448" t="s">
        <v>1706</v>
      </c>
    </row>
    <row r="449" spans="1:1" x14ac:dyDescent="0.25">
      <c r="A449" t="s">
        <v>1707</v>
      </c>
    </row>
    <row r="450" spans="1:1" x14ac:dyDescent="0.25">
      <c r="A450" t="s">
        <v>1708</v>
      </c>
    </row>
    <row r="451" spans="1:1" x14ac:dyDescent="0.25">
      <c r="A451" t="s">
        <v>1709</v>
      </c>
    </row>
    <row r="452" spans="1:1" x14ac:dyDescent="0.25">
      <c r="A452" t="s">
        <v>1710</v>
      </c>
    </row>
    <row r="453" spans="1:1" x14ac:dyDescent="0.25">
      <c r="A453" t="s">
        <v>1711</v>
      </c>
    </row>
    <row r="454" spans="1:1" x14ac:dyDescent="0.25">
      <c r="A454" t="s">
        <v>1712</v>
      </c>
    </row>
    <row r="455" spans="1:1" x14ac:dyDescent="0.25">
      <c r="A455" t="s">
        <v>1713</v>
      </c>
    </row>
    <row r="456" spans="1:1" x14ac:dyDescent="0.25">
      <c r="A456" t="s">
        <v>1714</v>
      </c>
    </row>
    <row r="457" spans="1:1" x14ac:dyDescent="0.25">
      <c r="A457" t="s">
        <v>1715</v>
      </c>
    </row>
    <row r="458" spans="1:1" x14ac:dyDescent="0.25">
      <c r="A458" t="s">
        <v>1716</v>
      </c>
    </row>
    <row r="459" spans="1:1" x14ac:dyDescent="0.25">
      <c r="A459" t="s">
        <v>1717</v>
      </c>
    </row>
    <row r="460" spans="1:1" x14ac:dyDescent="0.25">
      <c r="A460" t="s">
        <v>1718</v>
      </c>
    </row>
    <row r="461" spans="1:1" x14ac:dyDescent="0.25">
      <c r="A461" t="s">
        <v>1719</v>
      </c>
    </row>
    <row r="462" spans="1:1" x14ac:dyDescent="0.25">
      <c r="A462" t="s">
        <v>1720</v>
      </c>
    </row>
    <row r="463" spans="1:1" x14ac:dyDescent="0.25">
      <c r="A463" t="s">
        <v>1721</v>
      </c>
    </row>
    <row r="464" spans="1:1" x14ac:dyDescent="0.25">
      <c r="A464" t="s">
        <v>1722</v>
      </c>
    </row>
    <row r="465" spans="1:1" x14ac:dyDescent="0.25">
      <c r="A465" t="s">
        <v>1723</v>
      </c>
    </row>
    <row r="466" spans="1:1" x14ac:dyDescent="0.25">
      <c r="A466" t="s">
        <v>1724</v>
      </c>
    </row>
    <row r="467" spans="1:1" x14ac:dyDescent="0.25">
      <c r="A467" t="s">
        <v>1725</v>
      </c>
    </row>
    <row r="468" spans="1:1" x14ac:dyDescent="0.25">
      <c r="A468" t="s">
        <v>1726</v>
      </c>
    </row>
    <row r="469" spans="1:1" x14ac:dyDescent="0.25">
      <c r="A469" t="s">
        <v>1727</v>
      </c>
    </row>
    <row r="470" spans="1:1" x14ac:dyDescent="0.25">
      <c r="A470" t="s">
        <v>1728</v>
      </c>
    </row>
    <row r="471" spans="1:1" x14ac:dyDescent="0.25">
      <c r="A471" t="s">
        <v>1729</v>
      </c>
    </row>
    <row r="472" spans="1:1" x14ac:dyDescent="0.25">
      <c r="A472" t="s">
        <v>1730</v>
      </c>
    </row>
    <row r="473" spans="1:1" x14ac:dyDescent="0.25">
      <c r="A473" t="s">
        <v>1731</v>
      </c>
    </row>
    <row r="474" spans="1:1" x14ac:dyDescent="0.25">
      <c r="A474" t="s">
        <v>1732</v>
      </c>
    </row>
    <row r="475" spans="1:1" x14ac:dyDescent="0.25">
      <c r="A475" t="s">
        <v>1733</v>
      </c>
    </row>
    <row r="476" spans="1:1" x14ac:dyDescent="0.25">
      <c r="A476" t="s">
        <v>1734</v>
      </c>
    </row>
    <row r="477" spans="1:1" x14ac:dyDescent="0.25">
      <c r="A477" t="s">
        <v>1735</v>
      </c>
    </row>
    <row r="478" spans="1:1" x14ac:dyDescent="0.25">
      <c r="A478" t="s">
        <v>1736</v>
      </c>
    </row>
    <row r="479" spans="1:1" x14ac:dyDescent="0.25">
      <c r="A479" t="s">
        <v>1737</v>
      </c>
    </row>
    <row r="480" spans="1:1" x14ac:dyDescent="0.25">
      <c r="A480" t="s">
        <v>1738</v>
      </c>
    </row>
    <row r="481" spans="1:1" x14ac:dyDescent="0.25">
      <c r="A481" t="s">
        <v>1739</v>
      </c>
    </row>
    <row r="482" spans="1:1" x14ac:dyDescent="0.25">
      <c r="A482" t="s">
        <v>1740</v>
      </c>
    </row>
    <row r="483" spans="1:1" x14ac:dyDescent="0.25">
      <c r="A483" t="s">
        <v>1741</v>
      </c>
    </row>
    <row r="484" spans="1:1" x14ac:dyDescent="0.25">
      <c r="A484" t="s">
        <v>1742</v>
      </c>
    </row>
    <row r="485" spans="1:1" x14ac:dyDescent="0.25">
      <c r="A485" t="s">
        <v>1743</v>
      </c>
    </row>
    <row r="486" spans="1:1" x14ac:dyDescent="0.25">
      <c r="A486" t="s">
        <v>1744</v>
      </c>
    </row>
    <row r="487" spans="1:1" x14ac:dyDescent="0.25">
      <c r="A487" t="s">
        <v>1745</v>
      </c>
    </row>
    <row r="488" spans="1:1" x14ac:dyDescent="0.25">
      <c r="A488" t="s">
        <v>1746</v>
      </c>
    </row>
    <row r="489" spans="1:1" x14ac:dyDescent="0.25">
      <c r="A489" t="s">
        <v>1747</v>
      </c>
    </row>
    <row r="490" spans="1:1" x14ac:dyDescent="0.25">
      <c r="A490" t="s">
        <v>1748</v>
      </c>
    </row>
    <row r="491" spans="1:1" x14ac:dyDescent="0.25">
      <c r="A491" t="s">
        <v>1749</v>
      </c>
    </row>
    <row r="492" spans="1:1" x14ac:dyDescent="0.25">
      <c r="A492" t="s">
        <v>1750</v>
      </c>
    </row>
    <row r="493" spans="1:1" x14ac:dyDescent="0.25">
      <c r="A493" t="s">
        <v>1751</v>
      </c>
    </row>
    <row r="494" spans="1:1" x14ac:dyDescent="0.25">
      <c r="A494" t="s">
        <v>1752</v>
      </c>
    </row>
    <row r="495" spans="1:1" x14ac:dyDescent="0.25">
      <c r="A495" t="s">
        <v>1753</v>
      </c>
    </row>
    <row r="496" spans="1:1" x14ac:dyDescent="0.25">
      <c r="A496" t="s">
        <v>1754</v>
      </c>
    </row>
    <row r="497" spans="1:1" x14ac:dyDescent="0.25">
      <c r="A497" t="s">
        <v>1755</v>
      </c>
    </row>
    <row r="498" spans="1:1" x14ac:dyDescent="0.25">
      <c r="A498" t="s">
        <v>1756</v>
      </c>
    </row>
    <row r="499" spans="1:1" x14ac:dyDescent="0.25">
      <c r="A499" t="s">
        <v>1757</v>
      </c>
    </row>
    <row r="500" spans="1:1" x14ac:dyDescent="0.25">
      <c r="A500" t="s">
        <v>1758</v>
      </c>
    </row>
    <row r="501" spans="1:1" x14ac:dyDescent="0.25">
      <c r="A501" t="s">
        <v>1759</v>
      </c>
    </row>
    <row r="502" spans="1:1" x14ac:dyDescent="0.25">
      <c r="A502" t="s">
        <v>1760</v>
      </c>
    </row>
    <row r="503" spans="1:1" x14ac:dyDescent="0.25">
      <c r="A503" t="s">
        <v>1761</v>
      </c>
    </row>
    <row r="504" spans="1:1" x14ac:dyDescent="0.25">
      <c r="A504" t="s">
        <v>1762</v>
      </c>
    </row>
    <row r="505" spans="1:1" x14ac:dyDescent="0.25">
      <c r="A505" t="s">
        <v>1763</v>
      </c>
    </row>
    <row r="506" spans="1:1" x14ac:dyDescent="0.25">
      <c r="A506" t="s">
        <v>1764</v>
      </c>
    </row>
    <row r="507" spans="1:1" x14ac:dyDescent="0.25">
      <c r="A507" t="s">
        <v>1765</v>
      </c>
    </row>
    <row r="508" spans="1:1" x14ac:dyDescent="0.25">
      <c r="A508" t="s">
        <v>1766</v>
      </c>
    </row>
    <row r="509" spans="1:1" x14ac:dyDescent="0.25">
      <c r="A509" t="s">
        <v>1767</v>
      </c>
    </row>
    <row r="510" spans="1:1" x14ac:dyDescent="0.25">
      <c r="A510" t="s">
        <v>1768</v>
      </c>
    </row>
    <row r="511" spans="1:1" x14ac:dyDescent="0.25">
      <c r="A511" t="s">
        <v>1769</v>
      </c>
    </row>
    <row r="512" spans="1:1" x14ac:dyDescent="0.25">
      <c r="A512" t="s">
        <v>1770</v>
      </c>
    </row>
    <row r="513" spans="1:1" x14ac:dyDescent="0.25">
      <c r="A513" t="s">
        <v>1771</v>
      </c>
    </row>
    <row r="514" spans="1:1" x14ac:dyDescent="0.25">
      <c r="A514" t="s">
        <v>1772</v>
      </c>
    </row>
    <row r="515" spans="1:1" x14ac:dyDescent="0.25">
      <c r="A515" t="s">
        <v>1773</v>
      </c>
    </row>
    <row r="516" spans="1:1" x14ac:dyDescent="0.25">
      <c r="A516" t="s">
        <v>1774</v>
      </c>
    </row>
    <row r="517" spans="1:1" x14ac:dyDescent="0.25">
      <c r="A517" t="s">
        <v>1775</v>
      </c>
    </row>
    <row r="518" spans="1:1" x14ac:dyDescent="0.25">
      <c r="A518" t="s">
        <v>1776</v>
      </c>
    </row>
    <row r="519" spans="1:1" x14ac:dyDescent="0.25">
      <c r="A519" t="s">
        <v>1777</v>
      </c>
    </row>
    <row r="520" spans="1:1" x14ac:dyDescent="0.25">
      <c r="A520" t="s">
        <v>1778</v>
      </c>
    </row>
    <row r="521" spans="1:1" x14ac:dyDescent="0.25">
      <c r="A521" t="s">
        <v>1779</v>
      </c>
    </row>
    <row r="522" spans="1:1" x14ac:dyDescent="0.25">
      <c r="A522" t="s">
        <v>1780</v>
      </c>
    </row>
    <row r="523" spans="1:1" x14ac:dyDescent="0.25">
      <c r="A523" t="s">
        <v>1781</v>
      </c>
    </row>
    <row r="524" spans="1:1" x14ac:dyDescent="0.25">
      <c r="A524" t="s">
        <v>1782</v>
      </c>
    </row>
    <row r="525" spans="1:1" x14ac:dyDescent="0.25">
      <c r="A525" t="s">
        <v>1783</v>
      </c>
    </row>
    <row r="526" spans="1:1" x14ac:dyDescent="0.25">
      <c r="A526" t="s">
        <v>1784</v>
      </c>
    </row>
    <row r="527" spans="1:1" x14ac:dyDescent="0.25">
      <c r="A527" t="s">
        <v>1785</v>
      </c>
    </row>
    <row r="528" spans="1:1" x14ac:dyDescent="0.25">
      <c r="A528" t="s">
        <v>1786</v>
      </c>
    </row>
    <row r="529" spans="1:1" x14ac:dyDescent="0.25">
      <c r="A529" t="s">
        <v>1787</v>
      </c>
    </row>
    <row r="530" spans="1:1" x14ac:dyDescent="0.25">
      <c r="A530" t="s">
        <v>1788</v>
      </c>
    </row>
    <row r="531" spans="1:1" x14ac:dyDescent="0.25">
      <c r="A531" t="s">
        <v>1789</v>
      </c>
    </row>
    <row r="532" spans="1:1" x14ac:dyDescent="0.25">
      <c r="A532" t="s">
        <v>1790</v>
      </c>
    </row>
    <row r="533" spans="1:1" x14ac:dyDescent="0.25">
      <c r="A533" t="s">
        <v>1791</v>
      </c>
    </row>
    <row r="534" spans="1:1" x14ac:dyDescent="0.25">
      <c r="A534" t="s">
        <v>1792</v>
      </c>
    </row>
    <row r="535" spans="1:1" x14ac:dyDescent="0.25">
      <c r="A535" t="s">
        <v>1793</v>
      </c>
    </row>
    <row r="536" spans="1:1" x14ac:dyDescent="0.25">
      <c r="A536" t="s">
        <v>1794</v>
      </c>
    </row>
    <row r="537" spans="1:1" x14ac:dyDescent="0.25">
      <c r="A537" t="s">
        <v>1795</v>
      </c>
    </row>
    <row r="538" spans="1:1" x14ac:dyDescent="0.25">
      <c r="A538" t="s">
        <v>1796</v>
      </c>
    </row>
    <row r="539" spans="1:1" x14ac:dyDescent="0.25">
      <c r="A539" t="s">
        <v>1797</v>
      </c>
    </row>
    <row r="540" spans="1:1" x14ac:dyDescent="0.25">
      <c r="A540" t="s">
        <v>1798</v>
      </c>
    </row>
    <row r="541" spans="1:1" x14ac:dyDescent="0.25">
      <c r="A541" t="s">
        <v>1799</v>
      </c>
    </row>
    <row r="542" spans="1:1" x14ac:dyDescent="0.25">
      <c r="A542" t="s">
        <v>1800</v>
      </c>
    </row>
    <row r="543" spans="1:1" x14ac:dyDescent="0.25">
      <c r="A543" t="s">
        <v>1801</v>
      </c>
    </row>
    <row r="544" spans="1:1" x14ac:dyDescent="0.25">
      <c r="A544" t="s">
        <v>1802</v>
      </c>
    </row>
    <row r="545" spans="1:1" x14ac:dyDescent="0.25">
      <c r="A545" t="s">
        <v>1803</v>
      </c>
    </row>
    <row r="546" spans="1:1" x14ac:dyDescent="0.25">
      <c r="A546" t="s">
        <v>1804</v>
      </c>
    </row>
    <row r="547" spans="1:1" x14ac:dyDescent="0.25">
      <c r="A547" t="s">
        <v>1805</v>
      </c>
    </row>
    <row r="548" spans="1:1" x14ac:dyDescent="0.25">
      <c r="A548" t="s">
        <v>1806</v>
      </c>
    </row>
    <row r="549" spans="1:1" x14ac:dyDescent="0.25">
      <c r="A549" t="s">
        <v>1807</v>
      </c>
    </row>
    <row r="550" spans="1:1" x14ac:dyDescent="0.25">
      <c r="A550" t="s">
        <v>1808</v>
      </c>
    </row>
    <row r="551" spans="1:1" x14ac:dyDescent="0.25">
      <c r="A551" t="s">
        <v>1809</v>
      </c>
    </row>
    <row r="552" spans="1:1" x14ac:dyDescent="0.25">
      <c r="A552" t="s">
        <v>1810</v>
      </c>
    </row>
    <row r="553" spans="1:1" x14ac:dyDescent="0.25">
      <c r="A553" t="s">
        <v>1811</v>
      </c>
    </row>
    <row r="554" spans="1:1" x14ac:dyDescent="0.25">
      <c r="A554" t="s">
        <v>1812</v>
      </c>
    </row>
    <row r="555" spans="1:1" x14ac:dyDescent="0.25">
      <c r="A555" t="s">
        <v>1813</v>
      </c>
    </row>
    <row r="556" spans="1:1" x14ac:dyDescent="0.25">
      <c r="A556" t="s">
        <v>1814</v>
      </c>
    </row>
    <row r="557" spans="1:1" x14ac:dyDescent="0.25">
      <c r="A557" t="s">
        <v>1815</v>
      </c>
    </row>
    <row r="558" spans="1:1" x14ac:dyDescent="0.25">
      <c r="A558" t="s">
        <v>1816</v>
      </c>
    </row>
    <row r="559" spans="1:1" x14ac:dyDescent="0.25">
      <c r="A559" t="s">
        <v>1817</v>
      </c>
    </row>
    <row r="560" spans="1:1" x14ac:dyDescent="0.25">
      <c r="A560" t="s">
        <v>1818</v>
      </c>
    </row>
    <row r="561" spans="1:1" x14ac:dyDescent="0.25">
      <c r="A561" t="s">
        <v>1819</v>
      </c>
    </row>
    <row r="562" spans="1:1" x14ac:dyDescent="0.25">
      <c r="A562" t="s">
        <v>1820</v>
      </c>
    </row>
    <row r="563" spans="1:1" x14ac:dyDescent="0.25">
      <c r="A563" t="s">
        <v>1821</v>
      </c>
    </row>
    <row r="564" spans="1:1" x14ac:dyDescent="0.25">
      <c r="A564" t="s">
        <v>1822</v>
      </c>
    </row>
    <row r="565" spans="1:1" x14ac:dyDescent="0.25">
      <c r="A565" t="s">
        <v>1823</v>
      </c>
    </row>
    <row r="566" spans="1:1" x14ac:dyDescent="0.25">
      <c r="A566" t="s">
        <v>1824</v>
      </c>
    </row>
    <row r="567" spans="1:1" x14ac:dyDescent="0.25">
      <c r="A567" t="s">
        <v>1825</v>
      </c>
    </row>
    <row r="568" spans="1:1" x14ac:dyDescent="0.25">
      <c r="A568" t="s">
        <v>1826</v>
      </c>
    </row>
    <row r="569" spans="1:1" x14ac:dyDescent="0.25">
      <c r="A569" t="s">
        <v>1827</v>
      </c>
    </row>
    <row r="570" spans="1:1" x14ac:dyDescent="0.25">
      <c r="A570" t="s">
        <v>1828</v>
      </c>
    </row>
    <row r="571" spans="1:1" x14ac:dyDescent="0.25">
      <c r="A571" t="s">
        <v>1829</v>
      </c>
    </row>
    <row r="572" spans="1:1" x14ac:dyDescent="0.25">
      <c r="A572" t="s">
        <v>1830</v>
      </c>
    </row>
    <row r="573" spans="1:1" x14ac:dyDescent="0.25">
      <c r="A573" t="s">
        <v>1831</v>
      </c>
    </row>
    <row r="574" spans="1:1" x14ac:dyDescent="0.25">
      <c r="A574" t="s">
        <v>1832</v>
      </c>
    </row>
    <row r="575" spans="1:1" x14ac:dyDescent="0.25">
      <c r="A575" t="s">
        <v>1833</v>
      </c>
    </row>
    <row r="576" spans="1:1" x14ac:dyDescent="0.25">
      <c r="A576" t="s">
        <v>1834</v>
      </c>
    </row>
    <row r="577" spans="1:1" x14ac:dyDescent="0.25">
      <c r="A577" t="s">
        <v>1835</v>
      </c>
    </row>
    <row r="578" spans="1:1" x14ac:dyDescent="0.25">
      <c r="A578" t="s">
        <v>1836</v>
      </c>
    </row>
    <row r="579" spans="1:1" x14ac:dyDescent="0.25">
      <c r="A579" t="s">
        <v>1837</v>
      </c>
    </row>
    <row r="580" spans="1:1" x14ac:dyDescent="0.25">
      <c r="A580" t="s">
        <v>1838</v>
      </c>
    </row>
    <row r="581" spans="1:1" x14ac:dyDescent="0.25">
      <c r="A581" t="s">
        <v>1839</v>
      </c>
    </row>
    <row r="582" spans="1:1" x14ac:dyDescent="0.25">
      <c r="A582" t="s">
        <v>1840</v>
      </c>
    </row>
    <row r="583" spans="1:1" x14ac:dyDescent="0.25">
      <c r="A583" t="s">
        <v>1841</v>
      </c>
    </row>
    <row r="584" spans="1:1" x14ac:dyDescent="0.25">
      <c r="A584" t="s">
        <v>1842</v>
      </c>
    </row>
    <row r="585" spans="1:1" x14ac:dyDescent="0.25">
      <c r="A585" t="s">
        <v>1843</v>
      </c>
    </row>
    <row r="586" spans="1:1" x14ac:dyDescent="0.25">
      <c r="A586" t="s">
        <v>1844</v>
      </c>
    </row>
    <row r="587" spans="1:1" x14ac:dyDescent="0.25">
      <c r="A587" t="s">
        <v>1845</v>
      </c>
    </row>
    <row r="588" spans="1:1" x14ac:dyDescent="0.25">
      <c r="A588" t="s">
        <v>1846</v>
      </c>
    </row>
    <row r="589" spans="1:1" x14ac:dyDescent="0.25">
      <c r="A589" t="s">
        <v>1847</v>
      </c>
    </row>
    <row r="590" spans="1:1" x14ac:dyDescent="0.25">
      <c r="A590" t="s">
        <v>1848</v>
      </c>
    </row>
    <row r="591" spans="1:1" x14ac:dyDescent="0.25">
      <c r="A591" t="s">
        <v>1849</v>
      </c>
    </row>
    <row r="592" spans="1:1" x14ac:dyDescent="0.25">
      <c r="A592" t="s">
        <v>1850</v>
      </c>
    </row>
    <row r="593" spans="1:1" x14ac:dyDescent="0.25">
      <c r="A593" t="s">
        <v>1851</v>
      </c>
    </row>
    <row r="594" spans="1:1" x14ac:dyDescent="0.25">
      <c r="A594" t="s">
        <v>1852</v>
      </c>
    </row>
    <row r="595" spans="1:1" x14ac:dyDescent="0.25">
      <c r="A595" t="s">
        <v>1853</v>
      </c>
    </row>
    <row r="596" spans="1:1" x14ac:dyDescent="0.25">
      <c r="A596" t="s">
        <v>1854</v>
      </c>
    </row>
    <row r="597" spans="1:1" x14ac:dyDescent="0.25">
      <c r="A597" t="s">
        <v>1855</v>
      </c>
    </row>
    <row r="598" spans="1:1" x14ac:dyDescent="0.25">
      <c r="A598" t="s">
        <v>1856</v>
      </c>
    </row>
    <row r="599" spans="1:1" x14ac:dyDescent="0.25">
      <c r="A599" t="s">
        <v>1857</v>
      </c>
    </row>
    <row r="600" spans="1:1" x14ac:dyDescent="0.25">
      <c r="A600" t="s">
        <v>1858</v>
      </c>
    </row>
    <row r="601" spans="1:1" x14ac:dyDescent="0.25">
      <c r="A601" t="s">
        <v>1859</v>
      </c>
    </row>
    <row r="602" spans="1:1" x14ac:dyDescent="0.25">
      <c r="A602" t="s">
        <v>1860</v>
      </c>
    </row>
    <row r="603" spans="1:1" x14ac:dyDescent="0.25">
      <c r="A603" t="s">
        <v>1861</v>
      </c>
    </row>
    <row r="604" spans="1:1" x14ac:dyDescent="0.25">
      <c r="A604" t="s">
        <v>1862</v>
      </c>
    </row>
    <row r="605" spans="1:1" x14ac:dyDescent="0.25">
      <c r="A605" t="s">
        <v>1863</v>
      </c>
    </row>
    <row r="606" spans="1:1" x14ac:dyDescent="0.25">
      <c r="A606" t="s">
        <v>1864</v>
      </c>
    </row>
    <row r="607" spans="1:1" x14ac:dyDescent="0.25">
      <c r="A607" t="s">
        <v>1865</v>
      </c>
    </row>
    <row r="608" spans="1:1" x14ac:dyDescent="0.25">
      <c r="A608" t="s">
        <v>1866</v>
      </c>
    </row>
    <row r="609" spans="1:1" x14ac:dyDescent="0.25">
      <c r="A609" t="s">
        <v>1867</v>
      </c>
    </row>
    <row r="610" spans="1:1" x14ac:dyDescent="0.25">
      <c r="A610" t="s">
        <v>1868</v>
      </c>
    </row>
    <row r="611" spans="1:1" x14ac:dyDescent="0.25">
      <c r="A611" t="s">
        <v>1869</v>
      </c>
    </row>
    <row r="612" spans="1:1" x14ac:dyDescent="0.25">
      <c r="A612" t="s">
        <v>1870</v>
      </c>
    </row>
    <row r="613" spans="1:1" x14ac:dyDescent="0.25">
      <c r="A613" t="s">
        <v>1871</v>
      </c>
    </row>
    <row r="614" spans="1:1" x14ac:dyDescent="0.25">
      <c r="A614" t="s">
        <v>1872</v>
      </c>
    </row>
    <row r="615" spans="1:1" x14ac:dyDescent="0.25">
      <c r="A615" t="s">
        <v>1873</v>
      </c>
    </row>
    <row r="616" spans="1:1" x14ac:dyDescent="0.25">
      <c r="A616" t="s">
        <v>1874</v>
      </c>
    </row>
    <row r="617" spans="1:1" x14ac:dyDescent="0.25">
      <c r="A617" t="s">
        <v>1875</v>
      </c>
    </row>
    <row r="618" spans="1:1" x14ac:dyDescent="0.25">
      <c r="A618" t="s">
        <v>1876</v>
      </c>
    </row>
    <row r="619" spans="1:1" x14ac:dyDescent="0.25">
      <c r="A619" t="s">
        <v>1877</v>
      </c>
    </row>
    <row r="620" spans="1:1" x14ac:dyDescent="0.25">
      <c r="A620" t="s">
        <v>1878</v>
      </c>
    </row>
    <row r="621" spans="1:1" x14ac:dyDescent="0.25">
      <c r="A621" t="s">
        <v>1879</v>
      </c>
    </row>
    <row r="622" spans="1:1" x14ac:dyDescent="0.25">
      <c r="A622" t="s">
        <v>1880</v>
      </c>
    </row>
    <row r="623" spans="1:1" x14ac:dyDescent="0.25">
      <c r="A623" t="s">
        <v>1881</v>
      </c>
    </row>
    <row r="624" spans="1:1" x14ac:dyDescent="0.25">
      <c r="A624" t="s">
        <v>1882</v>
      </c>
    </row>
    <row r="625" spans="1:1" x14ac:dyDescent="0.25">
      <c r="A625" t="s">
        <v>1883</v>
      </c>
    </row>
    <row r="626" spans="1:1" x14ac:dyDescent="0.25">
      <c r="A626" t="s">
        <v>1884</v>
      </c>
    </row>
    <row r="627" spans="1:1" x14ac:dyDescent="0.25">
      <c r="A627" t="s">
        <v>1885</v>
      </c>
    </row>
    <row r="628" spans="1:1" x14ac:dyDescent="0.25">
      <c r="A628" t="s">
        <v>1886</v>
      </c>
    </row>
    <row r="629" spans="1:1" x14ac:dyDescent="0.25">
      <c r="A629" t="s">
        <v>1887</v>
      </c>
    </row>
    <row r="630" spans="1:1" x14ac:dyDescent="0.25">
      <c r="A630" t="s">
        <v>1888</v>
      </c>
    </row>
    <row r="631" spans="1:1" x14ac:dyDescent="0.25">
      <c r="A631" t="s">
        <v>1889</v>
      </c>
    </row>
    <row r="632" spans="1:1" x14ac:dyDescent="0.25">
      <c r="A632" t="s">
        <v>1890</v>
      </c>
    </row>
    <row r="633" spans="1:1" x14ac:dyDescent="0.25">
      <c r="A633" t="s">
        <v>1891</v>
      </c>
    </row>
    <row r="634" spans="1:1" x14ac:dyDescent="0.25">
      <c r="A634" t="s">
        <v>1892</v>
      </c>
    </row>
    <row r="635" spans="1:1" x14ac:dyDescent="0.25">
      <c r="A635" t="s">
        <v>1893</v>
      </c>
    </row>
    <row r="636" spans="1:1" x14ac:dyDescent="0.25">
      <c r="A636" t="s">
        <v>1894</v>
      </c>
    </row>
    <row r="637" spans="1:1" x14ac:dyDescent="0.25">
      <c r="A637" t="s">
        <v>1895</v>
      </c>
    </row>
    <row r="638" spans="1:1" x14ac:dyDescent="0.25">
      <c r="A638" t="s">
        <v>1896</v>
      </c>
    </row>
    <row r="639" spans="1:1" x14ac:dyDescent="0.25">
      <c r="A639" t="s">
        <v>1897</v>
      </c>
    </row>
    <row r="640" spans="1:1" x14ac:dyDescent="0.25">
      <c r="A640" t="s">
        <v>1898</v>
      </c>
    </row>
    <row r="641" spans="1:1" x14ac:dyDescent="0.25">
      <c r="A641" t="s">
        <v>1899</v>
      </c>
    </row>
    <row r="642" spans="1:1" x14ac:dyDescent="0.25">
      <c r="A642" t="s">
        <v>1900</v>
      </c>
    </row>
    <row r="643" spans="1:1" x14ac:dyDescent="0.25">
      <c r="A643" t="s">
        <v>1901</v>
      </c>
    </row>
    <row r="644" spans="1:1" x14ac:dyDescent="0.25">
      <c r="A644" t="s">
        <v>1902</v>
      </c>
    </row>
    <row r="645" spans="1:1" x14ac:dyDescent="0.25">
      <c r="A645" t="s">
        <v>1903</v>
      </c>
    </row>
    <row r="646" spans="1:1" x14ac:dyDescent="0.25">
      <c r="A646" t="s">
        <v>1904</v>
      </c>
    </row>
    <row r="647" spans="1:1" x14ac:dyDescent="0.25">
      <c r="A647" t="s">
        <v>1905</v>
      </c>
    </row>
    <row r="648" spans="1:1" x14ac:dyDescent="0.25">
      <c r="A648" t="s">
        <v>1906</v>
      </c>
    </row>
    <row r="649" spans="1:1" x14ac:dyDescent="0.25">
      <c r="A649" t="s">
        <v>1907</v>
      </c>
    </row>
    <row r="650" spans="1:1" x14ac:dyDescent="0.25">
      <c r="A650" t="s">
        <v>1908</v>
      </c>
    </row>
    <row r="651" spans="1:1" x14ac:dyDescent="0.25">
      <c r="A651" t="s">
        <v>1909</v>
      </c>
    </row>
    <row r="652" spans="1:1" x14ac:dyDescent="0.25">
      <c r="A652" t="s">
        <v>1910</v>
      </c>
    </row>
    <row r="653" spans="1:1" x14ac:dyDescent="0.25">
      <c r="A653" t="s">
        <v>1911</v>
      </c>
    </row>
    <row r="654" spans="1:1" x14ac:dyDescent="0.25">
      <c r="A654" t="s">
        <v>1912</v>
      </c>
    </row>
    <row r="655" spans="1:1" x14ac:dyDescent="0.25">
      <c r="A655" t="s">
        <v>1913</v>
      </c>
    </row>
    <row r="656" spans="1:1" x14ac:dyDescent="0.25">
      <c r="A656" t="s">
        <v>1914</v>
      </c>
    </row>
    <row r="657" spans="1:1" x14ac:dyDescent="0.25">
      <c r="A657" t="s">
        <v>1915</v>
      </c>
    </row>
    <row r="658" spans="1:1" x14ac:dyDescent="0.25">
      <c r="A658" t="s">
        <v>1916</v>
      </c>
    </row>
    <row r="659" spans="1:1" x14ac:dyDescent="0.25">
      <c r="A659" t="s">
        <v>1917</v>
      </c>
    </row>
    <row r="660" spans="1:1" x14ac:dyDescent="0.25">
      <c r="A660" t="s">
        <v>1918</v>
      </c>
    </row>
    <row r="661" spans="1:1" x14ac:dyDescent="0.25">
      <c r="A661" t="s">
        <v>1919</v>
      </c>
    </row>
    <row r="662" spans="1:1" x14ac:dyDescent="0.25">
      <c r="A662" t="s">
        <v>1920</v>
      </c>
    </row>
    <row r="663" spans="1:1" x14ac:dyDescent="0.25">
      <c r="A663" t="s">
        <v>1921</v>
      </c>
    </row>
    <row r="664" spans="1:1" x14ac:dyDescent="0.25">
      <c r="A664" t="s">
        <v>1922</v>
      </c>
    </row>
    <row r="665" spans="1:1" x14ac:dyDescent="0.25">
      <c r="A665" t="s">
        <v>1923</v>
      </c>
    </row>
    <row r="666" spans="1:1" x14ac:dyDescent="0.25">
      <c r="A666" t="s">
        <v>1924</v>
      </c>
    </row>
    <row r="667" spans="1:1" x14ac:dyDescent="0.25">
      <c r="A667" t="s">
        <v>1925</v>
      </c>
    </row>
    <row r="668" spans="1:1" x14ac:dyDescent="0.25">
      <c r="A668" t="s">
        <v>1926</v>
      </c>
    </row>
    <row r="669" spans="1:1" x14ac:dyDescent="0.25">
      <c r="A669" t="s">
        <v>1927</v>
      </c>
    </row>
    <row r="670" spans="1:1" x14ac:dyDescent="0.25">
      <c r="A670" t="s">
        <v>1928</v>
      </c>
    </row>
    <row r="671" spans="1:1" x14ac:dyDescent="0.25">
      <c r="A671" t="s">
        <v>1929</v>
      </c>
    </row>
    <row r="672" spans="1:1" x14ac:dyDescent="0.25">
      <c r="A672" t="s">
        <v>1930</v>
      </c>
    </row>
    <row r="673" spans="1:1" x14ac:dyDescent="0.25">
      <c r="A673" t="s">
        <v>1931</v>
      </c>
    </row>
    <row r="674" spans="1:1" x14ac:dyDescent="0.25">
      <c r="A674" t="s">
        <v>1932</v>
      </c>
    </row>
    <row r="675" spans="1:1" x14ac:dyDescent="0.25">
      <c r="A675" t="s">
        <v>1933</v>
      </c>
    </row>
    <row r="676" spans="1:1" x14ac:dyDescent="0.25">
      <c r="A676" t="s">
        <v>1934</v>
      </c>
    </row>
    <row r="677" spans="1:1" x14ac:dyDescent="0.25">
      <c r="A677" t="s">
        <v>1935</v>
      </c>
    </row>
    <row r="678" spans="1:1" x14ac:dyDescent="0.25">
      <c r="A678" t="s">
        <v>1936</v>
      </c>
    </row>
    <row r="679" spans="1:1" x14ac:dyDescent="0.25">
      <c r="A679" t="s">
        <v>1937</v>
      </c>
    </row>
    <row r="680" spans="1:1" x14ac:dyDescent="0.25">
      <c r="A680" t="s">
        <v>1938</v>
      </c>
    </row>
    <row r="681" spans="1:1" x14ac:dyDescent="0.25">
      <c r="A681" t="s">
        <v>1939</v>
      </c>
    </row>
    <row r="682" spans="1:1" x14ac:dyDescent="0.25">
      <c r="A682" t="s">
        <v>1940</v>
      </c>
    </row>
    <row r="683" spans="1:1" x14ac:dyDescent="0.25">
      <c r="A683" t="s">
        <v>1941</v>
      </c>
    </row>
    <row r="684" spans="1:1" x14ac:dyDescent="0.25">
      <c r="A684" t="s">
        <v>1942</v>
      </c>
    </row>
    <row r="685" spans="1:1" x14ac:dyDescent="0.25">
      <c r="A685" t="s">
        <v>1943</v>
      </c>
    </row>
    <row r="686" spans="1:1" x14ac:dyDescent="0.25">
      <c r="A686" t="s">
        <v>1944</v>
      </c>
    </row>
    <row r="687" spans="1:1" x14ac:dyDescent="0.25">
      <c r="A687" t="s">
        <v>1945</v>
      </c>
    </row>
    <row r="688" spans="1:1" x14ac:dyDescent="0.25">
      <c r="A688" t="s">
        <v>1946</v>
      </c>
    </row>
    <row r="689" spans="1:1" x14ac:dyDescent="0.25">
      <c r="A689" t="s">
        <v>1947</v>
      </c>
    </row>
    <row r="690" spans="1:1" x14ac:dyDescent="0.25">
      <c r="A690" t="s">
        <v>1948</v>
      </c>
    </row>
    <row r="691" spans="1:1" x14ac:dyDescent="0.25">
      <c r="A691" t="s">
        <v>1949</v>
      </c>
    </row>
    <row r="692" spans="1:1" x14ac:dyDescent="0.25">
      <c r="A692" t="s">
        <v>1950</v>
      </c>
    </row>
    <row r="693" spans="1:1" x14ac:dyDescent="0.25">
      <c r="A693" t="s">
        <v>1951</v>
      </c>
    </row>
    <row r="694" spans="1:1" x14ac:dyDescent="0.25">
      <c r="A694" t="s">
        <v>1952</v>
      </c>
    </row>
    <row r="695" spans="1:1" x14ac:dyDescent="0.25">
      <c r="A695" t="s">
        <v>1953</v>
      </c>
    </row>
    <row r="696" spans="1:1" x14ac:dyDescent="0.25">
      <c r="A696" t="s">
        <v>1954</v>
      </c>
    </row>
    <row r="697" spans="1:1" x14ac:dyDescent="0.25">
      <c r="A697" t="s">
        <v>1955</v>
      </c>
    </row>
    <row r="698" spans="1:1" x14ac:dyDescent="0.25">
      <c r="A698" t="s">
        <v>1956</v>
      </c>
    </row>
    <row r="699" spans="1:1" x14ac:dyDescent="0.25">
      <c r="A699" t="s">
        <v>1957</v>
      </c>
    </row>
    <row r="700" spans="1:1" x14ac:dyDescent="0.25">
      <c r="A700" t="s">
        <v>1958</v>
      </c>
    </row>
    <row r="701" spans="1:1" x14ac:dyDescent="0.25">
      <c r="A701" t="s">
        <v>1959</v>
      </c>
    </row>
    <row r="702" spans="1:1" x14ac:dyDescent="0.25">
      <c r="A702" t="s">
        <v>1960</v>
      </c>
    </row>
    <row r="703" spans="1:1" x14ac:dyDescent="0.25">
      <c r="A703" t="s">
        <v>1961</v>
      </c>
    </row>
    <row r="704" spans="1:1" x14ac:dyDescent="0.25">
      <c r="A704" t="s">
        <v>1962</v>
      </c>
    </row>
    <row r="705" spans="1:1" x14ac:dyDescent="0.25">
      <c r="A705" t="s">
        <v>1963</v>
      </c>
    </row>
    <row r="706" spans="1:1" x14ac:dyDescent="0.25">
      <c r="A706" t="s">
        <v>1964</v>
      </c>
    </row>
    <row r="707" spans="1:1" x14ac:dyDescent="0.25">
      <c r="A707" t="s">
        <v>1965</v>
      </c>
    </row>
    <row r="708" spans="1:1" x14ac:dyDescent="0.25">
      <c r="A708" t="s">
        <v>1966</v>
      </c>
    </row>
    <row r="709" spans="1:1" x14ac:dyDescent="0.25">
      <c r="A709" t="s">
        <v>1967</v>
      </c>
    </row>
    <row r="710" spans="1:1" x14ac:dyDescent="0.25">
      <c r="A710" t="s">
        <v>1968</v>
      </c>
    </row>
    <row r="711" spans="1:1" x14ac:dyDescent="0.25">
      <c r="A711" t="s">
        <v>1969</v>
      </c>
    </row>
    <row r="712" spans="1:1" x14ac:dyDescent="0.25">
      <c r="A712" t="s">
        <v>1970</v>
      </c>
    </row>
    <row r="713" spans="1:1" x14ac:dyDescent="0.25">
      <c r="A713" t="s">
        <v>1971</v>
      </c>
    </row>
    <row r="714" spans="1:1" x14ac:dyDescent="0.25">
      <c r="A714" t="s">
        <v>1972</v>
      </c>
    </row>
    <row r="715" spans="1:1" x14ac:dyDescent="0.25">
      <c r="A715" t="s">
        <v>1973</v>
      </c>
    </row>
    <row r="716" spans="1:1" x14ac:dyDescent="0.25">
      <c r="A716" t="s">
        <v>1974</v>
      </c>
    </row>
    <row r="717" spans="1:1" x14ac:dyDescent="0.25">
      <c r="A717" t="s">
        <v>1975</v>
      </c>
    </row>
    <row r="718" spans="1:1" x14ac:dyDescent="0.25">
      <c r="A718" t="s">
        <v>1976</v>
      </c>
    </row>
    <row r="719" spans="1:1" x14ac:dyDescent="0.25">
      <c r="A719" t="s">
        <v>1977</v>
      </c>
    </row>
    <row r="720" spans="1:1" x14ac:dyDescent="0.25">
      <c r="A720" t="s">
        <v>1978</v>
      </c>
    </row>
    <row r="721" spans="1:1" x14ac:dyDescent="0.25">
      <c r="A721" t="s">
        <v>1979</v>
      </c>
    </row>
    <row r="722" spans="1:1" x14ac:dyDescent="0.25">
      <c r="A722" t="s">
        <v>1980</v>
      </c>
    </row>
    <row r="723" spans="1:1" x14ac:dyDescent="0.25">
      <c r="A723" t="s">
        <v>1981</v>
      </c>
    </row>
    <row r="724" spans="1:1" x14ac:dyDescent="0.25">
      <c r="A724" t="s">
        <v>1982</v>
      </c>
    </row>
    <row r="725" spans="1:1" x14ac:dyDescent="0.25">
      <c r="A725" t="s">
        <v>1983</v>
      </c>
    </row>
    <row r="726" spans="1:1" x14ac:dyDescent="0.25">
      <c r="A726" t="s">
        <v>1984</v>
      </c>
    </row>
    <row r="727" spans="1:1" x14ac:dyDescent="0.25">
      <c r="A727" t="s">
        <v>1985</v>
      </c>
    </row>
    <row r="728" spans="1:1" x14ac:dyDescent="0.25">
      <c r="A728" t="s">
        <v>1986</v>
      </c>
    </row>
    <row r="729" spans="1:1" x14ac:dyDescent="0.25">
      <c r="A729" t="s">
        <v>1987</v>
      </c>
    </row>
    <row r="730" spans="1:1" x14ac:dyDescent="0.25">
      <c r="A730" t="s">
        <v>1988</v>
      </c>
    </row>
    <row r="731" spans="1:1" x14ac:dyDescent="0.25">
      <c r="A731" t="s">
        <v>1989</v>
      </c>
    </row>
    <row r="732" spans="1:1" x14ac:dyDescent="0.25">
      <c r="A732" t="s">
        <v>1990</v>
      </c>
    </row>
    <row r="733" spans="1:1" x14ac:dyDescent="0.25">
      <c r="A733" t="s">
        <v>1991</v>
      </c>
    </row>
    <row r="734" spans="1:1" x14ac:dyDescent="0.25">
      <c r="A734" t="s">
        <v>1992</v>
      </c>
    </row>
    <row r="735" spans="1:1" x14ac:dyDescent="0.25">
      <c r="A735" t="s">
        <v>1993</v>
      </c>
    </row>
    <row r="736" spans="1:1" x14ac:dyDescent="0.25">
      <c r="A736" t="s">
        <v>1994</v>
      </c>
    </row>
    <row r="737" spans="1:1" x14ac:dyDescent="0.25">
      <c r="A737" t="s">
        <v>1995</v>
      </c>
    </row>
    <row r="738" spans="1:1" x14ac:dyDescent="0.25">
      <c r="A738" t="s">
        <v>1996</v>
      </c>
    </row>
    <row r="739" spans="1:1" x14ac:dyDescent="0.25">
      <c r="A739" t="s">
        <v>1997</v>
      </c>
    </row>
    <row r="740" spans="1:1" x14ac:dyDescent="0.25">
      <c r="A740" t="s">
        <v>1998</v>
      </c>
    </row>
    <row r="741" spans="1:1" x14ac:dyDescent="0.25">
      <c r="A741" t="s">
        <v>1999</v>
      </c>
    </row>
    <row r="742" spans="1:1" x14ac:dyDescent="0.25">
      <c r="A742" t="s">
        <v>2000</v>
      </c>
    </row>
    <row r="743" spans="1:1" x14ac:dyDescent="0.25">
      <c r="A743" t="s">
        <v>2001</v>
      </c>
    </row>
    <row r="744" spans="1:1" x14ac:dyDescent="0.25">
      <c r="A744" t="s">
        <v>2002</v>
      </c>
    </row>
    <row r="745" spans="1:1" x14ac:dyDescent="0.25">
      <c r="A745" t="s">
        <v>2003</v>
      </c>
    </row>
    <row r="746" spans="1:1" x14ac:dyDescent="0.25">
      <c r="A746" t="s">
        <v>2004</v>
      </c>
    </row>
    <row r="747" spans="1:1" x14ac:dyDescent="0.25">
      <c r="A747" t="s">
        <v>2005</v>
      </c>
    </row>
    <row r="748" spans="1:1" x14ac:dyDescent="0.25">
      <c r="A748" t="s">
        <v>2006</v>
      </c>
    </row>
    <row r="749" spans="1:1" x14ac:dyDescent="0.25">
      <c r="A749" t="s">
        <v>2007</v>
      </c>
    </row>
    <row r="750" spans="1:1" x14ac:dyDescent="0.25">
      <c r="A750" t="s">
        <v>2008</v>
      </c>
    </row>
    <row r="751" spans="1:1" x14ac:dyDescent="0.25">
      <c r="A751" t="s">
        <v>2009</v>
      </c>
    </row>
    <row r="752" spans="1:1" x14ac:dyDescent="0.25">
      <c r="A752" t="s">
        <v>2010</v>
      </c>
    </row>
    <row r="753" spans="1:1" x14ac:dyDescent="0.25">
      <c r="A753" t="s">
        <v>2011</v>
      </c>
    </row>
    <row r="754" spans="1:1" x14ac:dyDescent="0.25">
      <c r="A754" t="s">
        <v>2012</v>
      </c>
    </row>
    <row r="755" spans="1:1" x14ac:dyDescent="0.25">
      <c r="A755" t="s">
        <v>2013</v>
      </c>
    </row>
    <row r="756" spans="1:1" x14ac:dyDescent="0.25">
      <c r="A756" t="s">
        <v>2014</v>
      </c>
    </row>
    <row r="757" spans="1:1" x14ac:dyDescent="0.25">
      <c r="A757" t="s">
        <v>2015</v>
      </c>
    </row>
    <row r="758" spans="1:1" x14ac:dyDescent="0.25">
      <c r="A758" t="s">
        <v>2016</v>
      </c>
    </row>
    <row r="759" spans="1:1" x14ac:dyDescent="0.25">
      <c r="A759" t="s">
        <v>2017</v>
      </c>
    </row>
    <row r="760" spans="1:1" x14ac:dyDescent="0.25">
      <c r="A760" t="s">
        <v>2018</v>
      </c>
    </row>
    <row r="761" spans="1:1" x14ac:dyDescent="0.25">
      <c r="A761" t="s">
        <v>2019</v>
      </c>
    </row>
    <row r="762" spans="1:1" x14ac:dyDescent="0.25">
      <c r="A762" t="s">
        <v>2020</v>
      </c>
    </row>
    <row r="763" spans="1:1" x14ac:dyDescent="0.25">
      <c r="A763" t="s">
        <v>2021</v>
      </c>
    </row>
    <row r="764" spans="1:1" x14ac:dyDescent="0.25">
      <c r="A764" t="s">
        <v>2022</v>
      </c>
    </row>
    <row r="765" spans="1:1" x14ac:dyDescent="0.25">
      <c r="A765" t="s">
        <v>2023</v>
      </c>
    </row>
    <row r="766" spans="1:1" x14ac:dyDescent="0.25">
      <c r="A766" t="s">
        <v>2024</v>
      </c>
    </row>
    <row r="767" spans="1:1" x14ac:dyDescent="0.25">
      <c r="A767" t="s">
        <v>2025</v>
      </c>
    </row>
    <row r="768" spans="1:1" x14ac:dyDescent="0.25">
      <c r="A768" t="s">
        <v>2026</v>
      </c>
    </row>
    <row r="769" spans="1:1" x14ac:dyDescent="0.25">
      <c r="A769" t="s">
        <v>2027</v>
      </c>
    </row>
    <row r="770" spans="1:1" x14ac:dyDescent="0.25">
      <c r="A770" t="s">
        <v>2028</v>
      </c>
    </row>
    <row r="771" spans="1:1" x14ac:dyDescent="0.25">
      <c r="A771" t="s">
        <v>2029</v>
      </c>
    </row>
    <row r="772" spans="1:1" x14ac:dyDescent="0.25">
      <c r="A772" t="s">
        <v>2030</v>
      </c>
    </row>
    <row r="773" spans="1:1" x14ac:dyDescent="0.25">
      <c r="A773" t="s">
        <v>2031</v>
      </c>
    </row>
    <row r="774" spans="1:1" x14ac:dyDescent="0.25">
      <c r="A774" t="s">
        <v>2032</v>
      </c>
    </row>
    <row r="775" spans="1:1" x14ac:dyDescent="0.25">
      <c r="A775" t="s">
        <v>2033</v>
      </c>
    </row>
    <row r="776" spans="1:1" x14ac:dyDescent="0.25">
      <c r="A776" t="s">
        <v>2034</v>
      </c>
    </row>
    <row r="777" spans="1:1" x14ac:dyDescent="0.25">
      <c r="A777" t="s">
        <v>2035</v>
      </c>
    </row>
    <row r="778" spans="1:1" x14ac:dyDescent="0.25">
      <c r="A778" t="s">
        <v>2036</v>
      </c>
    </row>
    <row r="779" spans="1:1" x14ac:dyDescent="0.25">
      <c r="A779" t="s">
        <v>2037</v>
      </c>
    </row>
    <row r="780" spans="1:1" x14ac:dyDescent="0.25">
      <c r="A780" t="s">
        <v>2038</v>
      </c>
    </row>
    <row r="781" spans="1:1" x14ac:dyDescent="0.25">
      <c r="A781" t="s">
        <v>2039</v>
      </c>
    </row>
    <row r="782" spans="1:1" x14ac:dyDescent="0.25">
      <c r="A782" t="s">
        <v>2040</v>
      </c>
    </row>
    <row r="783" spans="1:1" x14ac:dyDescent="0.25">
      <c r="A783" t="s">
        <v>2041</v>
      </c>
    </row>
    <row r="784" spans="1:1" x14ac:dyDescent="0.25">
      <c r="A784" t="s">
        <v>2042</v>
      </c>
    </row>
    <row r="785" spans="1:1" x14ac:dyDescent="0.25">
      <c r="A785" t="s">
        <v>2043</v>
      </c>
    </row>
    <row r="786" spans="1:1" x14ac:dyDescent="0.25">
      <c r="A786" t="s">
        <v>2044</v>
      </c>
    </row>
    <row r="787" spans="1:1" x14ac:dyDescent="0.25">
      <c r="A787" t="s">
        <v>2045</v>
      </c>
    </row>
    <row r="788" spans="1:1" x14ac:dyDescent="0.25">
      <c r="A788" t="s">
        <v>2046</v>
      </c>
    </row>
    <row r="789" spans="1:1" x14ac:dyDescent="0.25">
      <c r="A789" t="s">
        <v>2047</v>
      </c>
    </row>
    <row r="790" spans="1:1" x14ac:dyDescent="0.25">
      <c r="A790" t="s">
        <v>2048</v>
      </c>
    </row>
    <row r="791" spans="1:1" x14ac:dyDescent="0.25">
      <c r="A791" t="s">
        <v>2049</v>
      </c>
    </row>
    <row r="792" spans="1:1" x14ac:dyDescent="0.25">
      <c r="A792" t="s">
        <v>2050</v>
      </c>
    </row>
    <row r="793" spans="1:1" x14ac:dyDescent="0.25">
      <c r="A793" t="s">
        <v>2051</v>
      </c>
    </row>
    <row r="794" spans="1:1" x14ac:dyDescent="0.25">
      <c r="A794" t="s">
        <v>2052</v>
      </c>
    </row>
    <row r="795" spans="1:1" x14ac:dyDescent="0.25">
      <c r="A795" t="s">
        <v>2053</v>
      </c>
    </row>
    <row r="796" spans="1:1" x14ac:dyDescent="0.25">
      <c r="A796" t="s">
        <v>2054</v>
      </c>
    </row>
    <row r="797" spans="1:1" x14ac:dyDescent="0.25">
      <c r="A797" t="s">
        <v>2055</v>
      </c>
    </row>
    <row r="798" spans="1:1" x14ac:dyDescent="0.25">
      <c r="A798" t="s">
        <v>2056</v>
      </c>
    </row>
    <row r="799" spans="1:1" x14ac:dyDescent="0.25">
      <c r="A799" t="s">
        <v>2057</v>
      </c>
    </row>
    <row r="800" spans="1:1" x14ac:dyDescent="0.25">
      <c r="A800" t="s">
        <v>2058</v>
      </c>
    </row>
    <row r="801" spans="1:1" x14ac:dyDescent="0.25">
      <c r="A801" t="s">
        <v>2059</v>
      </c>
    </row>
    <row r="802" spans="1:1" x14ac:dyDescent="0.25">
      <c r="A802" t="s">
        <v>2060</v>
      </c>
    </row>
    <row r="803" spans="1:1" x14ac:dyDescent="0.25">
      <c r="A803" t="s">
        <v>2061</v>
      </c>
    </row>
    <row r="804" spans="1:1" x14ac:dyDescent="0.25">
      <c r="A804" t="s">
        <v>2062</v>
      </c>
    </row>
    <row r="805" spans="1:1" x14ac:dyDescent="0.25">
      <c r="A805" t="s">
        <v>2063</v>
      </c>
    </row>
    <row r="806" spans="1:1" x14ac:dyDescent="0.25">
      <c r="A806" t="s">
        <v>2064</v>
      </c>
    </row>
    <row r="807" spans="1:1" x14ac:dyDescent="0.25">
      <c r="A807" t="s">
        <v>2065</v>
      </c>
    </row>
    <row r="808" spans="1:1" x14ac:dyDescent="0.25">
      <c r="A808" t="s">
        <v>2066</v>
      </c>
    </row>
    <row r="809" spans="1:1" x14ac:dyDescent="0.25">
      <c r="A809" t="s">
        <v>2067</v>
      </c>
    </row>
    <row r="810" spans="1:1" x14ac:dyDescent="0.25">
      <c r="A810" t="s">
        <v>2068</v>
      </c>
    </row>
    <row r="811" spans="1:1" x14ac:dyDescent="0.25">
      <c r="A811" t="s">
        <v>2069</v>
      </c>
    </row>
    <row r="812" spans="1:1" x14ac:dyDescent="0.25">
      <c r="A812" t="s">
        <v>2070</v>
      </c>
    </row>
    <row r="813" spans="1:1" x14ac:dyDescent="0.25">
      <c r="A813" t="s">
        <v>2071</v>
      </c>
    </row>
    <row r="814" spans="1:1" x14ac:dyDescent="0.25">
      <c r="A814" t="s">
        <v>2072</v>
      </c>
    </row>
    <row r="815" spans="1:1" x14ac:dyDescent="0.25">
      <c r="A815" t="s">
        <v>2073</v>
      </c>
    </row>
    <row r="816" spans="1:1" x14ac:dyDescent="0.25">
      <c r="A816" t="s">
        <v>2074</v>
      </c>
    </row>
    <row r="817" spans="1:1" x14ac:dyDescent="0.25">
      <c r="A817" t="s">
        <v>2075</v>
      </c>
    </row>
    <row r="818" spans="1:1" x14ac:dyDescent="0.25">
      <c r="A818" t="s">
        <v>2076</v>
      </c>
    </row>
    <row r="819" spans="1:1" x14ac:dyDescent="0.25">
      <c r="A819" t="s">
        <v>2077</v>
      </c>
    </row>
    <row r="820" spans="1:1" x14ac:dyDescent="0.25">
      <c r="A820" t="s">
        <v>2078</v>
      </c>
    </row>
    <row r="821" spans="1:1" x14ac:dyDescent="0.25">
      <c r="A821" t="s">
        <v>2079</v>
      </c>
    </row>
    <row r="822" spans="1:1" x14ac:dyDescent="0.25">
      <c r="A822" t="s">
        <v>2080</v>
      </c>
    </row>
    <row r="823" spans="1:1" x14ac:dyDescent="0.25">
      <c r="A823" t="s">
        <v>2081</v>
      </c>
    </row>
    <row r="824" spans="1:1" x14ac:dyDescent="0.25">
      <c r="A824" t="s">
        <v>2082</v>
      </c>
    </row>
    <row r="825" spans="1:1" x14ac:dyDescent="0.25">
      <c r="A825" t="s">
        <v>2083</v>
      </c>
    </row>
    <row r="826" spans="1:1" x14ac:dyDescent="0.25">
      <c r="A826" t="s">
        <v>2084</v>
      </c>
    </row>
    <row r="827" spans="1:1" x14ac:dyDescent="0.25">
      <c r="A827" t="s">
        <v>2085</v>
      </c>
    </row>
    <row r="828" spans="1:1" x14ac:dyDescent="0.25">
      <c r="A828" t="s">
        <v>2086</v>
      </c>
    </row>
    <row r="829" spans="1:1" x14ac:dyDescent="0.25">
      <c r="A829" t="s">
        <v>2087</v>
      </c>
    </row>
    <row r="830" spans="1:1" x14ac:dyDescent="0.25">
      <c r="A830" t="s">
        <v>2088</v>
      </c>
    </row>
    <row r="831" spans="1:1" x14ac:dyDescent="0.25">
      <c r="A831" t="s">
        <v>2089</v>
      </c>
    </row>
    <row r="832" spans="1:1" x14ac:dyDescent="0.25">
      <c r="A832" t="s">
        <v>2090</v>
      </c>
    </row>
    <row r="833" spans="1:1" x14ac:dyDescent="0.25">
      <c r="A833" t="s">
        <v>2091</v>
      </c>
    </row>
    <row r="834" spans="1:1" x14ac:dyDescent="0.25">
      <c r="A834" t="s">
        <v>2092</v>
      </c>
    </row>
    <row r="835" spans="1:1" x14ac:dyDescent="0.25">
      <c r="A835" t="s">
        <v>2093</v>
      </c>
    </row>
    <row r="836" spans="1:1" x14ac:dyDescent="0.25">
      <c r="A836" t="s">
        <v>2094</v>
      </c>
    </row>
    <row r="837" spans="1:1" x14ac:dyDescent="0.25">
      <c r="A837" t="s">
        <v>2095</v>
      </c>
    </row>
    <row r="838" spans="1:1" x14ac:dyDescent="0.25">
      <c r="A838" t="s">
        <v>2096</v>
      </c>
    </row>
    <row r="839" spans="1:1" x14ac:dyDescent="0.25">
      <c r="A839" t="s">
        <v>2097</v>
      </c>
    </row>
    <row r="840" spans="1:1" x14ac:dyDescent="0.25">
      <c r="A840" t="s">
        <v>2098</v>
      </c>
    </row>
    <row r="841" spans="1:1" x14ac:dyDescent="0.25">
      <c r="A841" t="s">
        <v>2099</v>
      </c>
    </row>
    <row r="842" spans="1:1" x14ac:dyDescent="0.25">
      <c r="A842" t="s">
        <v>2100</v>
      </c>
    </row>
    <row r="843" spans="1:1" x14ac:dyDescent="0.25">
      <c r="A843" t="s">
        <v>2101</v>
      </c>
    </row>
    <row r="844" spans="1:1" x14ac:dyDescent="0.25">
      <c r="A844" t="s">
        <v>2102</v>
      </c>
    </row>
    <row r="845" spans="1:1" x14ac:dyDescent="0.25">
      <c r="A845" t="s">
        <v>2103</v>
      </c>
    </row>
    <row r="846" spans="1:1" x14ac:dyDescent="0.25">
      <c r="A846" t="s">
        <v>2104</v>
      </c>
    </row>
    <row r="847" spans="1:1" x14ac:dyDescent="0.25">
      <c r="A847" t="s">
        <v>2105</v>
      </c>
    </row>
    <row r="848" spans="1:1" x14ac:dyDescent="0.25">
      <c r="A848" t="s">
        <v>2106</v>
      </c>
    </row>
    <row r="849" spans="1:1" x14ac:dyDescent="0.25">
      <c r="A849" t="s">
        <v>2107</v>
      </c>
    </row>
    <row r="850" spans="1:1" x14ac:dyDescent="0.25">
      <c r="A850" t="s">
        <v>2108</v>
      </c>
    </row>
    <row r="851" spans="1:1" x14ac:dyDescent="0.25">
      <c r="A851" t="s">
        <v>2109</v>
      </c>
    </row>
    <row r="852" spans="1:1" x14ac:dyDescent="0.25">
      <c r="A852" t="s">
        <v>2110</v>
      </c>
    </row>
    <row r="853" spans="1:1" x14ac:dyDescent="0.25">
      <c r="A853" t="s">
        <v>2111</v>
      </c>
    </row>
    <row r="854" spans="1:1" x14ac:dyDescent="0.25">
      <c r="A854" t="s">
        <v>2112</v>
      </c>
    </row>
    <row r="855" spans="1:1" x14ac:dyDescent="0.25">
      <c r="A855" t="s">
        <v>2113</v>
      </c>
    </row>
    <row r="856" spans="1:1" x14ac:dyDescent="0.25">
      <c r="A856" t="s">
        <v>2114</v>
      </c>
    </row>
    <row r="857" spans="1:1" x14ac:dyDescent="0.25">
      <c r="A857" t="s">
        <v>2115</v>
      </c>
    </row>
    <row r="858" spans="1:1" x14ac:dyDescent="0.25">
      <c r="A858" t="s">
        <v>2116</v>
      </c>
    </row>
    <row r="859" spans="1:1" x14ac:dyDescent="0.25">
      <c r="A859" t="s">
        <v>2117</v>
      </c>
    </row>
    <row r="860" spans="1:1" x14ac:dyDescent="0.25">
      <c r="A860" t="s">
        <v>2118</v>
      </c>
    </row>
    <row r="861" spans="1:1" x14ac:dyDescent="0.25">
      <c r="A861" t="s">
        <v>2119</v>
      </c>
    </row>
    <row r="862" spans="1:1" x14ac:dyDescent="0.25">
      <c r="A862" t="s">
        <v>2120</v>
      </c>
    </row>
    <row r="863" spans="1:1" x14ac:dyDescent="0.25">
      <c r="A863" t="s">
        <v>2121</v>
      </c>
    </row>
    <row r="864" spans="1:1" x14ac:dyDescent="0.25">
      <c r="A864" t="s">
        <v>2122</v>
      </c>
    </row>
    <row r="865" spans="1:1" x14ac:dyDescent="0.25">
      <c r="A865" t="s">
        <v>2123</v>
      </c>
    </row>
    <row r="866" spans="1:1" x14ac:dyDescent="0.25">
      <c r="A866" t="s">
        <v>2124</v>
      </c>
    </row>
    <row r="867" spans="1:1" x14ac:dyDescent="0.25">
      <c r="A867" t="s">
        <v>2125</v>
      </c>
    </row>
    <row r="868" spans="1:1" x14ac:dyDescent="0.25">
      <c r="A868" t="s">
        <v>2126</v>
      </c>
    </row>
    <row r="869" spans="1:1" x14ac:dyDescent="0.25">
      <c r="A869" t="s">
        <v>2127</v>
      </c>
    </row>
    <row r="870" spans="1:1" x14ac:dyDescent="0.25">
      <c r="A870" t="s">
        <v>2128</v>
      </c>
    </row>
    <row r="871" spans="1:1" x14ac:dyDescent="0.25">
      <c r="A871" t="s">
        <v>2129</v>
      </c>
    </row>
    <row r="872" spans="1:1" x14ac:dyDescent="0.25">
      <c r="A872" t="s">
        <v>2130</v>
      </c>
    </row>
    <row r="873" spans="1:1" x14ac:dyDescent="0.25">
      <c r="A873" t="s">
        <v>2131</v>
      </c>
    </row>
    <row r="874" spans="1:1" x14ac:dyDescent="0.25">
      <c r="A874" t="s">
        <v>2132</v>
      </c>
    </row>
    <row r="875" spans="1:1" x14ac:dyDescent="0.25">
      <c r="A875" t="s">
        <v>2133</v>
      </c>
    </row>
    <row r="876" spans="1:1" x14ac:dyDescent="0.25">
      <c r="A876" t="s">
        <v>2134</v>
      </c>
    </row>
    <row r="877" spans="1:1" x14ac:dyDescent="0.25">
      <c r="A877" t="s">
        <v>2135</v>
      </c>
    </row>
    <row r="878" spans="1:1" x14ac:dyDescent="0.25">
      <c r="A878" t="s">
        <v>2136</v>
      </c>
    </row>
    <row r="879" spans="1:1" x14ac:dyDescent="0.25">
      <c r="A879" t="s">
        <v>2137</v>
      </c>
    </row>
    <row r="880" spans="1:1" x14ac:dyDescent="0.25">
      <c r="A880" t="s">
        <v>2138</v>
      </c>
    </row>
    <row r="881" spans="1:1" x14ac:dyDescent="0.25">
      <c r="A881" t="s">
        <v>2139</v>
      </c>
    </row>
    <row r="882" spans="1:1" x14ac:dyDescent="0.25">
      <c r="A882" t="s">
        <v>2140</v>
      </c>
    </row>
    <row r="883" spans="1:1" x14ac:dyDescent="0.25">
      <c r="A883" t="s">
        <v>273</v>
      </c>
    </row>
    <row r="884" spans="1:1" x14ac:dyDescent="0.25">
      <c r="A884" t="s">
        <v>6118</v>
      </c>
    </row>
    <row r="885" spans="1:1" x14ac:dyDescent="0.25">
      <c r="A885" t="s">
        <v>6119</v>
      </c>
    </row>
    <row r="886" spans="1:1" x14ac:dyDescent="0.25">
      <c r="A886" t="s">
        <v>6120</v>
      </c>
    </row>
    <row r="887" spans="1:1" x14ac:dyDescent="0.25">
      <c r="A887" t="s">
        <v>6121</v>
      </c>
    </row>
    <row r="888" spans="1:1" x14ac:dyDescent="0.25">
      <c r="A888" t="s">
        <v>6122</v>
      </c>
    </row>
    <row r="889" spans="1:1" x14ac:dyDescent="0.25">
      <c r="A889" t="s">
        <v>9396</v>
      </c>
    </row>
    <row r="890" spans="1:1" x14ac:dyDescent="0.25">
      <c r="A890" t="s">
        <v>9397</v>
      </c>
    </row>
    <row r="891" spans="1:1" x14ac:dyDescent="0.25">
      <c r="A891" t="s">
        <v>1079</v>
      </c>
    </row>
    <row r="892" spans="1:1" x14ac:dyDescent="0.25">
      <c r="A892" t="s">
        <v>6123</v>
      </c>
    </row>
    <row r="893" spans="1:1" x14ac:dyDescent="0.25">
      <c r="A893" t="s">
        <v>6124</v>
      </c>
    </row>
    <row r="894" spans="1:1" x14ac:dyDescent="0.25">
      <c r="A894" t="s">
        <v>6125</v>
      </c>
    </row>
    <row r="895" spans="1:1" x14ac:dyDescent="0.25">
      <c r="A895" t="s">
        <v>6126</v>
      </c>
    </row>
    <row r="896" spans="1:1" x14ac:dyDescent="0.25">
      <c r="A896" t="s">
        <v>6127</v>
      </c>
    </row>
    <row r="897" spans="1:1" x14ac:dyDescent="0.25">
      <c r="A897" t="s">
        <v>6128</v>
      </c>
    </row>
    <row r="898" spans="1:1" x14ac:dyDescent="0.25">
      <c r="A898" t="s">
        <v>1495</v>
      </c>
    </row>
    <row r="899" spans="1:1" x14ac:dyDescent="0.25">
      <c r="A899" t="s">
        <v>2141</v>
      </c>
    </row>
    <row r="900" spans="1:1" x14ac:dyDescent="0.25">
      <c r="A900" t="s">
        <v>2142</v>
      </c>
    </row>
    <row r="901" spans="1:1" x14ac:dyDescent="0.25">
      <c r="A901" t="s">
        <v>2143</v>
      </c>
    </row>
    <row r="902" spans="1:1" x14ac:dyDescent="0.25">
      <c r="A902" t="s">
        <v>2144</v>
      </c>
    </row>
    <row r="903" spans="1:1" x14ac:dyDescent="0.25">
      <c r="A903" t="s">
        <v>2145</v>
      </c>
    </row>
    <row r="904" spans="1:1" x14ac:dyDescent="0.25">
      <c r="A904" t="s">
        <v>1182</v>
      </c>
    </row>
    <row r="905" spans="1:1" x14ac:dyDescent="0.25">
      <c r="A905" t="s">
        <v>7601</v>
      </c>
    </row>
    <row r="906" spans="1:1" x14ac:dyDescent="0.25">
      <c r="A906" t="s">
        <v>7602</v>
      </c>
    </row>
    <row r="907" spans="1:1" x14ac:dyDescent="0.25">
      <c r="A907" t="s">
        <v>7603</v>
      </c>
    </row>
    <row r="908" spans="1:1" x14ac:dyDescent="0.25">
      <c r="A908" t="s">
        <v>7604</v>
      </c>
    </row>
    <row r="909" spans="1:1" x14ac:dyDescent="0.25">
      <c r="A909" t="s">
        <v>7605</v>
      </c>
    </row>
    <row r="910" spans="1:1" x14ac:dyDescent="0.25">
      <c r="A910" t="s">
        <v>7606</v>
      </c>
    </row>
    <row r="911" spans="1:1" x14ac:dyDescent="0.25">
      <c r="A911" t="s">
        <v>7607</v>
      </c>
    </row>
    <row r="912" spans="1:1" x14ac:dyDescent="0.25">
      <c r="A912" t="s">
        <v>7608</v>
      </c>
    </row>
    <row r="913" spans="1:1" x14ac:dyDescent="0.25">
      <c r="A913" t="s">
        <v>7609</v>
      </c>
    </row>
    <row r="914" spans="1:1" x14ac:dyDescent="0.25">
      <c r="A914" t="s">
        <v>7610</v>
      </c>
    </row>
    <row r="915" spans="1:1" x14ac:dyDescent="0.25">
      <c r="A915" t="s">
        <v>7611</v>
      </c>
    </row>
    <row r="916" spans="1:1" x14ac:dyDescent="0.25">
      <c r="A916" t="s">
        <v>7612</v>
      </c>
    </row>
    <row r="917" spans="1:1" x14ac:dyDescent="0.25">
      <c r="A917" t="s">
        <v>7613</v>
      </c>
    </row>
    <row r="918" spans="1:1" x14ac:dyDescent="0.25">
      <c r="A918" t="s">
        <v>7614</v>
      </c>
    </row>
    <row r="919" spans="1:1" x14ac:dyDescent="0.25">
      <c r="A919" t="s">
        <v>7615</v>
      </c>
    </row>
    <row r="920" spans="1:1" x14ac:dyDescent="0.25">
      <c r="A920" t="s">
        <v>7616</v>
      </c>
    </row>
    <row r="921" spans="1:1" x14ac:dyDescent="0.25">
      <c r="A921" t="s">
        <v>7617</v>
      </c>
    </row>
    <row r="922" spans="1:1" x14ac:dyDescent="0.25">
      <c r="A922" t="s">
        <v>7618</v>
      </c>
    </row>
    <row r="923" spans="1:1" x14ac:dyDescent="0.25">
      <c r="A923" t="s">
        <v>7619</v>
      </c>
    </row>
    <row r="924" spans="1:1" x14ac:dyDescent="0.25">
      <c r="A924" t="s">
        <v>7620</v>
      </c>
    </row>
    <row r="925" spans="1:1" x14ac:dyDescent="0.25">
      <c r="A925" t="s">
        <v>7621</v>
      </c>
    </row>
    <row r="926" spans="1:1" x14ac:dyDescent="0.25">
      <c r="A926" t="s">
        <v>7622</v>
      </c>
    </row>
    <row r="927" spans="1:1" x14ac:dyDescent="0.25">
      <c r="A927" t="s">
        <v>7623</v>
      </c>
    </row>
    <row r="928" spans="1:1" x14ac:dyDescent="0.25">
      <c r="A928" t="s">
        <v>7624</v>
      </c>
    </row>
    <row r="929" spans="1:1" x14ac:dyDescent="0.25">
      <c r="A929" t="s">
        <v>7625</v>
      </c>
    </row>
    <row r="930" spans="1:1" x14ac:dyDescent="0.25">
      <c r="A930" t="s">
        <v>7626</v>
      </c>
    </row>
    <row r="931" spans="1:1" x14ac:dyDescent="0.25">
      <c r="A931" t="s">
        <v>7627</v>
      </c>
    </row>
    <row r="932" spans="1:1" x14ac:dyDescent="0.25">
      <c r="A932" t="s">
        <v>7628</v>
      </c>
    </row>
    <row r="933" spans="1:1" x14ac:dyDescent="0.25">
      <c r="A933" t="s">
        <v>7629</v>
      </c>
    </row>
    <row r="934" spans="1:1" x14ac:dyDescent="0.25">
      <c r="A934" t="s">
        <v>7630</v>
      </c>
    </row>
    <row r="935" spans="1:1" x14ac:dyDescent="0.25">
      <c r="A935" t="s">
        <v>7631</v>
      </c>
    </row>
    <row r="936" spans="1:1" x14ac:dyDescent="0.25">
      <c r="A936" t="s">
        <v>7632</v>
      </c>
    </row>
    <row r="937" spans="1:1" x14ac:dyDescent="0.25">
      <c r="A937" t="s">
        <v>7633</v>
      </c>
    </row>
    <row r="938" spans="1:1" x14ac:dyDescent="0.25">
      <c r="A938" t="s">
        <v>7634</v>
      </c>
    </row>
    <row r="939" spans="1:1" x14ac:dyDescent="0.25">
      <c r="A939" t="s">
        <v>7635</v>
      </c>
    </row>
    <row r="940" spans="1:1" x14ac:dyDescent="0.25">
      <c r="A940" t="s">
        <v>7636</v>
      </c>
    </row>
    <row r="941" spans="1:1" x14ac:dyDescent="0.25">
      <c r="A941" t="s">
        <v>7637</v>
      </c>
    </row>
    <row r="942" spans="1:1" x14ac:dyDescent="0.25">
      <c r="A942" t="s">
        <v>7638</v>
      </c>
    </row>
    <row r="943" spans="1:1" x14ac:dyDescent="0.25">
      <c r="A943" t="s">
        <v>7639</v>
      </c>
    </row>
    <row r="944" spans="1:1" x14ac:dyDescent="0.25">
      <c r="A944" t="s">
        <v>7640</v>
      </c>
    </row>
    <row r="945" spans="1:1" x14ac:dyDescent="0.25">
      <c r="A945" t="s">
        <v>7641</v>
      </c>
    </row>
    <row r="946" spans="1:1" x14ac:dyDescent="0.25">
      <c r="A946" t="s">
        <v>7642</v>
      </c>
    </row>
    <row r="947" spans="1:1" x14ac:dyDescent="0.25">
      <c r="A947" t="s">
        <v>7643</v>
      </c>
    </row>
    <row r="948" spans="1:1" x14ac:dyDescent="0.25">
      <c r="A948" t="s">
        <v>7644</v>
      </c>
    </row>
    <row r="949" spans="1:1" x14ac:dyDescent="0.25">
      <c r="A949" t="s">
        <v>7645</v>
      </c>
    </row>
    <row r="950" spans="1:1" x14ac:dyDescent="0.25">
      <c r="A950" t="s">
        <v>7646</v>
      </c>
    </row>
    <row r="951" spans="1:1" x14ac:dyDescent="0.25">
      <c r="A951" t="s">
        <v>7647</v>
      </c>
    </row>
    <row r="952" spans="1:1" x14ac:dyDescent="0.25">
      <c r="A952" t="s">
        <v>7648</v>
      </c>
    </row>
    <row r="953" spans="1:1" x14ac:dyDescent="0.25">
      <c r="A953" t="s">
        <v>7649</v>
      </c>
    </row>
    <row r="954" spans="1:1" x14ac:dyDescent="0.25">
      <c r="A954" t="s">
        <v>7650</v>
      </c>
    </row>
    <row r="955" spans="1:1" x14ac:dyDescent="0.25">
      <c r="A955" t="s">
        <v>7651</v>
      </c>
    </row>
    <row r="956" spans="1:1" x14ac:dyDescent="0.25">
      <c r="A956" t="s">
        <v>7652</v>
      </c>
    </row>
    <row r="957" spans="1:1" x14ac:dyDescent="0.25">
      <c r="A957" t="s">
        <v>7653</v>
      </c>
    </row>
    <row r="958" spans="1:1" x14ac:dyDescent="0.25">
      <c r="A958" t="s">
        <v>7654</v>
      </c>
    </row>
    <row r="959" spans="1:1" x14ac:dyDescent="0.25">
      <c r="A959" t="s">
        <v>7655</v>
      </c>
    </row>
    <row r="960" spans="1:1" x14ac:dyDescent="0.25">
      <c r="A960" t="s">
        <v>7656</v>
      </c>
    </row>
    <row r="961" spans="1:1" x14ac:dyDescent="0.25">
      <c r="A961" t="s">
        <v>7657</v>
      </c>
    </row>
    <row r="962" spans="1:1" x14ac:dyDescent="0.25">
      <c r="A962" t="s">
        <v>7658</v>
      </c>
    </row>
    <row r="963" spans="1:1" x14ac:dyDescent="0.25">
      <c r="A963" t="s">
        <v>7659</v>
      </c>
    </row>
    <row r="964" spans="1:1" x14ac:dyDescent="0.25">
      <c r="A964" t="s">
        <v>7660</v>
      </c>
    </row>
    <row r="965" spans="1:1" x14ac:dyDescent="0.25">
      <c r="A965" t="s">
        <v>7661</v>
      </c>
    </row>
    <row r="966" spans="1:1" x14ac:dyDescent="0.25">
      <c r="A966" t="s">
        <v>7662</v>
      </c>
    </row>
    <row r="967" spans="1:1" x14ac:dyDescent="0.25">
      <c r="A967" t="s">
        <v>7663</v>
      </c>
    </row>
    <row r="968" spans="1:1" x14ac:dyDescent="0.25">
      <c r="A968" t="s">
        <v>7664</v>
      </c>
    </row>
    <row r="969" spans="1:1" x14ac:dyDescent="0.25">
      <c r="A969" t="s">
        <v>7665</v>
      </c>
    </row>
    <row r="970" spans="1:1" x14ac:dyDescent="0.25">
      <c r="A970" t="s">
        <v>7666</v>
      </c>
    </row>
    <row r="971" spans="1:1" x14ac:dyDescent="0.25">
      <c r="A971" t="s">
        <v>7667</v>
      </c>
    </row>
    <row r="972" spans="1:1" x14ac:dyDescent="0.25">
      <c r="A972" t="s">
        <v>7668</v>
      </c>
    </row>
    <row r="973" spans="1:1" x14ac:dyDescent="0.25">
      <c r="A973" t="s">
        <v>7669</v>
      </c>
    </row>
    <row r="974" spans="1:1" x14ac:dyDescent="0.25">
      <c r="A974" t="s">
        <v>7670</v>
      </c>
    </row>
    <row r="975" spans="1:1" x14ac:dyDescent="0.25">
      <c r="A975" t="s">
        <v>7671</v>
      </c>
    </row>
    <row r="976" spans="1:1" x14ac:dyDescent="0.25">
      <c r="A976" t="s">
        <v>7672</v>
      </c>
    </row>
    <row r="977" spans="1:1" x14ac:dyDescent="0.25">
      <c r="A977" t="s">
        <v>7673</v>
      </c>
    </row>
    <row r="978" spans="1:1" x14ac:dyDescent="0.25">
      <c r="A978" t="s">
        <v>7674</v>
      </c>
    </row>
    <row r="979" spans="1:1" x14ac:dyDescent="0.25">
      <c r="A979" t="s">
        <v>7675</v>
      </c>
    </row>
    <row r="980" spans="1:1" x14ac:dyDescent="0.25">
      <c r="A980" t="s">
        <v>7676</v>
      </c>
    </row>
    <row r="981" spans="1:1" x14ac:dyDescent="0.25">
      <c r="A981" t="s">
        <v>7677</v>
      </c>
    </row>
    <row r="982" spans="1:1" x14ac:dyDescent="0.25">
      <c r="A982" t="s">
        <v>7678</v>
      </c>
    </row>
    <row r="983" spans="1:1" x14ac:dyDescent="0.25">
      <c r="A983" t="s">
        <v>7679</v>
      </c>
    </row>
    <row r="984" spans="1:1" x14ac:dyDescent="0.25">
      <c r="A984" t="s">
        <v>7680</v>
      </c>
    </row>
    <row r="985" spans="1:1" x14ac:dyDescent="0.25">
      <c r="A985" t="s">
        <v>7681</v>
      </c>
    </row>
    <row r="986" spans="1:1" x14ac:dyDescent="0.25">
      <c r="A986" t="s">
        <v>7682</v>
      </c>
    </row>
    <row r="987" spans="1:1" x14ac:dyDescent="0.25">
      <c r="A987" t="s">
        <v>7683</v>
      </c>
    </row>
    <row r="988" spans="1:1" x14ac:dyDescent="0.25">
      <c r="A988" t="s">
        <v>7684</v>
      </c>
    </row>
    <row r="989" spans="1:1" x14ac:dyDescent="0.25">
      <c r="A989" t="s">
        <v>7685</v>
      </c>
    </row>
    <row r="990" spans="1:1" x14ac:dyDescent="0.25">
      <c r="A990" t="s">
        <v>7686</v>
      </c>
    </row>
    <row r="991" spans="1:1" x14ac:dyDescent="0.25">
      <c r="A991" t="s">
        <v>7687</v>
      </c>
    </row>
    <row r="992" spans="1:1" x14ac:dyDescent="0.25">
      <c r="A992" t="s">
        <v>7688</v>
      </c>
    </row>
    <row r="993" spans="1:1" x14ac:dyDescent="0.25">
      <c r="A993" t="s">
        <v>7689</v>
      </c>
    </row>
    <row r="994" spans="1:1" x14ac:dyDescent="0.25">
      <c r="A994" t="s">
        <v>7690</v>
      </c>
    </row>
    <row r="995" spans="1:1" x14ac:dyDescent="0.25">
      <c r="A995" t="s">
        <v>7691</v>
      </c>
    </row>
    <row r="996" spans="1:1" x14ac:dyDescent="0.25">
      <c r="A996" t="s">
        <v>7692</v>
      </c>
    </row>
    <row r="997" spans="1:1" x14ac:dyDescent="0.25">
      <c r="A997" t="s">
        <v>7693</v>
      </c>
    </row>
    <row r="998" spans="1:1" x14ac:dyDescent="0.25">
      <c r="A998" t="s">
        <v>7694</v>
      </c>
    </row>
    <row r="999" spans="1:1" x14ac:dyDescent="0.25">
      <c r="A999" t="s">
        <v>7695</v>
      </c>
    </row>
    <row r="1000" spans="1:1" x14ac:dyDescent="0.25">
      <c r="A1000" t="s">
        <v>7696</v>
      </c>
    </row>
    <row r="1001" spans="1:1" x14ac:dyDescent="0.25">
      <c r="A1001" t="s">
        <v>7697</v>
      </c>
    </row>
    <row r="1002" spans="1:1" x14ac:dyDescent="0.25">
      <c r="A1002" t="s">
        <v>7698</v>
      </c>
    </row>
    <row r="1003" spans="1:1" x14ac:dyDescent="0.25">
      <c r="A1003" t="s">
        <v>7699</v>
      </c>
    </row>
    <row r="1004" spans="1:1" x14ac:dyDescent="0.25">
      <c r="A1004" t="s">
        <v>7700</v>
      </c>
    </row>
    <row r="1005" spans="1:1" x14ac:dyDescent="0.25">
      <c r="A1005" t="s">
        <v>7701</v>
      </c>
    </row>
    <row r="1006" spans="1:1" x14ac:dyDescent="0.25">
      <c r="A1006" t="s">
        <v>7702</v>
      </c>
    </row>
    <row r="1007" spans="1:1" x14ac:dyDescent="0.25">
      <c r="A1007" t="s">
        <v>7703</v>
      </c>
    </row>
    <row r="1008" spans="1:1" x14ac:dyDescent="0.25">
      <c r="A1008" t="s">
        <v>7704</v>
      </c>
    </row>
    <row r="1009" spans="1:1" x14ac:dyDescent="0.25">
      <c r="A1009" t="s">
        <v>7705</v>
      </c>
    </row>
    <row r="1010" spans="1:1" x14ac:dyDescent="0.25">
      <c r="A1010" t="s">
        <v>7706</v>
      </c>
    </row>
    <row r="1011" spans="1:1" x14ac:dyDescent="0.25">
      <c r="A1011" t="s">
        <v>7707</v>
      </c>
    </row>
    <row r="1012" spans="1:1" x14ac:dyDescent="0.25">
      <c r="A1012" t="s">
        <v>7708</v>
      </c>
    </row>
    <row r="1013" spans="1:1" x14ac:dyDescent="0.25">
      <c r="A1013" t="s">
        <v>7709</v>
      </c>
    </row>
    <row r="1014" spans="1:1" x14ac:dyDescent="0.25">
      <c r="A1014" t="s">
        <v>7710</v>
      </c>
    </row>
    <row r="1015" spans="1:1" x14ac:dyDescent="0.25">
      <c r="A1015" t="s">
        <v>7711</v>
      </c>
    </row>
    <row r="1016" spans="1:1" x14ac:dyDescent="0.25">
      <c r="A1016" t="s">
        <v>7712</v>
      </c>
    </row>
    <row r="1017" spans="1:1" x14ac:dyDescent="0.25">
      <c r="A1017" t="s">
        <v>7713</v>
      </c>
    </row>
    <row r="1018" spans="1:1" x14ac:dyDescent="0.25">
      <c r="A1018" t="s">
        <v>7714</v>
      </c>
    </row>
    <row r="1019" spans="1:1" x14ac:dyDescent="0.25">
      <c r="A1019" t="s">
        <v>7715</v>
      </c>
    </row>
    <row r="1020" spans="1:1" x14ac:dyDescent="0.25">
      <c r="A1020" t="s">
        <v>7716</v>
      </c>
    </row>
    <row r="1021" spans="1:1" x14ac:dyDescent="0.25">
      <c r="A1021" t="s">
        <v>7717</v>
      </c>
    </row>
    <row r="1022" spans="1:1" x14ac:dyDescent="0.25">
      <c r="A1022" t="s">
        <v>7718</v>
      </c>
    </row>
    <row r="1023" spans="1:1" x14ac:dyDescent="0.25">
      <c r="A1023" t="s">
        <v>7719</v>
      </c>
    </row>
    <row r="1024" spans="1:1" x14ac:dyDescent="0.25">
      <c r="A1024" t="s">
        <v>7720</v>
      </c>
    </row>
    <row r="1025" spans="1:1" x14ac:dyDescent="0.25">
      <c r="A1025" t="s">
        <v>7721</v>
      </c>
    </row>
    <row r="1026" spans="1:1" x14ac:dyDescent="0.25">
      <c r="A1026" t="s">
        <v>7722</v>
      </c>
    </row>
    <row r="1027" spans="1:1" x14ac:dyDescent="0.25">
      <c r="A1027" t="s">
        <v>7723</v>
      </c>
    </row>
    <row r="1028" spans="1:1" x14ac:dyDescent="0.25">
      <c r="A1028" t="s">
        <v>7724</v>
      </c>
    </row>
    <row r="1029" spans="1:1" x14ac:dyDescent="0.25">
      <c r="A1029" t="s">
        <v>7725</v>
      </c>
    </row>
    <row r="1030" spans="1:1" x14ac:dyDescent="0.25">
      <c r="A1030" t="s">
        <v>7726</v>
      </c>
    </row>
    <row r="1031" spans="1:1" x14ac:dyDescent="0.25">
      <c r="A1031" t="s">
        <v>7727</v>
      </c>
    </row>
    <row r="1032" spans="1:1" x14ac:dyDescent="0.25">
      <c r="A1032" t="s">
        <v>7728</v>
      </c>
    </row>
    <row r="1033" spans="1:1" x14ac:dyDescent="0.25">
      <c r="A1033" t="s">
        <v>7729</v>
      </c>
    </row>
    <row r="1034" spans="1:1" x14ac:dyDescent="0.25">
      <c r="A1034" t="s">
        <v>7730</v>
      </c>
    </row>
    <row r="1035" spans="1:1" x14ac:dyDescent="0.25">
      <c r="A1035" t="s">
        <v>7731</v>
      </c>
    </row>
    <row r="1036" spans="1:1" x14ac:dyDescent="0.25">
      <c r="A1036" t="s">
        <v>7732</v>
      </c>
    </row>
    <row r="1037" spans="1:1" x14ac:dyDescent="0.25">
      <c r="A1037" t="s">
        <v>7733</v>
      </c>
    </row>
    <row r="1038" spans="1:1" x14ac:dyDescent="0.25">
      <c r="A1038" t="s">
        <v>7734</v>
      </c>
    </row>
    <row r="1039" spans="1:1" x14ac:dyDescent="0.25">
      <c r="A1039" t="s">
        <v>7735</v>
      </c>
    </row>
    <row r="1040" spans="1:1" x14ac:dyDescent="0.25">
      <c r="A1040" t="s">
        <v>7736</v>
      </c>
    </row>
    <row r="1041" spans="1:1" x14ac:dyDescent="0.25">
      <c r="A1041" t="s">
        <v>7737</v>
      </c>
    </row>
    <row r="1042" spans="1:1" x14ac:dyDescent="0.25">
      <c r="A1042" t="s">
        <v>7738</v>
      </c>
    </row>
    <row r="1043" spans="1:1" x14ac:dyDescent="0.25">
      <c r="A1043" t="s">
        <v>7739</v>
      </c>
    </row>
    <row r="1044" spans="1:1" x14ac:dyDescent="0.25">
      <c r="A1044" t="s">
        <v>7740</v>
      </c>
    </row>
    <row r="1045" spans="1:1" x14ac:dyDescent="0.25">
      <c r="A1045" t="s">
        <v>7741</v>
      </c>
    </row>
    <row r="1046" spans="1:1" x14ac:dyDescent="0.25">
      <c r="A1046" t="s">
        <v>7742</v>
      </c>
    </row>
    <row r="1047" spans="1:1" x14ac:dyDescent="0.25">
      <c r="A1047" t="s">
        <v>7743</v>
      </c>
    </row>
    <row r="1048" spans="1:1" x14ac:dyDescent="0.25">
      <c r="A1048" t="s">
        <v>7744</v>
      </c>
    </row>
    <row r="1049" spans="1:1" x14ac:dyDescent="0.25">
      <c r="A1049" t="s">
        <v>7745</v>
      </c>
    </row>
    <row r="1050" spans="1:1" x14ac:dyDescent="0.25">
      <c r="A1050" t="s">
        <v>7746</v>
      </c>
    </row>
    <row r="1051" spans="1:1" x14ac:dyDescent="0.25">
      <c r="A1051" t="s">
        <v>7747</v>
      </c>
    </row>
    <row r="1052" spans="1:1" x14ac:dyDescent="0.25">
      <c r="A1052" t="s">
        <v>7748</v>
      </c>
    </row>
    <row r="1053" spans="1:1" x14ac:dyDescent="0.25">
      <c r="A1053" t="s">
        <v>7749</v>
      </c>
    </row>
    <row r="1054" spans="1:1" x14ac:dyDescent="0.25">
      <c r="A1054" t="s">
        <v>7750</v>
      </c>
    </row>
    <row r="1055" spans="1:1" x14ac:dyDescent="0.25">
      <c r="A1055" t="s">
        <v>7751</v>
      </c>
    </row>
    <row r="1056" spans="1:1" x14ac:dyDescent="0.25">
      <c r="A1056" t="s">
        <v>7752</v>
      </c>
    </row>
    <row r="1057" spans="1:1" x14ac:dyDescent="0.25">
      <c r="A1057" t="s">
        <v>7753</v>
      </c>
    </row>
    <row r="1058" spans="1:1" x14ac:dyDescent="0.25">
      <c r="A1058" t="s">
        <v>7754</v>
      </c>
    </row>
    <row r="1059" spans="1:1" x14ac:dyDescent="0.25">
      <c r="A1059" t="s">
        <v>7755</v>
      </c>
    </row>
    <row r="1060" spans="1:1" x14ac:dyDescent="0.25">
      <c r="A1060" t="s">
        <v>7756</v>
      </c>
    </row>
    <row r="1061" spans="1:1" x14ac:dyDescent="0.25">
      <c r="A1061" t="s">
        <v>7757</v>
      </c>
    </row>
    <row r="1062" spans="1:1" x14ac:dyDescent="0.25">
      <c r="A1062" t="s">
        <v>7758</v>
      </c>
    </row>
    <row r="1063" spans="1:1" x14ac:dyDescent="0.25">
      <c r="A1063" t="s">
        <v>7759</v>
      </c>
    </row>
    <row r="1064" spans="1:1" x14ac:dyDescent="0.25">
      <c r="A1064" t="s">
        <v>7760</v>
      </c>
    </row>
    <row r="1065" spans="1:1" x14ac:dyDescent="0.25">
      <c r="A1065" t="s">
        <v>7761</v>
      </c>
    </row>
    <row r="1066" spans="1:1" x14ac:dyDescent="0.25">
      <c r="A1066" t="s">
        <v>7762</v>
      </c>
    </row>
    <row r="1067" spans="1:1" x14ac:dyDescent="0.25">
      <c r="A1067" t="s">
        <v>7763</v>
      </c>
    </row>
    <row r="1068" spans="1:1" x14ac:dyDescent="0.25">
      <c r="A1068" t="s">
        <v>7764</v>
      </c>
    </row>
    <row r="1069" spans="1:1" x14ac:dyDescent="0.25">
      <c r="A1069" t="s">
        <v>7765</v>
      </c>
    </row>
    <row r="1070" spans="1:1" x14ac:dyDescent="0.25">
      <c r="A1070" t="s">
        <v>7766</v>
      </c>
    </row>
    <row r="1071" spans="1:1" x14ac:dyDescent="0.25">
      <c r="A1071" t="s">
        <v>7767</v>
      </c>
    </row>
    <row r="1072" spans="1:1" x14ac:dyDescent="0.25">
      <c r="A1072" t="s">
        <v>7768</v>
      </c>
    </row>
    <row r="1073" spans="1:1" x14ac:dyDescent="0.25">
      <c r="A1073" t="s">
        <v>7769</v>
      </c>
    </row>
    <row r="1074" spans="1:1" x14ac:dyDescent="0.25">
      <c r="A1074" t="s">
        <v>7770</v>
      </c>
    </row>
    <row r="1075" spans="1:1" x14ac:dyDescent="0.25">
      <c r="A1075" t="s">
        <v>7771</v>
      </c>
    </row>
    <row r="1076" spans="1:1" x14ac:dyDescent="0.25">
      <c r="A1076" t="s">
        <v>7772</v>
      </c>
    </row>
    <row r="1077" spans="1:1" x14ac:dyDescent="0.25">
      <c r="A1077" t="s">
        <v>7773</v>
      </c>
    </row>
    <row r="1078" spans="1:1" x14ac:dyDescent="0.25">
      <c r="A1078" t="s">
        <v>7774</v>
      </c>
    </row>
    <row r="1079" spans="1:1" x14ac:dyDescent="0.25">
      <c r="A1079" t="s">
        <v>7775</v>
      </c>
    </row>
    <row r="1080" spans="1:1" x14ac:dyDescent="0.25">
      <c r="A1080" t="s">
        <v>7776</v>
      </c>
    </row>
    <row r="1081" spans="1:1" x14ac:dyDescent="0.25">
      <c r="A1081" t="s">
        <v>7777</v>
      </c>
    </row>
    <row r="1082" spans="1:1" x14ac:dyDescent="0.25">
      <c r="A1082" t="s">
        <v>7778</v>
      </c>
    </row>
    <row r="1083" spans="1:1" x14ac:dyDescent="0.25">
      <c r="A1083" t="s">
        <v>7779</v>
      </c>
    </row>
    <row r="1084" spans="1:1" x14ac:dyDescent="0.25">
      <c r="A1084" t="s">
        <v>7780</v>
      </c>
    </row>
    <row r="1085" spans="1:1" x14ac:dyDescent="0.25">
      <c r="A1085" t="s">
        <v>7781</v>
      </c>
    </row>
    <row r="1086" spans="1:1" x14ac:dyDescent="0.25">
      <c r="A1086" t="s">
        <v>7782</v>
      </c>
    </row>
    <row r="1087" spans="1:1" x14ac:dyDescent="0.25">
      <c r="A1087" t="s">
        <v>7783</v>
      </c>
    </row>
    <row r="1088" spans="1:1" x14ac:dyDescent="0.25">
      <c r="A1088" t="s">
        <v>7784</v>
      </c>
    </row>
    <row r="1089" spans="1:1" x14ac:dyDescent="0.25">
      <c r="A1089" t="s">
        <v>7785</v>
      </c>
    </row>
    <row r="1090" spans="1:1" x14ac:dyDescent="0.25">
      <c r="A1090" t="s">
        <v>7786</v>
      </c>
    </row>
    <row r="1091" spans="1:1" x14ac:dyDescent="0.25">
      <c r="A1091" t="s">
        <v>7787</v>
      </c>
    </row>
    <row r="1092" spans="1:1" x14ac:dyDescent="0.25">
      <c r="A1092" t="s">
        <v>7788</v>
      </c>
    </row>
    <row r="1093" spans="1:1" x14ac:dyDescent="0.25">
      <c r="A1093" t="s">
        <v>7789</v>
      </c>
    </row>
    <row r="1094" spans="1:1" x14ac:dyDescent="0.25">
      <c r="A1094" t="s">
        <v>7790</v>
      </c>
    </row>
    <row r="1095" spans="1:1" x14ac:dyDescent="0.25">
      <c r="A1095" t="s">
        <v>7791</v>
      </c>
    </row>
    <row r="1096" spans="1:1" x14ac:dyDescent="0.25">
      <c r="A1096" t="s">
        <v>7792</v>
      </c>
    </row>
    <row r="1097" spans="1:1" x14ac:dyDescent="0.25">
      <c r="A1097" t="s">
        <v>7793</v>
      </c>
    </row>
    <row r="1098" spans="1:1" x14ac:dyDescent="0.25">
      <c r="A1098" t="s">
        <v>7794</v>
      </c>
    </row>
    <row r="1099" spans="1:1" x14ac:dyDescent="0.25">
      <c r="A1099" t="s">
        <v>7795</v>
      </c>
    </row>
    <row r="1100" spans="1:1" x14ac:dyDescent="0.25">
      <c r="A1100" t="s">
        <v>7796</v>
      </c>
    </row>
    <row r="1101" spans="1:1" x14ac:dyDescent="0.25">
      <c r="A1101" t="s">
        <v>7797</v>
      </c>
    </row>
    <row r="1102" spans="1:1" x14ac:dyDescent="0.25">
      <c r="A1102" t="s">
        <v>7798</v>
      </c>
    </row>
    <row r="1103" spans="1:1" x14ac:dyDescent="0.25">
      <c r="A1103" t="s">
        <v>7799</v>
      </c>
    </row>
    <row r="1104" spans="1:1" x14ac:dyDescent="0.25">
      <c r="A1104" t="s">
        <v>7800</v>
      </c>
    </row>
    <row r="1105" spans="1:1" x14ac:dyDescent="0.25">
      <c r="A1105" t="s">
        <v>7801</v>
      </c>
    </row>
    <row r="1106" spans="1:1" x14ac:dyDescent="0.25">
      <c r="A1106" t="s">
        <v>7802</v>
      </c>
    </row>
    <row r="1107" spans="1:1" x14ac:dyDescent="0.25">
      <c r="A1107" t="s">
        <v>7803</v>
      </c>
    </row>
    <row r="1108" spans="1:1" x14ac:dyDescent="0.25">
      <c r="A1108" t="s">
        <v>7804</v>
      </c>
    </row>
    <row r="1109" spans="1:1" x14ac:dyDescent="0.25">
      <c r="A1109" t="s">
        <v>7805</v>
      </c>
    </row>
    <row r="1110" spans="1:1" x14ac:dyDescent="0.25">
      <c r="A1110" t="s">
        <v>7806</v>
      </c>
    </row>
    <row r="1111" spans="1:1" x14ac:dyDescent="0.25">
      <c r="A1111" t="s">
        <v>7807</v>
      </c>
    </row>
    <row r="1112" spans="1:1" x14ac:dyDescent="0.25">
      <c r="A1112" t="s">
        <v>7808</v>
      </c>
    </row>
    <row r="1113" spans="1:1" x14ac:dyDescent="0.25">
      <c r="A1113" t="s">
        <v>7809</v>
      </c>
    </row>
    <row r="1114" spans="1:1" x14ac:dyDescent="0.25">
      <c r="A1114" t="s">
        <v>7810</v>
      </c>
    </row>
    <row r="1115" spans="1:1" x14ac:dyDescent="0.25">
      <c r="A1115" t="s">
        <v>7811</v>
      </c>
    </row>
    <row r="1116" spans="1:1" x14ac:dyDescent="0.25">
      <c r="A1116" t="s">
        <v>7812</v>
      </c>
    </row>
    <row r="1117" spans="1:1" x14ac:dyDescent="0.25">
      <c r="A1117" t="s">
        <v>7813</v>
      </c>
    </row>
    <row r="1118" spans="1:1" x14ac:dyDescent="0.25">
      <c r="A1118" t="s">
        <v>7814</v>
      </c>
    </row>
    <row r="1119" spans="1:1" x14ac:dyDescent="0.25">
      <c r="A1119" t="s">
        <v>7815</v>
      </c>
    </row>
    <row r="1120" spans="1:1" x14ac:dyDescent="0.25">
      <c r="A1120" t="s">
        <v>7816</v>
      </c>
    </row>
    <row r="1121" spans="1:1" x14ac:dyDescent="0.25">
      <c r="A1121" t="s">
        <v>7817</v>
      </c>
    </row>
    <row r="1122" spans="1:1" x14ac:dyDescent="0.25">
      <c r="A1122" t="s">
        <v>7818</v>
      </c>
    </row>
    <row r="1123" spans="1:1" x14ac:dyDescent="0.25">
      <c r="A1123" t="s">
        <v>7819</v>
      </c>
    </row>
    <row r="1124" spans="1:1" x14ac:dyDescent="0.25">
      <c r="A1124" t="s">
        <v>7820</v>
      </c>
    </row>
    <row r="1125" spans="1:1" x14ac:dyDescent="0.25">
      <c r="A1125" t="s">
        <v>7821</v>
      </c>
    </row>
    <row r="1126" spans="1:1" x14ac:dyDescent="0.25">
      <c r="A1126" t="s">
        <v>7822</v>
      </c>
    </row>
    <row r="1127" spans="1:1" x14ac:dyDescent="0.25">
      <c r="A1127" t="s">
        <v>7823</v>
      </c>
    </row>
    <row r="1128" spans="1:1" x14ac:dyDescent="0.25">
      <c r="A1128" t="s">
        <v>7824</v>
      </c>
    </row>
    <row r="1129" spans="1:1" x14ac:dyDescent="0.25">
      <c r="A1129" t="s">
        <v>7825</v>
      </c>
    </row>
    <row r="1130" spans="1:1" x14ac:dyDescent="0.25">
      <c r="A1130" t="s">
        <v>7826</v>
      </c>
    </row>
    <row r="1131" spans="1:1" x14ac:dyDescent="0.25">
      <c r="A1131" t="s">
        <v>7827</v>
      </c>
    </row>
    <row r="1132" spans="1:1" x14ac:dyDescent="0.25">
      <c r="A1132" t="s">
        <v>7828</v>
      </c>
    </row>
    <row r="1133" spans="1:1" x14ac:dyDescent="0.25">
      <c r="A1133" t="s">
        <v>7829</v>
      </c>
    </row>
    <row r="1134" spans="1:1" x14ac:dyDescent="0.25">
      <c r="A1134" t="s">
        <v>7830</v>
      </c>
    </row>
    <row r="1135" spans="1:1" x14ac:dyDescent="0.25">
      <c r="A1135" t="s">
        <v>7831</v>
      </c>
    </row>
    <row r="1136" spans="1:1" x14ac:dyDescent="0.25">
      <c r="A1136" t="s">
        <v>7832</v>
      </c>
    </row>
    <row r="1137" spans="1:1" x14ac:dyDescent="0.25">
      <c r="A1137" t="s">
        <v>7833</v>
      </c>
    </row>
    <row r="1138" spans="1:1" x14ac:dyDescent="0.25">
      <c r="A1138" t="s">
        <v>7834</v>
      </c>
    </row>
    <row r="1139" spans="1:1" x14ac:dyDescent="0.25">
      <c r="A1139" t="s">
        <v>7835</v>
      </c>
    </row>
    <row r="1140" spans="1:1" x14ac:dyDescent="0.25">
      <c r="A1140" t="s">
        <v>7836</v>
      </c>
    </row>
    <row r="1141" spans="1:1" x14ac:dyDescent="0.25">
      <c r="A1141" t="s">
        <v>7837</v>
      </c>
    </row>
    <row r="1142" spans="1:1" x14ac:dyDescent="0.25">
      <c r="A1142" t="s">
        <v>7838</v>
      </c>
    </row>
    <row r="1143" spans="1:1" x14ac:dyDescent="0.25">
      <c r="A1143" t="s">
        <v>7839</v>
      </c>
    </row>
    <row r="1144" spans="1:1" x14ac:dyDescent="0.25">
      <c r="A1144" t="s">
        <v>7840</v>
      </c>
    </row>
    <row r="1145" spans="1:1" x14ac:dyDescent="0.25">
      <c r="A1145" t="s">
        <v>7841</v>
      </c>
    </row>
    <row r="1146" spans="1:1" x14ac:dyDescent="0.25">
      <c r="A1146" t="s">
        <v>7842</v>
      </c>
    </row>
    <row r="1147" spans="1:1" x14ac:dyDescent="0.25">
      <c r="A1147" t="s">
        <v>7843</v>
      </c>
    </row>
    <row r="1148" spans="1:1" x14ac:dyDescent="0.25">
      <c r="A1148" t="s">
        <v>7844</v>
      </c>
    </row>
    <row r="1149" spans="1:1" x14ac:dyDescent="0.25">
      <c r="A1149" t="s">
        <v>7845</v>
      </c>
    </row>
    <row r="1150" spans="1:1" x14ac:dyDescent="0.25">
      <c r="A1150" t="s">
        <v>7846</v>
      </c>
    </row>
    <row r="1151" spans="1:1" x14ac:dyDescent="0.25">
      <c r="A1151" t="s">
        <v>7847</v>
      </c>
    </row>
    <row r="1152" spans="1:1" x14ac:dyDescent="0.25">
      <c r="A1152" t="s">
        <v>7848</v>
      </c>
    </row>
    <row r="1153" spans="1:1" x14ac:dyDescent="0.25">
      <c r="A1153" t="s">
        <v>7849</v>
      </c>
    </row>
    <row r="1154" spans="1:1" x14ac:dyDescent="0.25">
      <c r="A1154" t="s">
        <v>7850</v>
      </c>
    </row>
    <row r="1155" spans="1:1" x14ac:dyDescent="0.25">
      <c r="A1155" t="s">
        <v>7851</v>
      </c>
    </row>
    <row r="1156" spans="1:1" x14ac:dyDescent="0.25">
      <c r="A1156" t="s">
        <v>7852</v>
      </c>
    </row>
    <row r="1157" spans="1:1" x14ac:dyDescent="0.25">
      <c r="A1157" t="s">
        <v>7853</v>
      </c>
    </row>
    <row r="1158" spans="1:1" x14ac:dyDescent="0.25">
      <c r="A1158" t="s">
        <v>7854</v>
      </c>
    </row>
    <row r="1159" spans="1:1" x14ac:dyDescent="0.25">
      <c r="A1159" t="s">
        <v>7855</v>
      </c>
    </row>
    <row r="1160" spans="1:1" x14ac:dyDescent="0.25">
      <c r="A1160" t="s">
        <v>7856</v>
      </c>
    </row>
    <row r="1161" spans="1:1" x14ac:dyDescent="0.25">
      <c r="A1161" t="s">
        <v>7857</v>
      </c>
    </row>
    <row r="1162" spans="1:1" x14ac:dyDescent="0.25">
      <c r="A1162" t="s">
        <v>7858</v>
      </c>
    </row>
    <row r="1163" spans="1:1" x14ac:dyDescent="0.25">
      <c r="A1163" t="s">
        <v>7859</v>
      </c>
    </row>
    <row r="1164" spans="1:1" x14ac:dyDescent="0.25">
      <c r="A1164" t="s">
        <v>7860</v>
      </c>
    </row>
    <row r="1165" spans="1:1" x14ac:dyDescent="0.25">
      <c r="A1165" t="s">
        <v>7861</v>
      </c>
    </row>
    <row r="1166" spans="1:1" x14ac:dyDescent="0.25">
      <c r="A1166" t="s">
        <v>7862</v>
      </c>
    </row>
    <row r="1167" spans="1:1" x14ac:dyDescent="0.25">
      <c r="A1167" t="s">
        <v>7863</v>
      </c>
    </row>
    <row r="1168" spans="1:1" x14ac:dyDescent="0.25">
      <c r="A1168" t="s">
        <v>7864</v>
      </c>
    </row>
    <row r="1169" spans="1:1" x14ac:dyDescent="0.25">
      <c r="A1169" t="s">
        <v>7865</v>
      </c>
    </row>
    <row r="1170" spans="1:1" x14ac:dyDescent="0.25">
      <c r="A1170" t="s">
        <v>7866</v>
      </c>
    </row>
    <row r="1171" spans="1:1" x14ac:dyDescent="0.25">
      <c r="A1171" t="s">
        <v>7867</v>
      </c>
    </row>
    <row r="1172" spans="1:1" x14ac:dyDescent="0.25">
      <c r="A1172" t="s">
        <v>7868</v>
      </c>
    </row>
    <row r="1173" spans="1:1" x14ac:dyDescent="0.25">
      <c r="A1173" t="s">
        <v>7869</v>
      </c>
    </row>
    <row r="1174" spans="1:1" x14ac:dyDescent="0.25">
      <c r="A1174" t="s">
        <v>7870</v>
      </c>
    </row>
    <row r="1175" spans="1:1" x14ac:dyDescent="0.25">
      <c r="A1175" t="s">
        <v>7871</v>
      </c>
    </row>
    <row r="1176" spans="1:1" x14ac:dyDescent="0.25">
      <c r="A1176" t="s">
        <v>7872</v>
      </c>
    </row>
    <row r="1177" spans="1:1" x14ac:dyDescent="0.25">
      <c r="A1177" t="s">
        <v>7873</v>
      </c>
    </row>
    <row r="1178" spans="1:1" x14ac:dyDescent="0.25">
      <c r="A1178" t="s">
        <v>7874</v>
      </c>
    </row>
    <row r="1179" spans="1:1" x14ac:dyDescent="0.25">
      <c r="A1179" t="s">
        <v>7875</v>
      </c>
    </row>
    <row r="1180" spans="1:1" x14ac:dyDescent="0.25">
      <c r="A1180" t="s">
        <v>7876</v>
      </c>
    </row>
    <row r="1181" spans="1:1" x14ac:dyDescent="0.25">
      <c r="A1181" t="s">
        <v>7877</v>
      </c>
    </row>
    <row r="1182" spans="1:1" x14ac:dyDescent="0.25">
      <c r="A1182" t="s">
        <v>10362</v>
      </c>
    </row>
    <row r="1183" spans="1:1" x14ac:dyDescent="0.25">
      <c r="A1183" t="s">
        <v>10363</v>
      </c>
    </row>
    <row r="1184" spans="1:1" x14ac:dyDescent="0.25">
      <c r="A1184" t="s">
        <v>10364</v>
      </c>
    </row>
    <row r="1185" spans="1:1" x14ac:dyDescent="0.25">
      <c r="A1185" t="s">
        <v>10365</v>
      </c>
    </row>
    <row r="1186" spans="1:1" x14ac:dyDescent="0.25">
      <c r="A1186" t="s">
        <v>10366</v>
      </c>
    </row>
    <row r="1187" spans="1:1" x14ac:dyDescent="0.25">
      <c r="A1187" t="s">
        <v>10367</v>
      </c>
    </row>
    <row r="1188" spans="1:1" x14ac:dyDescent="0.25">
      <c r="A1188" t="s">
        <v>10368</v>
      </c>
    </row>
    <row r="1189" spans="1:1" x14ac:dyDescent="0.25">
      <c r="A1189" t="s">
        <v>10369</v>
      </c>
    </row>
    <row r="1190" spans="1:1" x14ac:dyDescent="0.25">
      <c r="A1190" t="s">
        <v>10370</v>
      </c>
    </row>
    <row r="1191" spans="1:1" x14ac:dyDescent="0.25">
      <c r="A1191" t="s">
        <v>10371</v>
      </c>
    </row>
    <row r="1192" spans="1:1" x14ac:dyDescent="0.25">
      <c r="A1192" t="s">
        <v>10372</v>
      </c>
    </row>
    <row r="1193" spans="1:1" x14ac:dyDescent="0.25">
      <c r="A1193" t="s">
        <v>10373</v>
      </c>
    </row>
    <row r="1194" spans="1:1" x14ac:dyDescent="0.25">
      <c r="A1194" t="s">
        <v>10374</v>
      </c>
    </row>
    <row r="1195" spans="1:1" x14ac:dyDescent="0.25">
      <c r="A1195" t="s">
        <v>10375</v>
      </c>
    </row>
    <row r="1196" spans="1:1" x14ac:dyDescent="0.25">
      <c r="A1196" t="s">
        <v>10376</v>
      </c>
    </row>
    <row r="1197" spans="1:1" x14ac:dyDescent="0.25">
      <c r="A1197" t="s">
        <v>10377</v>
      </c>
    </row>
    <row r="1198" spans="1:1" x14ac:dyDescent="0.25">
      <c r="A1198" t="s">
        <v>10378</v>
      </c>
    </row>
    <row r="1199" spans="1:1" x14ac:dyDescent="0.25">
      <c r="A1199" t="s">
        <v>10379</v>
      </c>
    </row>
    <row r="1200" spans="1:1" x14ac:dyDescent="0.25">
      <c r="A1200" t="s">
        <v>10380</v>
      </c>
    </row>
    <row r="1201" spans="1:1" x14ac:dyDescent="0.25">
      <c r="A1201" t="s">
        <v>10381</v>
      </c>
    </row>
    <row r="1202" spans="1:1" x14ac:dyDescent="0.25">
      <c r="A1202" t="s">
        <v>10382</v>
      </c>
    </row>
    <row r="1203" spans="1:1" x14ac:dyDescent="0.25">
      <c r="A1203" t="s">
        <v>10383</v>
      </c>
    </row>
    <row r="1204" spans="1:1" x14ac:dyDescent="0.25">
      <c r="A1204" t="s">
        <v>10384</v>
      </c>
    </row>
    <row r="1205" spans="1:1" x14ac:dyDescent="0.25">
      <c r="A1205" t="s">
        <v>10385</v>
      </c>
    </row>
    <row r="1206" spans="1:1" x14ac:dyDescent="0.25">
      <c r="A1206" t="s">
        <v>10386</v>
      </c>
    </row>
    <row r="1207" spans="1:1" x14ac:dyDescent="0.25">
      <c r="A1207" t="s">
        <v>10387</v>
      </c>
    </row>
    <row r="1208" spans="1:1" x14ac:dyDescent="0.25">
      <c r="A1208" t="s">
        <v>10388</v>
      </c>
    </row>
    <row r="1209" spans="1:1" x14ac:dyDescent="0.25">
      <c r="A1209" t="s">
        <v>10389</v>
      </c>
    </row>
    <row r="1210" spans="1:1" x14ac:dyDescent="0.25">
      <c r="A1210" t="s">
        <v>10390</v>
      </c>
    </row>
    <row r="1211" spans="1:1" x14ac:dyDescent="0.25">
      <c r="A1211" t="s">
        <v>10391</v>
      </c>
    </row>
    <row r="1212" spans="1:1" x14ac:dyDescent="0.25">
      <c r="A1212" t="s">
        <v>10392</v>
      </c>
    </row>
    <row r="1213" spans="1:1" x14ac:dyDescent="0.25">
      <c r="A1213" t="s">
        <v>10393</v>
      </c>
    </row>
    <row r="1214" spans="1:1" x14ac:dyDescent="0.25">
      <c r="A1214" t="s">
        <v>10394</v>
      </c>
    </row>
    <row r="1215" spans="1:1" x14ac:dyDescent="0.25">
      <c r="A1215" t="s">
        <v>10395</v>
      </c>
    </row>
    <row r="1216" spans="1:1" x14ac:dyDescent="0.25">
      <c r="A1216" t="s">
        <v>10396</v>
      </c>
    </row>
    <row r="1217" spans="1:1" x14ac:dyDescent="0.25">
      <c r="A1217" t="s">
        <v>10397</v>
      </c>
    </row>
    <row r="1218" spans="1:1" x14ac:dyDescent="0.25">
      <c r="A1218" t="s">
        <v>10398</v>
      </c>
    </row>
    <row r="1219" spans="1:1" x14ac:dyDescent="0.25">
      <c r="A1219" t="s">
        <v>10399</v>
      </c>
    </row>
    <row r="1220" spans="1:1" x14ac:dyDescent="0.25">
      <c r="A1220" t="s">
        <v>10400</v>
      </c>
    </row>
    <row r="1221" spans="1:1" x14ac:dyDescent="0.25">
      <c r="A1221" t="s">
        <v>10401</v>
      </c>
    </row>
    <row r="1222" spans="1:1" x14ac:dyDescent="0.25">
      <c r="A1222" t="s">
        <v>10402</v>
      </c>
    </row>
    <row r="1223" spans="1:1" x14ac:dyDescent="0.25">
      <c r="A1223" t="s">
        <v>10403</v>
      </c>
    </row>
    <row r="1224" spans="1:1" x14ac:dyDescent="0.25">
      <c r="A1224" t="s">
        <v>10404</v>
      </c>
    </row>
    <row r="1225" spans="1:1" x14ac:dyDescent="0.25">
      <c r="A1225" t="s">
        <v>10405</v>
      </c>
    </row>
    <row r="1226" spans="1:1" x14ac:dyDescent="0.25">
      <c r="A1226" t="s">
        <v>10406</v>
      </c>
    </row>
    <row r="1227" spans="1:1" x14ac:dyDescent="0.25">
      <c r="A1227" t="s">
        <v>10407</v>
      </c>
    </row>
    <row r="1228" spans="1:1" x14ac:dyDescent="0.25">
      <c r="A1228" t="s">
        <v>10408</v>
      </c>
    </row>
    <row r="1229" spans="1:1" x14ac:dyDescent="0.25">
      <c r="A1229" t="s">
        <v>10409</v>
      </c>
    </row>
    <row r="1230" spans="1:1" x14ac:dyDescent="0.25">
      <c r="A1230" t="s">
        <v>10410</v>
      </c>
    </row>
    <row r="1231" spans="1:1" x14ac:dyDescent="0.25">
      <c r="A1231" t="s">
        <v>10411</v>
      </c>
    </row>
    <row r="1232" spans="1:1" x14ac:dyDescent="0.25">
      <c r="A1232" t="s">
        <v>10412</v>
      </c>
    </row>
    <row r="1233" spans="1:1" x14ac:dyDescent="0.25">
      <c r="A1233" t="s">
        <v>10413</v>
      </c>
    </row>
    <row r="1234" spans="1:1" x14ac:dyDescent="0.25">
      <c r="A1234" t="s">
        <v>10414</v>
      </c>
    </row>
    <row r="1235" spans="1:1" x14ac:dyDescent="0.25">
      <c r="A1235" t="s">
        <v>10415</v>
      </c>
    </row>
    <row r="1236" spans="1:1" x14ac:dyDescent="0.25">
      <c r="A1236" t="s">
        <v>10416</v>
      </c>
    </row>
    <row r="1237" spans="1:1" x14ac:dyDescent="0.25">
      <c r="A1237" t="s">
        <v>10417</v>
      </c>
    </row>
    <row r="1238" spans="1:1" x14ac:dyDescent="0.25">
      <c r="A1238" t="s">
        <v>10418</v>
      </c>
    </row>
    <row r="1239" spans="1:1" x14ac:dyDescent="0.25">
      <c r="A1239" t="s">
        <v>10419</v>
      </c>
    </row>
    <row r="1240" spans="1:1" x14ac:dyDescent="0.25">
      <c r="A1240" t="s">
        <v>10420</v>
      </c>
    </row>
    <row r="1241" spans="1:1" x14ac:dyDescent="0.25">
      <c r="A1241" t="s">
        <v>10421</v>
      </c>
    </row>
    <row r="1242" spans="1:1" x14ac:dyDescent="0.25">
      <c r="A1242" t="s">
        <v>10422</v>
      </c>
    </row>
    <row r="1243" spans="1:1" x14ac:dyDescent="0.25">
      <c r="A1243" t="s">
        <v>10423</v>
      </c>
    </row>
    <row r="1244" spans="1:1" x14ac:dyDescent="0.25">
      <c r="A1244" t="s">
        <v>10424</v>
      </c>
    </row>
    <row r="1245" spans="1:1" x14ac:dyDescent="0.25">
      <c r="A1245" t="s">
        <v>10425</v>
      </c>
    </row>
    <row r="1246" spans="1:1" x14ac:dyDescent="0.25">
      <c r="A1246" t="s">
        <v>10426</v>
      </c>
    </row>
    <row r="1247" spans="1:1" x14ac:dyDescent="0.25">
      <c r="A1247" t="s">
        <v>10427</v>
      </c>
    </row>
    <row r="1248" spans="1:1" x14ac:dyDescent="0.25">
      <c r="A1248" t="s">
        <v>10428</v>
      </c>
    </row>
    <row r="1249" spans="1:1" x14ac:dyDescent="0.25">
      <c r="A1249" t="s">
        <v>10429</v>
      </c>
    </row>
    <row r="1250" spans="1:1" x14ac:dyDescent="0.25">
      <c r="A1250" t="s">
        <v>10430</v>
      </c>
    </row>
    <row r="1251" spans="1:1" x14ac:dyDescent="0.25">
      <c r="A1251" t="s">
        <v>10431</v>
      </c>
    </row>
    <row r="1252" spans="1:1" x14ac:dyDescent="0.25">
      <c r="A1252" t="s">
        <v>10432</v>
      </c>
    </row>
    <row r="1253" spans="1:1" x14ac:dyDescent="0.25">
      <c r="A1253" t="s">
        <v>10433</v>
      </c>
    </row>
    <row r="1254" spans="1:1" x14ac:dyDescent="0.25">
      <c r="A1254" t="s">
        <v>10434</v>
      </c>
    </row>
    <row r="1255" spans="1:1" x14ac:dyDescent="0.25">
      <c r="A1255" t="s">
        <v>10435</v>
      </c>
    </row>
    <row r="1256" spans="1:1" x14ac:dyDescent="0.25">
      <c r="A1256" t="s">
        <v>10436</v>
      </c>
    </row>
    <row r="1257" spans="1:1" x14ac:dyDescent="0.25">
      <c r="A1257" t="s">
        <v>10437</v>
      </c>
    </row>
    <row r="1258" spans="1:1" x14ac:dyDescent="0.25">
      <c r="A1258" t="s">
        <v>10438</v>
      </c>
    </row>
    <row r="1259" spans="1:1" x14ac:dyDescent="0.25">
      <c r="A1259" t="s">
        <v>10439</v>
      </c>
    </row>
    <row r="1260" spans="1:1" x14ac:dyDescent="0.25">
      <c r="A1260" t="s">
        <v>10440</v>
      </c>
    </row>
    <row r="1261" spans="1:1" x14ac:dyDescent="0.25">
      <c r="A1261" t="s">
        <v>10441</v>
      </c>
    </row>
    <row r="1262" spans="1:1" x14ac:dyDescent="0.25">
      <c r="A1262" t="s">
        <v>10442</v>
      </c>
    </row>
    <row r="1263" spans="1:1" x14ac:dyDescent="0.25">
      <c r="A1263" t="s">
        <v>10443</v>
      </c>
    </row>
    <row r="1264" spans="1:1" x14ac:dyDescent="0.25">
      <c r="A1264" t="s">
        <v>10444</v>
      </c>
    </row>
    <row r="1265" spans="1:1" x14ac:dyDescent="0.25">
      <c r="A1265" t="s">
        <v>10445</v>
      </c>
    </row>
    <row r="1266" spans="1:1" x14ac:dyDescent="0.25">
      <c r="A1266" t="s">
        <v>10446</v>
      </c>
    </row>
    <row r="1267" spans="1:1" x14ac:dyDescent="0.25">
      <c r="A1267" t="s">
        <v>10447</v>
      </c>
    </row>
    <row r="1268" spans="1:1" x14ac:dyDescent="0.25">
      <c r="A1268" t="s">
        <v>10448</v>
      </c>
    </row>
    <row r="1269" spans="1:1" x14ac:dyDescent="0.25">
      <c r="A1269" t="s">
        <v>10449</v>
      </c>
    </row>
    <row r="1270" spans="1:1" x14ac:dyDescent="0.25">
      <c r="A1270" t="s">
        <v>10450</v>
      </c>
    </row>
    <row r="1271" spans="1:1" x14ac:dyDescent="0.25">
      <c r="A1271" t="s">
        <v>10451</v>
      </c>
    </row>
    <row r="1272" spans="1:1" x14ac:dyDescent="0.25">
      <c r="A1272" t="s">
        <v>10452</v>
      </c>
    </row>
    <row r="1273" spans="1:1" x14ac:dyDescent="0.25">
      <c r="A1273" t="s">
        <v>10453</v>
      </c>
    </row>
    <row r="1274" spans="1:1" x14ac:dyDescent="0.25">
      <c r="A1274" t="s">
        <v>10454</v>
      </c>
    </row>
    <row r="1275" spans="1:1" x14ac:dyDescent="0.25">
      <c r="A1275" t="s">
        <v>10455</v>
      </c>
    </row>
    <row r="1276" spans="1:1" x14ac:dyDescent="0.25">
      <c r="A1276" t="s">
        <v>10456</v>
      </c>
    </row>
    <row r="1277" spans="1:1" x14ac:dyDescent="0.25">
      <c r="A1277" t="s">
        <v>10457</v>
      </c>
    </row>
    <row r="1278" spans="1:1" x14ac:dyDescent="0.25">
      <c r="A1278" t="s">
        <v>10458</v>
      </c>
    </row>
    <row r="1279" spans="1:1" x14ac:dyDescent="0.25">
      <c r="A1279" t="s">
        <v>10459</v>
      </c>
    </row>
    <row r="1280" spans="1:1" x14ac:dyDescent="0.25">
      <c r="A1280" t="s">
        <v>10460</v>
      </c>
    </row>
    <row r="1281" spans="1:1" x14ac:dyDescent="0.25">
      <c r="A1281" t="s">
        <v>10461</v>
      </c>
    </row>
    <row r="1282" spans="1:1" x14ac:dyDescent="0.25">
      <c r="A1282" t="s">
        <v>10462</v>
      </c>
    </row>
    <row r="1283" spans="1:1" x14ac:dyDescent="0.25">
      <c r="A1283" t="s">
        <v>10463</v>
      </c>
    </row>
    <row r="1284" spans="1:1" x14ac:dyDescent="0.25">
      <c r="A1284" t="s">
        <v>10464</v>
      </c>
    </row>
    <row r="1285" spans="1:1" x14ac:dyDescent="0.25">
      <c r="A1285" t="s">
        <v>10465</v>
      </c>
    </row>
    <row r="1286" spans="1:1" x14ac:dyDescent="0.25">
      <c r="A1286" t="s">
        <v>10466</v>
      </c>
    </row>
    <row r="1287" spans="1:1" x14ac:dyDescent="0.25">
      <c r="A1287" t="s">
        <v>10467</v>
      </c>
    </row>
    <row r="1288" spans="1:1" x14ac:dyDescent="0.25">
      <c r="A1288" t="s">
        <v>10468</v>
      </c>
    </row>
    <row r="1289" spans="1:1" x14ac:dyDescent="0.25">
      <c r="A1289" t="s">
        <v>10469</v>
      </c>
    </row>
    <row r="1290" spans="1:1" x14ac:dyDescent="0.25">
      <c r="A1290" t="s">
        <v>10470</v>
      </c>
    </row>
    <row r="1291" spans="1:1" x14ac:dyDescent="0.25">
      <c r="A1291" t="s">
        <v>10471</v>
      </c>
    </row>
    <row r="1292" spans="1:1" x14ac:dyDescent="0.25">
      <c r="A1292" t="s">
        <v>10472</v>
      </c>
    </row>
    <row r="1293" spans="1:1" x14ac:dyDescent="0.25">
      <c r="A1293" t="s">
        <v>10473</v>
      </c>
    </row>
    <row r="1294" spans="1:1" x14ac:dyDescent="0.25">
      <c r="A1294" t="s">
        <v>10474</v>
      </c>
    </row>
    <row r="1295" spans="1:1" x14ac:dyDescent="0.25">
      <c r="A1295" t="s">
        <v>10475</v>
      </c>
    </row>
    <row r="1296" spans="1:1" x14ac:dyDescent="0.25">
      <c r="A1296" t="s">
        <v>10476</v>
      </c>
    </row>
    <row r="1297" spans="1:1" x14ac:dyDescent="0.25">
      <c r="A1297" t="s">
        <v>10477</v>
      </c>
    </row>
    <row r="1298" spans="1:1" x14ac:dyDescent="0.25">
      <c r="A1298" t="s">
        <v>10478</v>
      </c>
    </row>
    <row r="1299" spans="1:1" x14ac:dyDescent="0.25">
      <c r="A1299" t="s">
        <v>10479</v>
      </c>
    </row>
    <row r="1300" spans="1:1" x14ac:dyDescent="0.25">
      <c r="A1300" t="s">
        <v>10480</v>
      </c>
    </row>
    <row r="1301" spans="1:1" x14ac:dyDescent="0.25">
      <c r="A1301" t="s">
        <v>10481</v>
      </c>
    </row>
    <row r="1302" spans="1:1" x14ac:dyDescent="0.25">
      <c r="A1302" t="s">
        <v>10482</v>
      </c>
    </row>
    <row r="1303" spans="1:1" x14ac:dyDescent="0.25">
      <c r="A1303" t="s">
        <v>10483</v>
      </c>
    </row>
    <row r="1304" spans="1:1" x14ac:dyDescent="0.25">
      <c r="A1304" t="s">
        <v>10484</v>
      </c>
    </row>
    <row r="1305" spans="1:1" x14ac:dyDescent="0.25">
      <c r="A1305" t="s">
        <v>10485</v>
      </c>
    </row>
    <row r="1306" spans="1:1" x14ac:dyDescent="0.25">
      <c r="A1306" t="s">
        <v>10486</v>
      </c>
    </row>
    <row r="1307" spans="1:1" x14ac:dyDescent="0.25">
      <c r="A1307" t="s">
        <v>10487</v>
      </c>
    </row>
    <row r="1308" spans="1:1" x14ac:dyDescent="0.25">
      <c r="A1308" t="s">
        <v>10488</v>
      </c>
    </row>
    <row r="1309" spans="1:1" x14ac:dyDescent="0.25">
      <c r="A1309" t="s">
        <v>10489</v>
      </c>
    </row>
    <row r="1310" spans="1:1" x14ac:dyDescent="0.25">
      <c r="A1310" t="s">
        <v>10490</v>
      </c>
    </row>
    <row r="1311" spans="1:1" x14ac:dyDescent="0.25">
      <c r="A1311" t="s">
        <v>10491</v>
      </c>
    </row>
    <row r="1312" spans="1:1" x14ac:dyDescent="0.25">
      <c r="A1312" t="s">
        <v>10492</v>
      </c>
    </row>
    <row r="1313" spans="1:1" x14ac:dyDescent="0.25">
      <c r="A1313" t="s">
        <v>10493</v>
      </c>
    </row>
    <row r="1314" spans="1:1" x14ac:dyDescent="0.25">
      <c r="A1314" t="s">
        <v>10494</v>
      </c>
    </row>
    <row r="1315" spans="1:1" x14ac:dyDescent="0.25">
      <c r="A1315" t="s">
        <v>10495</v>
      </c>
    </row>
    <row r="1316" spans="1:1" x14ac:dyDescent="0.25">
      <c r="A1316" t="s">
        <v>10496</v>
      </c>
    </row>
    <row r="1317" spans="1:1" x14ac:dyDescent="0.25">
      <c r="A1317" t="s">
        <v>10497</v>
      </c>
    </row>
    <row r="1318" spans="1:1" x14ac:dyDescent="0.25">
      <c r="A1318" t="s">
        <v>10498</v>
      </c>
    </row>
    <row r="1319" spans="1:1" x14ac:dyDescent="0.25">
      <c r="A1319" t="s">
        <v>10499</v>
      </c>
    </row>
    <row r="1320" spans="1:1" x14ac:dyDescent="0.25">
      <c r="A1320" t="s">
        <v>10500</v>
      </c>
    </row>
    <row r="1321" spans="1:1" x14ac:dyDescent="0.25">
      <c r="A1321" t="s">
        <v>10501</v>
      </c>
    </row>
    <row r="1322" spans="1:1" x14ac:dyDescent="0.25">
      <c r="A1322" t="s">
        <v>10502</v>
      </c>
    </row>
    <row r="1323" spans="1:1" x14ac:dyDescent="0.25">
      <c r="A1323" t="s">
        <v>10503</v>
      </c>
    </row>
    <row r="1324" spans="1:1" x14ac:dyDescent="0.25">
      <c r="A1324" t="s">
        <v>10504</v>
      </c>
    </row>
    <row r="1325" spans="1:1" x14ac:dyDescent="0.25">
      <c r="A1325" t="s">
        <v>10505</v>
      </c>
    </row>
    <row r="1326" spans="1:1" x14ac:dyDescent="0.25">
      <c r="A1326" t="s">
        <v>10506</v>
      </c>
    </row>
    <row r="1327" spans="1:1" x14ac:dyDescent="0.25">
      <c r="A1327" t="s">
        <v>10507</v>
      </c>
    </row>
    <row r="1328" spans="1:1" x14ac:dyDescent="0.25">
      <c r="A1328" t="s">
        <v>10508</v>
      </c>
    </row>
    <row r="1329" spans="1:1" x14ac:dyDescent="0.25">
      <c r="A1329" t="s">
        <v>10509</v>
      </c>
    </row>
    <row r="1330" spans="1:1" x14ac:dyDescent="0.25">
      <c r="A1330" t="s">
        <v>10510</v>
      </c>
    </row>
    <row r="1331" spans="1:1" x14ac:dyDescent="0.25">
      <c r="A1331" t="s">
        <v>10511</v>
      </c>
    </row>
    <row r="1332" spans="1:1" x14ac:dyDescent="0.25">
      <c r="A1332" t="s">
        <v>10512</v>
      </c>
    </row>
    <row r="1333" spans="1:1" x14ac:dyDescent="0.25">
      <c r="A1333" t="s">
        <v>10513</v>
      </c>
    </row>
    <row r="1334" spans="1:1" x14ac:dyDescent="0.25">
      <c r="A1334" t="s">
        <v>10514</v>
      </c>
    </row>
    <row r="1335" spans="1:1" x14ac:dyDescent="0.25">
      <c r="A1335" t="s">
        <v>10515</v>
      </c>
    </row>
    <row r="1336" spans="1:1" x14ac:dyDescent="0.25">
      <c r="A1336" t="s">
        <v>10516</v>
      </c>
    </row>
    <row r="1337" spans="1:1" x14ac:dyDescent="0.25">
      <c r="A1337" t="s">
        <v>10517</v>
      </c>
    </row>
    <row r="1338" spans="1:1" x14ac:dyDescent="0.25">
      <c r="A1338" t="s">
        <v>10518</v>
      </c>
    </row>
    <row r="1339" spans="1:1" x14ac:dyDescent="0.25">
      <c r="A1339" t="s">
        <v>10519</v>
      </c>
    </row>
    <row r="1340" spans="1:1" x14ac:dyDescent="0.25">
      <c r="A1340" t="s">
        <v>10520</v>
      </c>
    </row>
    <row r="1341" spans="1:1" x14ac:dyDescent="0.25">
      <c r="A1341" t="s">
        <v>10521</v>
      </c>
    </row>
    <row r="1342" spans="1:1" x14ac:dyDescent="0.25">
      <c r="A1342" t="s">
        <v>10522</v>
      </c>
    </row>
    <row r="1343" spans="1:1" x14ac:dyDescent="0.25">
      <c r="A1343" t="s">
        <v>10523</v>
      </c>
    </row>
    <row r="1344" spans="1:1" x14ac:dyDescent="0.25">
      <c r="A1344" t="s">
        <v>10524</v>
      </c>
    </row>
    <row r="1345" spans="1:1" x14ac:dyDescent="0.25">
      <c r="A1345" t="s">
        <v>10525</v>
      </c>
    </row>
    <row r="1346" spans="1:1" x14ac:dyDescent="0.25">
      <c r="A1346" t="s">
        <v>10526</v>
      </c>
    </row>
    <row r="1347" spans="1:1" x14ac:dyDescent="0.25">
      <c r="A1347" t="s">
        <v>10527</v>
      </c>
    </row>
    <row r="1348" spans="1:1" x14ac:dyDescent="0.25">
      <c r="A1348" t="s">
        <v>10528</v>
      </c>
    </row>
    <row r="1349" spans="1:1" x14ac:dyDescent="0.25">
      <c r="A1349" t="s">
        <v>10529</v>
      </c>
    </row>
    <row r="1350" spans="1:1" x14ac:dyDescent="0.25">
      <c r="A1350" t="s">
        <v>10530</v>
      </c>
    </row>
    <row r="1351" spans="1:1" x14ac:dyDescent="0.25">
      <c r="A1351" t="s">
        <v>10531</v>
      </c>
    </row>
    <row r="1352" spans="1:1" x14ac:dyDescent="0.25">
      <c r="A1352" t="s">
        <v>10532</v>
      </c>
    </row>
    <row r="1353" spans="1:1" x14ac:dyDescent="0.25">
      <c r="A1353" t="s">
        <v>10533</v>
      </c>
    </row>
    <row r="1354" spans="1:1" x14ac:dyDescent="0.25">
      <c r="A1354" t="s">
        <v>10534</v>
      </c>
    </row>
    <row r="1355" spans="1:1" x14ac:dyDescent="0.25">
      <c r="A1355" t="s">
        <v>10535</v>
      </c>
    </row>
    <row r="1356" spans="1:1" x14ac:dyDescent="0.25">
      <c r="A1356" t="s">
        <v>10536</v>
      </c>
    </row>
    <row r="1357" spans="1:1" x14ac:dyDescent="0.25">
      <c r="A1357" t="s">
        <v>10537</v>
      </c>
    </row>
    <row r="1358" spans="1:1" x14ac:dyDescent="0.25">
      <c r="A1358" t="s">
        <v>10538</v>
      </c>
    </row>
    <row r="1359" spans="1:1" x14ac:dyDescent="0.25">
      <c r="A1359" t="s">
        <v>10539</v>
      </c>
    </row>
    <row r="1360" spans="1:1" x14ac:dyDescent="0.25">
      <c r="A1360" t="s">
        <v>10540</v>
      </c>
    </row>
    <row r="1361" spans="1:1" x14ac:dyDescent="0.25">
      <c r="A1361" t="s">
        <v>10541</v>
      </c>
    </row>
    <row r="1362" spans="1:1" x14ac:dyDescent="0.25">
      <c r="A1362" t="s">
        <v>10542</v>
      </c>
    </row>
    <row r="1363" spans="1:1" x14ac:dyDescent="0.25">
      <c r="A1363" t="s">
        <v>10543</v>
      </c>
    </row>
    <row r="1364" spans="1:1" x14ac:dyDescent="0.25">
      <c r="A1364" t="s">
        <v>10544</v>
      </c>
    </row>
    <row r="1365" spans="1:1" x14ac:dyDescent="0.25">
      <c r="A1365" t="s">
        <v>10545</v>
      </c>
    </row>
    <row r="1366" spans="1:1" x14ac:dyDescent="0.25">
      <c r="A1366" t="s">
        <v>10546</v>
      </c>
    </row>
    <row r="1367" spans="1:1" x14ac:dyDescent="0.25">
      <c r="A1367" t="s">
        <v>10547</v>
      </c>
    </row>
    <row r="1368" spans="1:1" x14ac:dyDescent="0.25">
      <c r="A1368" t="s">
        <v>10548</v>
      </c>
    </row>
    <row r="1369" spans="1:1" x14ac:dyDescent="0.25">
      <c r="A1369" t="s">
        <v>10549</v>
      </c>
    </row>
    <row r="1370" spans="1:1" x14ac:dyDescent="0.25">
      <c r="A1370" t="s">
        <v>10550</v>
      </c>
    </row>
    <row r="1371" spans="1:1" x14ac:dyDescent="0.25">
      <c r="A1371" t="s">
        <v>10551</v>
      </c>
    </row>
    <row r="1372" spans="1:1" x14ac:dyDescent="0.25">
      <c r="A1372" t="s">
        <v>10552</v>
      </c>
    </row>
    <row r="1373" spans="1:1" x14ac:dyDescent="0.25">
      <c r="A1373" t="s">
        <v>10553</v>
      </c>
    </row>
    <row r="1374" spans="1:1" x14ac:dyDescent="0.25">
      <c r="A1374" t="s">
        <v>10554</v>
      </c>
    </row>
    <row r="1375" spans="1:1" x14ac:dyDescent="0.25">
      <c r="A1375" t="s">
        <v>10555</v>
      </c>
    </row>
    <row r="1376" spans="1:1" x14ac:dyDescent="0.25">
      <c r="A1376" t="s">
        <v>10556</v>
      </c>
    </row>
    <row r="1377" spans="1:1" x14ac:dyDescent="0.25">
      <c r="A1377" t="s">
        <v>10557</v>
      </c>
    </row>
    <row r="1378" spans="1:1" x14ac:dyDescent="0.25">
      <c r="A1378" t="s">
        <v>10558</v>
      </c>
    </row>
    <row r="1379" spans="1:1" x14ac:dyDescent="0.25">
      <c r="A1379" t="s">
        <v>10559</v>
      </c>
    </row>
    <row r="1380" spans="1:1" x14ac:dyDescent="0.25">
      <c r="A1380" t="s">
        <v>10560</v>
      </c>
    </row>
    <row r="1381" spans="1:1" x14ac:dyDescent="0.25">
      <c r="A1381" t="s">
        <v>10561</v>
      </c>
    </row>
    <row r="1382" spans="1:1" x14ac:dyDescent="0.25">
      <c r="A1382" t="s">
        <v>10562</v>
      </c>
    </row>
    <row r="1383" spans="1:1" x14ac:dyDescent="0.25">
      <c r="A1383" t="s">
        <v>10563</v>
      </c>
    </row>
    <row r="1384" spans="1:1" x14ac:dyDescent="0.25">
      <c r="A1384" t="s">
        <v>10564</v>
      </c>
    </row>
    <row r="1385" spans="1:1" x14ac:dyDescent="0.25">
      <c r="A1385" t="s">
        <v>10565</v>
      </c>
    </row>
    <row r="1386" spans="1:1" x14ac:dyDescent="0.25">
      <c r="A1386" t="s">
        <v>10566</v>
      </c>
    </row>
    <row r="1387" spans="1:1" x14ac:dyDescent="0.25">
      <c r="A1387" t="s">
        <v>10567</v>
      </c>
    </row>
    <row r="1388" spans="1:1" x14ac:dyDescent="0.25">
      <c r="A1388" t="s">
        <v>10568</v>
      </c>
    </row>
    <row r="1389" spans="1:1" x14ac:dyDescent="0.25">
      <c r="A1389" t="s">
        <v>10569</v>
      </c>
    </row>
    <row r="1390" spans="1:1" x14ac:dyDescent="0.25">
      <c r="A1390" t="s">
        <v>10570</v>
      </c>
    </row>
    <row r="1391" spans="1:1" x14ac:dyDescent="0.25">
      <c r="A1391" t="s">
        <v>10571</v>
      </c>
    </row>
    <row r="1392" spans="1:1" x14ac:dyDescent="0.25">
      <c r="A1392" t="s">
        <v>10572</v>
      </c>
    </row>
    <row r="1393" spans="1:1" x14ac:dyDescent="0.25">
      <c r="A1393" t="s">
        <v>10573</v>
      </c>
    </row>
    <row r="1394" spans="1:1" x14ac:dyDescent="0.25">
      <c r="A1394" t="s">
        <v>10574</v>
      </c>
    </row>
    <row r="1395" spans="1:1" x14ac:dyDescent="0.25">
      <c r="A1395" t="s">
        <v>10575</v>
      </c>
    </row>
    <row r="1396" spans="1:1" x14ac:dyDescent="0.25">
      <c r="A1396" t="s">
        <v>10576</v>
      </c>
    </row>
    <row r="1397" spans="1:1" x14ac:dyDescent="0.25">
      <c r="A1397" t="s">
        <v>10577</v>
      </c>
    </row>
    <row r="1398" spans="1:1" x14ac:dyDescent="0.25">
      <c r="A1398" t="s">
        <v>10578</v>
      </c>
    </row>
    <row r="1399" spans="1:1" x14ac:dyDescent="0.25">
      <c r="A1399" t="s">
        <v>10579</v>
      </c>
    </row>
    <row r="1400" spans="1:1" x14ac:dyDescent="0.25">
      <c r="A1400" t="s">
        <v>10580</v>
      </c>
    </row>
    <row r="1401" spans="1:1" x14ac:dyDescent="0.25">
      <c r="A1401" t="s">
        <v>10581</v>
      </c>
    </row>
    <row r="1402" spans="1:1" x14ac:dyDescent="0.25">
      <c r="A1402" t="s">
        <v>10582</v>
      </c>
    </row>
    <row r="1403" spans="1:1" x14ac:dyDescent="0.25">
      <c r="A1403" t="s">
        <v>10583</v>
      </c>
    </row>
    <row r="1404" spans="1:1" x14ac:dyDescent="0.25">
      <c r="A1404" t="s">
        <v>10584</v>
      </c>
    </row>
    <row r="1405" spans="1:1" x14ac:dyDescent="0.25">
      <c r="A1405" t="s">
        <v>10585</v>
      </c>
    </row>
    <row r="1406" spans="1:1" x14ac:dyDescent="0.25">
      <c r="A1406" t="s">
        <v>10586</v>
      </c>
    </row>
    <row r="1407" spans="1:1" x14ac:dyDescent="0.25">
      <c r="A1407" t="s">
        <v>10587</v>
      </c>
    </row>
    <row r="1408" spans="1:1" x14ac:dyDescent="0.25">
      <c r="A1408" t="s">
        <v>10588</v>
      </c>
    </row>
    <row r="1409" spans="1:1" x14ac:dyDescent="0.25">
      <c r="A1409" t="s">
        <v>10589</v>
      </c>
    </row>
    <row r="1410" spans="1:1" x14ac:dyDescent="0.25">
      <c r="A1410" t="s">
        <v>10590</v>
      </c>
    </row>
    <row r="1411" spans="1:1" x14ac:dyDescent="0.25">
      <c r="A1411" t="s">
        <v>10591</v>
      </c>
    </row>
    <row r="1412" spans="1:1" x14ac:dyDescent="0.25">
      <c r="A1412" t="s">
        <v>10592</v>
      </c>
    </row>
    <row r="1413" spans="1:1" x14ac:dyDescent="0.25">
      <c r="A1413" t="s">
        <v>10593</v>
      </c>
    </row>
    <row r="1414" spans="1:1" x14ac:dyDescent="0.25">
      <c r="A1414" t="s">
        <v>10594</v>
      </c>
    </row>
    <row r="1415" spans="1:1" x14ac:dyDescent="0.25">
      <c r="A1415" t="s">
        <v>10595</v>
      </c>
    </row>
    <row r="1416" spans="1:1" x14ac:dyDescent="0.25">
      <c r="A1416" t="s">
        <v>10596</v>
      </c>
    </row>
    <row r="1417" spans="1:1" x14ac:dyDescent="0.25">
      <c r="A1417" t="s">
        <v>10597</v>
      </c>
    </row>
    <row r="1418" spans="1:1" x14ac:dyDescent="0.25">
      <c r="A1418" t="s">
        <v>10598</v>
      </c>
    </row>
    <row r="1419" spans="1:1" x14ac:dyDescent="0.25">
      <c r="A1419" t="s">
        <v>10599</v>
      </c>
    </row>
    <row r="1420" spans="1:1" x14ac:dyDescent="0.25">
      <c r="A1420" t="s">
        <v>10600</v>
      </c>
    </row>
    <row r="1421" spans="1:1" x14ac:dyDescent="0.25">
      <c r="A1421" t="s">
        <v>10601</v>
      </c>
    </row>
    <row r="1422" spans="1:1" x14ac:dyDescent="0.25">
      <c r="A1422" t="s">
        <v>10602</v>
      </c>
    </row>
    <row r="1423" spans="1:1" x14ac:dyDescent="0.25">
      <c r="A1423" t="s">
        <v>10603</v>
      </c>
    </row>
    <row r="1424" spans="1:1" x14ac:dyDescent="0.25">
      <c r="A1424" t="s">
        <v>10604</v>
      </c>
    </row>
    <row r="1425" spans="1:1" x14ac:dyDescent="0.25">
      <c r="A1425" t="s">
        <v>10605</v>
      </c>
    </row>
    <row r="1426" spans="1:1" x14ac:dyDescent="0.25">
      <c r="A1426" t="s">
        <v>10606</v>
      </c>
    </row>
    <row r="1427" spans="1:1" x14ac:dyDescent="0.25">
      <c r="A1427" t="s">
        <v>10607</v>
      </c>
    </row>
    <row r="1428" spans="1:1" x14ac:dyDescent="0.25">
      <c r="A1428" t="s">
        <v>10608</v>
      </c>
    </row>
    <row r="1429" spans="1:1" x14ac:dyDescent="0.25">
      <c r="A1429" t="s">
        <v>10609</v>
      </c>
    </row>
    <row r="1430" spans="1:1" x14ac:dyDescent="0.25">
      <c r="A1430" t="s">
        <v>10610</v>
      </c>
    </row>
    <row r="1431" spans="1:1" x14ac:dyDescent="0.25">
      <c r="A1431" t="s">
        <v>10611</v>
      </c>
    </row>
    <row r="1432" spans="1:1" x14ac:dyDescent="0.25">
      <c r="A1432" t="s">
        <v>10612</v>
      </c>
    </row>
    <row r="1433" spans="1:1" x14ac:dyDescent="0.25">
      <c r="A1433" t="s">
        <v>10613</v>
      </c>
    </row>
    <row r="1434" spans="1:1" x14ac:dyDescent="0.25">
      <c r="A1434" t="s">
        <v>10614</v>
      </c>
    </row>
    <row r="1435" spans="1:1" x14ac:dyDescent="0.25">
      <c r="A1435" t="s">
        <v>10615</v>
      </c>
    </row>
    <row r="1436" spans="1:1" x14ac:dyDescent="0.25">
      <c r="A1436" t="s">
        <v>10616</v>
      </c>
    </row>
    <row r="1437" spans="1:1" x14ac:dyDescent="0.25">
      <c r="A1437" t="s">
        <v>10617</v>
      </c>
    </row>
    <row r="1438" spans="1:1" x14ac:dyDescent="0.25">
      <c r="A1438" t="s">
        <v>10618</v>
      </c>
    </row>
    <row r="1439" spans="1:1" x14ac:dyDescent="0.25">
      <c r="A1439" t="s">
        <v>10619</v>
      </c>
    </row>
    <row r="1440" spans="1:1" x14ac:dyDescent="0.25">
      <c r="A1440" t="s">
        <v>10620</v>
      </c>
    </row>
    <row r="1441" spans="1:1" x14ac:dyDescent="0.25">
      <c r="A1441" t="s">
        <v>10621</v>
      </c>
    </row>
    <row r="1442" spans="1:1" x14ac:dyDescent="0.25">
      <c r="A1442" t="s">
        <v>10622</v>
      </c>
    </row>
    <row r="1443" spans="1:1" x14ac:dyDescent="0.25">
      <c r="A1443" t="s">
        <v>10623</v>
      </c>
    </row>
    <row r="1444" spans="1:1" x14ac:dyDescent="0.25">
      <c r="A1444" t="s">
        <v>10624</v>
      </c>
    </row>
    <row r="1445" spans="1:1" x14ac:dyDescent="0.25">
      <c r="A1445" t="s">
        <v>10625</v>
      </c>
    </row>
    <row r="1446" spans="1:1" x14ac:dyDescent="0.25">
      <c r="A1446" t="s">
        <v>9398</v>
      </c>
    </row>
    <row r="1447" spans="1:1" x14ac:dyDescent="0.25">
      <c r="A1447" t="s">
        <v>9399</v>
      </c>
    </row>
    <row r="1448" spans="1:1" x14ac:dyDescent="0.25">
      <c r="A1448" t="s">
        <v>9400</v>
      </c>
    </row>
    <row r="1449" spans="1:1" x14ac:dyDescent="0.25">
      <c r="A1449" t="s">
        <v>9401</v>
      </c>
    </row>
    <row r="1450" spans="1:1" x14ac:dyDescent="0.25">
      <c r="A1450" t="s">
        <v>9402</v>
      </c>
    </row>
    <row r="1451" spans="1:1" x14ac:dyDescent="0.25">
      <c r="A1451" t="s">
        <v>9403</v>
      </c>
    </row>
    <row r="1452" spans="1:1" x14ac:dyDescent="0.25">
      <c r="A1452" t="s">
        <v>9404</v>
      </c>
    </row>
    <row r="1453" spans="1:1" x14ac:dyDescent="0.25">
      <c r="A1453" t="s">
        <v>9405</v>
      </c>
    </row>
    <row r="1454" spans="1:1" x14ac:dyDescent="0.25">
      <c r="A1454" t="s">
        <v>9406</v>
      </c>
    </row>
    <row r="1455" spans="1:1" x14ac:dyDescent="0.25">
      <c r="A1455" t="s">
        <v>9407</v>
      </c>
    </row>
    <row r="1456" spans="1:1" x14ac:dyDescent="0.25">
      <c r="A1456" t="s">
        <v>9408</v>
      </c>
    </row>
    <row r="1457" spans="1:1" x14ac:dyDescent="0.25">
      <c r="A1457" t="s">
        <v>9409</v>
      </c>
    </row>
    <row r="1458" spans="1:1" x14ac:dyDescent="0.25">
      <c r="A1458" t="s">
        <v>9410</v>
      </c>
    </row>
    <row r="1459" spans="1:1" x14ac:dyDescent="0.25">
      <c r="A1459" t="s">
        <v>9411</v>
      </c>
    </row>
    <row r="1460" spans="1:1" x14ac:dyDescent="0.25">
      <c r="A1460" t="s">
        <v>9412</v>
      </c>
    </row>
    <row r="1461" spans="1:1" x14ac:dyDescent="0.25">
      <c r="A1461" t="s">
        <v>9413</v>
      </c>
    </row>
    <row r="1462" spans="1:1" x14ac:dyDescent="0.25">
      <c r="A1462" t="s">
        <v>9414</v>
      </c>
    </row>
    <row r="1463" spans="1:1" x14ac:dyDescent="0.25">
      <c r="A1463" t="s">
        <v>9415</v>
      </c>
    </row>
    <row r="1464" spans="1:1" x14ac:dyDescent="0.25">
      <c r="A1464" t="s">
        <v>9416</v>
      </c>
    </row>
    <row r="1465" spans="1:1" x14ac:dyDescent="0.25">
      <c r="A1465" t="s">
        <v>9417</v>
      </c>
    </row>
    <row r="1466" spans="1:1" x14ac:dyDescent="0.25">
      <c r="A1466" t="s">
        <v>9418</v>
      </c>
    </row>
    <row r="1467" spans="1:1" x14ac:dyDescent="0.25">
      <c r="A1467" t="s">
        <v>9419</v>
      </c>
    </row>
    <row r="1468" spans="1:1" x14ac:dyDescent="0.25">
      <c r="A1468" t="s">
        <v>9420</v>
      </c>
    </row>
    <row r="1469" spans="1:1" x14ac:dyDescent="0.25">
      <c r="A1469" t="s">
        <v>9421</v>
      </c>
    </row>
    <row r="1470" spans="1:1" x14ac:dyDescent="0.25">
      <c r="A1470" t="s">
        <v>9422</v>
      </c>
    </row>
    <row r="1471" spans="1:1" x14ac:dyDescent="0.25">
      <c r="A1471" t="s">
        <v>9423</v>
      </c>
    </row>
    <row r="1472" spans="1:1" x14ac:dyDescent="0.25">
      <c r="A1472" t="s">
        <v>9424</v>
      </c>
    </row>
    <row r="1473" spans="1:1" x14ac:dyDescent="0.25">
      <c r="A1473" t="s">
        <v>9425</v>
      </c>
    </row>
    <row r="1474" spans="1:1" x14ac:dyDescent="0.25">
      <c r="A1474" t="s">
        <v>9426</v>
      </c>
    </row>
    <row r="1475" spans="1:1" x14ac:dyDescent="0.25">
      <c r="A1475" t="s">
        <v>9427</v>
      </c>
    </row>
    <row r="1476" spans="1:1" x14ac:dyDescent="0.25">
      <c r="A1476" t="s">
        <v>9428</v>
      </c>
    </row>
    <row r="1477" spans="1:1" x14ac:dyDescent="0.25">
      <c r="A1477" t="s">
        <v>9429</v>
      </c>
    </row>
    <row r="1478" spans="1:1" x14ac:dyDescent="0.25">
      <c r="A1478" t="s">
        <v>9430</v>
      </c>
    </row>
    <row r="1479" spans="1:1" x14ac:dyDescent="0.25">
      <c r="A1479" t="s">
        <v>9431</v>
      </c>
    </row>
    <row r="1480" spans="1:1" x14ac:dyDescent="0.25">
      <c r="A1480" t="s">
        <v>9432</v>
      </c>
    </row>
    <row r="1481" spans="1:1" x14ac:dyDescent="0.25">
      <c r="A1481" t="s">
        <v>9433</v>
      </c>
    </row>
    <row r="1482" spans="1:1" x14ac:dyDescent="0.25">
      <c r="A1482" t="s">
        <v>9434</v>
      </c>
    </row>
    <row r="1483" spans="1:1" x14ac:dyDescent="0.25">
      <c r="A1483" t="s">
        <v>9435</v>
      </c>
    </row>
    <row r="1484" spans="1:1" x14ac:dyDescent="0.25">
      <c r="A1484" t="s">
        <v>9436</v>
      </c>
    </row>
    <row r="1485" spans="1:1" x14ac:dyDescent="0.25">
      <c r="A1485" t="s">
        <v>9437</v>
      </c>
    </row>
    <row r="1486" spans="1:1" x14ac:dyDescent="0.25">
      <c r="A1486" t="s">
        <v>9438</v>
      </c>
    </row>
    <row r="1487" spans="1:1" x14ac:dyDescent="0.25">
      <c r="A1487" t="s">
        <v>9439</v>
      </c>
    </row>
    <row r="1488" spans="1:1" x14ac:dyDescent="0.25">
      <c r="A1488" t="s">
        <v>9440</v>
      </c>
    </row>
    <row r="1489" spans="1:1" x14ac:dyDescent="0.25">
      <c r="A1489" t="s">
        <v>9441</v>
      </c>
    </row>
    <row r="1490" spans="1:1" x14ac:dyDescent="0.25">
      <c r="A1490" t="s">
        <v>9442</v>
      </c>
    </row>
    <row r="1491" spans="1:1" x14ac:dyDescent="0.25">
      <c r="A1491" t="s">
        <v>9443</v>
      </c>
    </row>
    <row r="1492" spans="1:1" x14ac:dyDescent="0.25">
      <c r="A1492" t="s">
        <v>9444</v>
      </c>
    </row>
    <row r="1493" spans="1:1" x14ac:dyDescent="0.25">
      <c r="A1493" t="s">
        <v>9445</v>
      </c>
    </row>
    <row r="1494" spans="1:1" x14ac:dyDescent="0.25">
      <c r="A1494" t="s">
        <v>9446</v>
      </c>
    </row>
    <row r="1495" spans="1:1" x14ac:dyDescent="0.25">
      <c r="A1495" t="s">
        <v>9447</v>
      </c>
    </row>
    <row r="1496" spans="1:1" x14ac:dyDescent="0.25">
      <c r="A1496" t="s">
        <v>9448</v>
      </c>
    </row>
    <row r="1497" spans="1:1" x14ac:dyDescent="0.25">
      <c r="A1497" t="s">
        <v>9449</v>
      </c>
    </row>
    <row r="1498" spans="1:1" x14ac:dyDescent="0.25">
      <c r="A1498" t="s">
        <v>9450</v>
      </c>
    </row>
    <row r="1499" spans="1:1" x14ac:dyDescent="0.25">
      <c r="A1499" t="s">
        <v>9451</v>
      </c>
    </row>
    <row r="1500" spans="1:1" x14ac:dyDescent="0.25">
      <c r="A1500" t="s">
        <v>9452</v>
      </c>
    </row>
    <row r="1501" spans="1:1" x14ac:dyDescent="0.25">
      <c r="A1501" t="s">
        <v>9453</v>
      </c>
    </row>
    <row r="1502" spans="1:1" x14ac:dyDescent="0.25">
      <c r="A1502" t="s">
        <v>9454</v>
      </c>
    </row>
    <row r="1503" spans="1:1" x14ac:dyDescent="0.25">
      <c r="A1503" t="s">
        <v>9455</v>
      </c>
    </row>
    <row r="1504" spans="1:1" x14ac:dyDescent="0.25">
      <c r="A1504" t="s">
        <v>9456</v>
      </c>
    </row>
    <row r="1505" spans="1:1" x14ac:dyDescent="0.25">
      <c r="A1505" t="s">
        <v>9457</v>
      </c>
    </row>
    <row r="1506" spans="1:1" x14ac:dyDescent="0.25">
      <c r="A1506" t="s">
        <v>9458</v>
      </c>
    </row>
    <row r="1507" spans="1:1" x14ac:dyDescent="0.25">
      <c r="A1507" t="s">
        <v>9459</v>
      </c>
    </row>
    <row r="1508" spans="1:1" x14ac:dyDescent="0.25">
      <c r="A1508" t="s">
        <v>9460</v>
      </c>
    </row>
    <row r="1509" spans="1:1" x14ac:dyDescent="0.25">
      <c r="A1509" t="s">
        <v>9461</v>
      </c>
    </row>
    <row r="1510" spans="1:1" x14ac:dyDescent="0.25">
      <c r="A1510" t="s">
        <v>9462</v>
      </c>
    </row>
    <row r="1511" spans="1:1" x14ac:dyDescent="0.25">
      <c r="A1511" t="s">
        <v>9463</v>
      </c>
    </row>
    <row r="1512" spans="1:1" x14ac:dyDescent="0.25">
      <c r="A1512" t="s">
        <v>9464</v>
      </c>
    </row>
    <row r="1513" spans="1:1" x14ac:dyDescent="0.25">
      <c r="A1513" t="s">
        <v>9465</v>
      </c>
    </row>
    <row r="1514" spans="1:1" x14ac:dyDescent="0.25">
      <c r="A1514" t="s">
        <v>9466</v>
      </c>
    </row>
    <row r="1515" spans="1:1" x14ac:dyDescent="0.25">
      <c r="A1515" t="s">
        <v>9467</v>
      </c>
    </row>
    <row r="1516" spans="1:1" x14ac:dyDescent="0.25">
      <c r="A1516" t="s">
        <v>9468</v>
      </c>
    </row>
    <row r="1517" spans="1:1" x14ac:dyDescent="0.25">
      <c r="A1517" t="s">
        <v>9469</v>
      </c>
    </row>
    <row r="1518" spans="1:1" x14ac:dyDescent="0.25">
      <c r="A1518" t="s">
        <v>9470</v>
      </c>
    </row>
    <row r="1519" spans="1:1" x14ac:dyDescent="0.25">
      <c r="A1519" t="s">
        <v>9471</v>
      </c>
    </row>
    <row r="1520" spans="1:1" x14ac:dyDescent="0.25">
      <c r="A1520" t="s">
        <v>9472</v>
      </c>
    </row>
    <row r="1521" spans="1:1" x14ac:dyDescent="0.25">
      <c r="A1521" t="s">
        <v>9473</v>
      </c>
    </row>
    <row r="1522" spans="1:1" x14ac:dyDescent="0.25">
      <c r="A1522" t="s">
        <v>9474</v>
      </c>
    </row>
    <row r="1523" spans="1:1" x14ac:dyDescent="0.25">
      <c r="A1523" t="s">
        <v>9475</v>
      </c>
    </row>
    <row r="1524" spans="1:1" x14ac:dyDescent="0.25">
      <c r="A1524" t="s">
        <v>9476</v>
      </c>
    </row>
    <row r="1525" spans="1:1" x14ac:dyDescent="0.25">
      <c r="A1525" t="s">
        <v>9477</v>
      </c>
    </row>
    <row r="1526" spans="1:1" x14ac:dyDescent="0.25">
      <c r="A1526" t="s">
        <v>9478</v>
      </c>
    </row>
    <row r="1527" spans="1:1" x14ac:dyDescent="0.25">
      <c r="A1527" t="s">
        <v>9479</v>
      </c>
    </row>
    <row r="1528" spans="1:1" x14ac:dyDescent="0.25">
      <c r="A1528" t="s">
        <v>9480</v>
      </c>
    </row>
    <row r="1529" spans="1:1" x14ac:dyDescent="0.25">
      <c r="A1529" t="s">
        <v>9481</v>
      </c>
    </row>
    <row r="1530" spans="1:1" x14ac:dyDescent="0.25">
      <c r="A1530" t="s">
        <v>9482</v>
      </c>
    </row>
    <row r="1531" spans="1:1" x14ac:dyDescent="0.25">
      <c r="A1531" t="s">
        <v>9483</v>
      </c>
    </row>
    <row r="1532" spans="1:1" x14ac:dyDescent="0.25">
      <c r="A1532" t="s">
        <v>9484</v>
      </c>
    </row>
    <row r="1533" spans="1:1" x14ac:dyDescent="0.25">
      <c r="A1533" t="s">
        <v>9485</v>
      </c>
    </row>
    <row r="1534" spans="1:1" x14ac:dyDescent="0.25">
      <c r="A1534" t="s">
        <v>9486</v>
      </c>
    </row>
    <row r="1535" spans="1:1" x14ac:dyDescent="0.25">
      <c r="A1535" t="s">
        <v>9487</v>
      </c>
    </row>
    <row r="1536" spans="1:1" x14ac:dyDescent="0.25">
      <c r="A1536" t="s">
        <v>9488</v>
      </c>
    </row>
    <row r="1537" spans="1:1" x14ac:dyDescent="0.25">
      <c r="A1537" t="s">
        <v>9489</v>
      </c>
    </row>
    <row r="1538" spans="1:1" x14ac:dyDescent="0.25">
      <c r="A1538" t="s">
        <v>9490</v>
      </c>
    </row>
    <row r="1539" spans="1:1" x14ac:dyDescent="0.25">
      <c r="A1539" t="s">
        <v>9491</v>
      </c>
    </row>
    <row r="1540" spans="1:1" x14ac:dyDescent="0.25">
      <c r="A1540" t="s">
        <v>9492</v>
      </c>
    </row>
    <row r="1541" spans="1:1" x14ac:dyDescent="0.25">
      <c r="A1541" t="s">
        <v>9493</v>
      </c>
    </row>
    <row r="1542" spans="1:1" x14ac:dyDescent="0.25">
      <c r="A1542" t="s">
        <v>9494</v>
      </c>
    </row>
    <row r="1543" spans="1:1" x14ac:dyDescent="0.25">
      <c r="A1543" t="s">
        <v>9495</v>
      </c>
    </row>
    <row r="1544" spans="1:1" x14ac:dyDescent="0.25">
      <c r="A1544" t="s">
        <v>9496</v>
      </c>
    </row>
    <row r="1545" spans="1:1" x14ac:dyDescent="0.25">
      <c r="A1545" t="s">
        <v>9497</v>
      </c>
    </row>
    <row r="1546" spans="1:1" x14ac:dyDescent="0.25">
      <c r="A1546" t="s">
        <v>9498</v>
      </c>
    </row>
    <row r="1547" spans="1:1" x14ac:dyDescent="0.25">
      <c r="A1547" t="s">
        <v>9499</v>
      </c>
    </row>
    <row r="1548" spans="1:1" x14ac:dyDescent="0.25">
      <c r="A1548" t="s">
        <v>9500</v>
      </c>
    </row>
    <row r="1549" spans="1:1" x14ac:dyDescent="0.25">
      <c r="A1549" t="s">
        <v>9501</v>
      </c>
    </row>
    <row r="1550" spans="1:1" x14ac:dyDescent="0.25">
      <c r="A1550" t="s">
        <v>9502</v>
      </c>
    </row>
    <row r="1551" spans="1:1" x14ac:dyDescent="0.25">
      <c r="A1551" t="s">
        <v>9503</v>
      </c>
    </row>
    <row r="1552" spans="1:1" x14ac:dyDescent="0.25">
      <c r="A1552" t="s">
        <v>9504</v>
      </c>
    </row>
    <row r="1553" spans="1:1" x14ac:dyDescent="0.25">
      <c r="A1553" t="s">
        <v>9505</v>
      </c>
    </row>
    <row r="1554" spans="1:1" x14ac:dyDescent="0.25">
      <c r="A1554" t="s">
        <v>9506</v>
      </c>
    </row>
    <row r="1555" spans="1:1" x14ac:dyDescent="0.25">
      <c r="A1555" t="s">
        <v>9507</v>
      </c>
    </row>
    <row r="1556" spans="1:1" x14ac:dyDescent="0.25">
      <c r="A1556" t="s">
        <v>9508</v>
      </c>
    </row>
    <row r="1557" spans="1:1" x14ac:dyDescent="0.25">
      <c r="A1557" t="s">
        <v>9509</v>
      </c>
    </row>
    <row r="1558" spans="1:1" x14ac:dyDescent="0.25">
      <c r="A1558" t="s">
        <v>9510</v>
      </c>
    </row>
    <row r="1559" spans="1:1" x14ac:dyDescent="0.25">
      <c r="A1559" t="s">
        <v>9511</v>
      </c>
    </row>
    <row r="1560" spans="1:1" x14ac:dyDescent="0.25">
      <c r="A1560" t="s">
        <v>9512</v>
      </c>
    </row>
    <row r="1561" spans="1:1" x14ac:dyDescent="0.25">
      <c r="A1561" t="s">
        <v>9513</v>
      </c>
    </row>
    <row r="1562" spans="1:1" x14ac:dyDescent="0.25">
      <c r="A1562" t="s">
        <v>9514</v>
      </c>
    </row>
    <row r="1563" spans="1:1" x14ac:dyDescent="0.25">
      <c r="A1563" t="s">
        <v>9515</v>
      </c>
    </row>
    <row r="1564" spans="1:1" x14ac:dyDescent="0.25">
      <c r="A1564" t="s">
        <v>9516</v>
      </c>
    </row>
    <row r="1565" spans="1:1" x14ac:dyDescent="0.25">
      <c r="A1565" t="s">
        <v>9517</v>
      </c>
    </row>
    <row r="1566" spans="1:1" x14ac:dyDescent="0.25">
      <c r="A1566" t="s">
        <v>9518</v>
      </c>
    </row>
    <row r="1567" spans="1:1" x14ac:dyDescent="0.25">
      <c r="A1567" t="s">
        <v>9519</v>
      </c>
    </row>
    <row r="1568" spans="1:1" x14ac:dyDescent="0.25">
      <c r="A1568" t="s">
        <v>9520</v>
      </c>
    </row>
    <row r="1569" spans="1:1" x14ac:dyDescent="0.25">
      <c r="A1569" t="s">
        <v>9521</v>
      </c>
    </row>
    <row r="1570" spans="1:1" x14ac:dyDescent="0.25">
      <c r="A1570" t="s">
        <v>9522</v>
      </c>
    </row>
    <row r="1571" spans="1:1" x14ac:dyDescent="0.25">
      <c r="A1571" t="s">
        <v>9523</v>
      </c>
    </row>
    <row r="1572" spans="1:1" x14ac:dyDescent="0.25">
      <c r="A1572" t="s">
        <v>9524</v>
      </c>
    </row>
    <row r="1573" spans="1:1" x14ac:dyDescent="0.25">
      <c r="A1573" t="s">
        <v>9525</v>
      </c>
    </row>
    <row r="1574" spans="1:1" x14ac:dyDescent="0.25">
      <c r="A1574" t="s">
        <v>9526</v>
      </c>
    </row>
    <row r="1575" spans="1:1" x14ac:dyDescent="0.25">
      <c r="A1575" t="s">
        <v>9527</v>
      </c>
    </row>
    <row r="1576" spans="1:1" x14ac:dyDescent="0.25">
      <c r="A1576" t="s">
        <v>9528</v>
      </c>
    </row>
    <row r="1577" spans="1:1" x14ac:dyDescent="0.25">
      <c r="A1577" t="s">
        <v>9529</v>
      </c>
    </row>
    <row r="1578" spans="1:1" x14ac:dyDescent="0.25">
      <c r="A1578" t="s">
        <v>9530</v>
      </c>
    </row>
    <row r="1579" spans="1:1" x14ac:dyDescent="0.25">
      <c r="A1579" t="s">
        <v>9531</v>
      </c>
    </row>
    <row r="1580" spans="1:1" x14ac:dyDescent="0.25">
      <c r="A1580" t="s">
        <v>9532</v>
      </c>
    </row>
    <row r="1581" spans="1:1" x14ac:dyDescent="0.25">
      <c r="A1581" t="s">
        <v>9533</v>
      </c>
    </row>
    <row r="1582" spans="1:1" x14ac:dyDescent="0.25">
      <c r="A1582" t="s">
        <v>9534</v>
      </c>
    </row>
    <row r="1583" spans="1:1" x14ac:dyDescent="0.25">
      <c r="A1583" t="s">
        <v>9535</v>
      </c>
    </row>
    <row r="1584" spans="1:1" x14ac:dyDescent="0.25">
      <c r="A1584" t="s">
        <v>9536</v>
      </c>
    </row>
    <row r="1585" spans="1:1" x14ac:dyDescent="0.25">
      <c r="A1585" t="s">
        <v>9537</v>
      </c>
    </row>
    <row r="1586" spans="1:1" x14ac:dyDescent="0.25">
      <c r="A1586" t="s">
        <v>9538</v>
      </c>
    </row>
    <row r="1587" spans="1:1" x14ac:dyDescent="0.25">
      <c r="A1587" t="s">
        <v>9539</v>
      </c>
    </row>
    <row r="1588" spans="1:1" x14ac:dyDescent="0.25">
      <c r="A1588" t="s">
        <v>9540</v>
      </c>
    </row>
    <row r="1589" spans="1:1" x14ac:dyDescent="0.25">
      <c r="A1589" t="s">
        <v>9541</v>
      </c>
    </row>
    <row r="1590" spans="1:1" x14ac:dyDescent="0.25">
      <c r="A1590" t="s">
        <v>9542</v>
      </c>
    </row>
    <row r="1591" spans="1:1" x14ac:dyDescent="0.25">
      <c r="A1591" t="s">
        <v>9543</v>
      </c>
    </row>
    <row r="1592" spans="1:1" x14ac:dyDescent="0.25">
      <c r="A1592" t="s">
        <v>9544</v>
      </c>
    </row>
    <row r="1593" spans="1:1" x14ac:dyDescent="0.25">
      <c r="A1593" t="s">
        <v>9545</v>
      </c>
    </row>
    <row r="1594" spans="1:1" x14ac:dyDescent="0.25">
      <c r="A1594" t="s">
        <v>9546</v>
      </c>
    </row>
    <row r="1595" spans="1:1" x14ac:dyDescent="0.25">
      <c r="A1595" t="s">
        <v>9547</v>
      </c>
    </row>
    <row r="1596" spans="1:1" x14ac:dyDescent="0.25">
      <c r="A1596" t="s">
        <v>9548</v>
      </c>
    </row>
    <row r="1597" spans="1:1" x14ac:dyDescent="0.25">
      <c r="A1597" t="s">
        <v>9549</v>
      </c>
    </row>
    <row r="1598" spans="1:1" x14ac:dyDescent="0.25">
      <c r="A1598" t="s">
        <v>9550</v>
      </c>
    </row>
    <row r="1599" spans="1:1" x14ac:dyDescent="0.25">
      <c r="A1599" t="s">
        <v>9551</v>
      </c>
    </row>
    <row r="1600" spans="1:1" x14ac:dyDescent="0.25">
      <c r="A1600" t="s">
        <v>9552</v>
      </c>
    </row>
    <row r="1601" spans="1:1" x14ac:dyDescent="0.25">
      <c r="A1601" t="s">
        <v>9553</v>
      </c>
    </row>
    <row r="1602" spans="1:1" x14ac:dyDescent="0.25">
      <c r="A1602" t="s">
        <v>9554</v>
      </c>
    </row>
    <row r="1603" spans="1:1" x14ac:dyDescent="0.25">
      <c r="A1603" t="s">
        <v>9555</v>
      </c>
    </row>
    <row r="1604" spans="1:1" x14ac:dyDescent="0.25">
      <c r="A1604" t="s">
        <v>9556</v>
      </c>
    </row>
    <row r="1605" spans="1:1" x14ac:dyDescent="0.25">
      <c r="A1605" t="s">
        <v>9557</v>
      </c>
    </row>
    <row r="1606" spans="1:1" x14ac:dyDescent="0.25">
      <c r="A1606" t="s">
        <v>9558</v>
      </c>
    </row>
    <row r="1607" spans="1:1" x14ac:dyDescent="0.25">
      <c r="A1607" t="s">
        <v>9559</v>
      </c>
    </row>
    <row r="1608" spans="1:1" x14ac:dyDescent="0.25">
      <c r="A1608" t="s">
        <v>9560</v>
      </c>
    </row>
    <row r="1609" spans="1:1" x14ac:dyDescent="0.25">
      <c r="A1609" t="s">
        <v>9561</v>
      </c>
    </row>
    <row r="1610" spans="1:1" x14ac:dyDescent="0.25">
      <c r="A1610" t="s">
        <v>9562</v>
      </c>
    </row>
    <row r="1611" spans="1:1" x14ac:dyDescent="0.25">
      <c r="A1611" t="s">
        <v>9563</v>
      </c>
    </row>
    <row r="1612" spans="1:1" x14ac:dyDescent="0.25">
      <c r="A1612" t="s">
        <v>9564</v>
      </c>
    </row>
    <row r="1613" spans="1:1" x14ac:dyDescent="0.25">
      <c r="A1613" t="s">
        <v>9565</v>
      </c>
    </row>
    <row r="1614" spans="1:1" x14ac:dyDescent="0.25">
      <c r="A1614" t="s">
        <v>9566</v>
      </c>
    </row>
    <row r="1615" spans="1:1" x14ac:dyDescent="0.25">
      <c r="A1615" t="s">
        <v>9567</v>
      </c>
    </row>
    <row r="1616" spans="1:1" x14ac:dyDescent="0.25">
      <c r="A1616" t="s">
        <v>9568</v>
      </c>
    </row>
    <row r="1617" spans="1:1" x14ac:dyDescent="0.25">
      <c r="A1617" t="s">
        <v>9569</v>
      </c>
    </row>
    <row r="1618" spans="1:1" x14ac:dyDescent="0.25">
      <c r="A1618" t="s">
        <v>9570</v>
      </c>
    </row>
    <row r="1619" spans="1:1" x14ac:dyDescent="0.25">
      <c r="A1619" t="s">
        <v>9571</v>
      </c>
    </row>
    <row r="1620" spans="1:1" x14ac:dyDescent="0.25">
      <c r="A1620" t="s">
        <v>9572</v>
      </c>
    </row>
    <row r="1621" spans="1:1" x14ac:dyDescent="0.25">
      <c r="A1621" t="s">
        <v>9573</v>
      </c>
    </row>
    <row r="1622" spans="1:1" x14ac:dyDescent="0.25">
      <c r="A1622" t="s">
        <v>9574</v>
      </c>
    </row>
    <row r="1623" spans="1:1" x14ac:dyDescent="0.25">
      <c r="A1623" t="s">
        <v>9575</v>
      </c>
    </row>
    <row r="1624" spans="1:1" x14ac:dyDescent="0.25">
      <c r="A1624" t="s">
        <v>9576</v>
      </c>
    </row>
    <row r="1625" spans="1:1" x14ac:dyDescent="0.25">
      <c r="A1625" t="s">
        <v>9577</v>
      </c>
    </row>
    <row r="1626" spans="1:1" x14ac:dyDescent="0.25">
      <c r="A1626" t="s">
        <v>9578</v>
      </c>
    </row>
    <row r="1627" spans="1:1" x14ac:dyDescent="0.25">
      <c r="A1627" t="s">
        <v>9579</v>
      </c>
    </row>
    <row r="1628" spans="1:1" x14ac:dyDescent="0.25">
      <c r="A1628" t="s">
        <v>9580</v>
      </c>
    </row>
    <row r="1629" spans="1:1" x14ac:dyDescent="0.25">
      <c r="A1629" t="s">
        <v>9581</v>
      </c>
    </row>
    <row r="1630" spans="1:1" x14ac:dyDescent="0.25">
      <c r="A1630" t="s">
        <v>9582</v>
      </c>
    </row>
    <row r="1631" spans="1:1" x14ac:dyDescent="0.25">
      <c r="A1631" t="s">
        <v>9583</v>
      </c>
    </row>
    <row r="1632" spans="1:1" x14ac:dyDescent="0.25">
      <c r="A1632" t="s">
        <v>9584</v>
      </c>
    </row>
    <row r="1633" spans="1:1" x14ac:dyDescent="0.25">
      <c r="A1633" t="s">
        <v>9585</v>
      </c>
    </row>
    <row r="1634" spans="1:1" x14ac:dyDescent="0.25">
      <c r="A1634" t="s">
        <v>9586</v>
      </c>
    </row>
    <row r="1635" spans="1:1" x14ac:dyDescent="0.25">
      <c r="A1635" t="s">
        <v>9587</v>
      </c>
    </row>
    <row r="1636" spans="1:1" x14ac:dyDescent="0.25">
      <c r="A1636" t="s">
        <v>9588</v>
      </c>
    </row>
    <row r="1637" spans="1:1" x14ac:dyDescent="0.25">
      <c r="A1637" t="s">
        <v>9589</v>
      </c>
    </row>
    <row r="1638" spans="1:1" x14ac:dyDescent="0.25">
      <c r="A1638" t="s">
        <v>9590</v>
      </c>
    </row>
    <row r="1639" spans="1:1" x14ac:dyDescent="0.25">
      <c r="A1639" t="s">
        <v>9591</v>
      </c>
    </row>
    <row r="1640" spans="1:1" x14ac:dyDescent="0.25">
      <c r="A1640" t="s">
        <v>9592</v>
      </c>
    </row>
    <row r="1641" spans="1:1" x14ac:dyDescent="0.25">
      <c r="A1641" t="s">
        <v>9593</v>
      </c>
    </row>
    <row r="1642" spans="1:1" x14ac:dyDescent="0.25">
      <c r="A1642" t="s">
        <v>9594</v>
      </c>
    </row>
    <row r="1643" spans="1:1" x14ac:dyDescent="0.25">
      <c r="A1643" t="s">
        <v>9595</v>
      </c>
    </row>
    <row r="1644" spans="1:1" x14ac:dyDescent="0.25">
      <c r="A1644" t="s">
        <v>9596</v>
      </c>
    </row>
    <row r="1645" spans="1:1" x14ac:dyDescent="0.25">
      <c r="A1645" t="s">
        <v>9597</v>
      </c>
    </row>
    <row r="1646" spans="1:1" x14ac:dyDescent="0.25">
      <c r="A1646" t="s">
        <v>9598</v>
      </c>
    </row>
    <row r="1647" spans="1:1" x14ac:dyDescent="0.25">
      <c r="A1647" t="s">
        <v>9599</v>
      </c>
    </row>
    <row r="1648" spans="1:1" x14ac:dyDescent="0.25">
      <c r="A1648" t="s">
        <v>9600</v>
      </c>
    </row>
    <row r="1649" spans="1:1" x14ac:dyDescent="0.25">
      <c r="A1649" t="s">
        <v>9601</v>
      </c>
    </row>
    <row r="1650" spans="1:1" x14ac:dyDescent="0.25">
      <c r="A1650" t="s">
        <v>9602</v>
      </c>
    </row>
    <row r="1651" spans="1:1" x14ac:dyDescent="0.25">
      <c r="A1651" t="s">
        <v>9603</v>
      </c>
    </row>
    <row r="1652" spans="1:1" x14ac:dyDescent="0.25">
      <c r="A1652" t="s">
        <v>9604</v>
      </c>
    </row>
    <row r="1653" spans="1:1" x14ac:dyDescent="0.25">
      <c r="A1653" t="s">
        <v>9605</v>
      </c>
    </row>
    <row r="1654" spans="1:1" x14ac:dyDescent="0.25">
      <c r="A1654" t="s">
        <v>9606</v>
      </c>
    </row>
    <row r="1655" spans="1:1" x14ac:dyDescent="0.25">
      <c r="A1655" t="s">
        <v>9607</v>
      </c>
    </row>
    <row r="1656" spans="1:1" x14ac:dyDescent="0.25">
      <c r="A1656" t="s">
        <v>9608</v>
      </c>
    </row>
    <row r="1657" spans="1:1" x14ac:dyDescent="0.25">
      <c r="A1657" t="s">
        <v>9609</v>
      </c>
    </row>
    <row r="1658" spans="1:1" x14ac:dyDescent="0.25">
      <c r="A1658" t="s">
        <v>9610</v>
      </c>
    </row>
    <row r="1659" spans="1:1" x14ac:dyDescent="0.25">
      <c r="A1659" t="s">
        <v>9611</v>
      </c>
    </row>
    <row r="1660" spans="1:1" x14ac:dyDescent="0.25">
      <c r="A1660" t="s">
        <v>9612</v>
      </c>
    </row>
    <row r="1661" spans="1:1" x14ac:dyDescent="0.25">
      <c r="A1661" t="s">
        <v>9613</v>
      </c>
    </row>
    <row r="1662" spans="1:1" x14ac:dyDescent="0.25">
      <c r="A1662" t="s">
        <v>9614</v>
      </c>
    </row>
    <row r="1663" spans="1:1" x14ac:dyDescent="0.25">
      <c r="A1663" t="s">
        <v>9615</v>
      </c>
    </row>
    <row r="1664" spans="1:1" x14ac:dyDescent="0.25">
      <c r="A1664" t="s">
        <v>9616</v>
      </c>
    </row>
    <row r="1665" spans="1:1" x14ac:dyDescent="0.25">
      <c r="A1665" t="s">
        <v>9617</v>
      </c>
    </row>
    <row r="1666" spans="1:1" x14ac:dyDescent="0.25">
      <c r="A1666" t="s">
        <v>9618</v>
      </c>
    </row>
    <row r="1667" spans="1:1" x14ac:dyDescent="0.25">
      <c r="A1667" t="s">
        <v>9619</v>
      </c>
    </row>
    <row r="1668" spans="1:1" x14ac:dyDescent="0.25">
      <c r="A1668" t="s">
        <v>9620</v>
      </c>
    </row>
    <row r="1669" spans="1:1" x14ac:dyDescent="0.25">
      <c r="A1669" t="s">
        <v>9621</v>
      </c>
    </row>
    <row r="1670" spans="1:1" x14ac:dyDescent="0.25">
      <c r="A1670" t="s">
        <v>9622</v>
      </c>
    </row>
    <row r="1671" spans="1:1" x14ac:dyDescent="0.25">
      <c r="A1671" t="s">
        <v>9623</v>
      </c>
    </row>
    <row r="1672" spans="1:1" x14ac:dyDescent="0.25">
      <c r="A1672" t="s">
        <v>9624</v>
      </c>
    </row>
    <row r="1673" spans="1:1" x14ac:dyDescent="0.25">
      <c r="A1673" t="s">
        <v>9625</v>
      </c>
    </row>
    <row r="1674" spans="1:1" x14ac:dyDescent="0.25">
      <c r="A1674" t="s">
        <v>9626</v>
      </c>
    </row>
    <row r="1675" spans="1:1" x14ac:dyDescent="0.25">
      <c r="A1675" t="s">
        <v>9627</v>
      </c>
    </row>
    <row r="1676" spans="1:1" x14ac:dyDescent="0.25">
      <c r="A1676" t="s">
        <v>9628</v>
      </c>
    </row>
    <row r="1677" spans="1:1" x14ac:dyDescent="0.25">
      <c r="A1677" t="s">
        <v>9629</v>
      </c>
    </row>
    <row r="1678" spans="1:1" x14ac:dyDescent="0.25">
      <c r="A1678" t="s">
        <v>9630</v>
      </c>
    </row>
    <row r="1679" spans="1:1" x14ac:dyDescent="0.25">
      <c r="A1679" t="s">
        <v>9631</v>
      </c>
    </row>
    <row r="1680" spans="1:1" x14ac:dyDescent="0.25">
      <c r="A1680" t="s">
        <v>9632</v>
      </c>
    </row>
    <row r="1681" spans="1:1" x14ac:dyDescent="0.25">
      <c r="A1681" t="s">
        <v>9633</v>
      </c>
    </row>
    <row r="1682" spans="1:1" x14ac:dyDescent="0.25">
      <c r="A1682" t="s">
        <v>9634</v>
      </c>
    </row>
    <row r="1683" spans="1:1" x14ac:dyDescent="0.25">
      <c r="A1683" t="s">
        <v>9635</v>
      </c>
    </row>
    <row r="1684" spans="1:1" x14ac:dyDescent="0.25">
      <c r="A1684" t="s">
        <v>9636</v>
      </c>
    </row>
    <row r="1685" spans="1:1" x14ac:dyDescent="0.25">
      <c r="A1685" t="s">
        <v>9637</v>
      </c>
    </row>
    <row r="1686" spans="1:1" x14ac:dyDescent="0.25">
      <c r="A1686" t="s">
        <v>9638</v>
      </c>
    </row>
    <row r="1687" spans="1:1" x14ac:dyDescent="0.25">
      <c r="A1687" t="s">
        <v>9639</v>
      </c>
    </row>
    <row r="1688" spans="1:1" x14ac:dyDescent="0.25">
      <c r="A1688" t="s">
        <v>9640</v>
      </c>
    </row>
    <row r="1689" spans="1:1" x14ac:dyDescent="0.25">
      <c r="A1689" t="s">
        <v>9641</v>
      </c>
    </row>
    <row r="1690" spans="1:1" x14ac:dyDescent="0.25">
      <c r="A1690" t="s">
        <v>9642</v>
      </c>
    </row>
    <row r="1691" spans="1:1" x14ac:dyDescent="0.25">
      <c r="A1691" t="s">
        <v>9643</v>
      </c>
    </row>
    <row r="1692" spans="1:1" x14ac:dyDescent="0.25">
      <c r="A1692" t="s">
        <v>9644</v>
      </c>
    </row>
    <row r="1693" spans="1:1" x14ac:dyDescent="0.25">
      <c r="A1693" t="s">
        <v>9645</v>
      </c>
    </row>
    <row r="1694" spans="1:1" x14ac:dyDescent="0.25">
      <c r="A1694" t="s">
        <v>9646</v>
      </c>
    </row>
    <row r="1695" spans="1:1" x14ac:dyDescent="0.25">
      <c r="A1695" t="s">
        <v>9647</v>
      </c>
    </row>
    <row r="1696" spans="1:1" x14ac:dyDescent="0.25">
      <c r="A1696" t="s">
        <v>9648</v>
      </c>
    </row>
    <row r="1697" spans="1:1" x14ac:dyDescent="0.25">
      <c r="A1697" t="s">
        <v>9649</v>
      </c>
    </row>
    <row r="1698" spans="1:1" x14ac:dyDescent="0.25">
      <c r="A1698" t="s">
        <v>9650</v>
      </c>
    </row>
    <row r="1699" spans="1:1" x14ac:dyDescent="0.25">
      <c r="A1699" t="s">
        <v>9651</v>
      </c>
    </row>
    <row r="1700" spans="1:1" x14ac:dyDescent="0.25">
      <c r="A1700" t="s">
        <v>9652</v>
      </c>
    </row>
    <row r="1701" spans="1:1" x14ac:dyDescent="0.25">
      <c r="A1701" t="s">
        <v>9653</v>
      </c>
    </row>
    <row r="1702" spans="1:1" x14ac:dyDescent="0.25">
      <c r="A1702" t="s">
        <v>9654</v>
      </c>
    </row>
    <row r="1703" spans="1:1" x14ac:dyDescent="0.25">
      <c r="A1703" t="s">
        <v>9655</v>
      </c>
    </row>
    <row r="1704" spans="1:1" x14ac:dyDescent="0.25">
      <c r="A1704" t="s">
        <v>9656</v>
      </c>
    </row>
    <row r="1705" spans="1:1" x14ac:dyDescent="0.25">
      <c r="A1705" t="s">
        <v>9657</v>
      </c>
    </row>
    <row r="1706" spans="1:1" x14ac:dyDescent="0.25">
      <c r="A1706" t="s">
        <v>9658</v>
      </c>
    </row>
    <row r="1707" spans="1:1" x14ac:dyDescent="0.25">
      <c r="A1707" t="s">
        <v>9659</v>
      </c>
    </row>
    <row r="1708" spans="1:1" x14ac:dyDescent="0.25">
      <c r="A1708" t="s">
        <v>9660</v>
      </c>
    </row>
    <row r="1709" spans="1:1" x14ac:dyDescent="0.25">
      <c r="A1709" t="s">
        <v>9661</v>
      </c>
    </row>
    <row r="1710" spans="1:1" x14ac:dyDescent="0.25">
      <c r="A1710" t="s">
        <v>9662</v>
      </c>
    </row>
    <row r="1711" spans="1:1" x14ac:dyDescent="0.25">
      <c r="A1711" t="s">
        <v>9663</v>
      </c>
    </row>
    <row r="1712" spans="1:1" x14ac:dyDescent="0.25">
      <c r="A1712" t="s">
        <v>9664</v>
      </c>
    </row>
    <row r="1713" spans="1:1" x14ac:dyDescent="0.25">
      <c r="A1713" t="s">
        <v>9665</v>
      </c>
    </row>
    <row r="1714" spans="1:1" x14ac:dyDescent="0.25">
      <c r="A1714" t="s">
        <v>9666</v>
      </c>
    </row>
    <row r="1715" spans="1:1" x14ac:dyDescent="0.25">
      <c r="A1715" t="s">
        <v>9667</v>
      </c>
    </row>
    <row r="1716" spans="1:1" x14ac:dyDescent="0.25">
      <c r="A1716" t="s">
        <v>9668</v>
      </c>
    </row>
    <row r="1717" spans="1:1" x14ac:dyDescent="0.25">
      <c r="A1717" t="s">
        <v>9669</v>
      </c>
    </row>
    <row r="1718" spans="1:1" x14ac:dyDescent="0.25">
      <c r="A1718" t="s">
        <v>9670</v>
      </c>
    </row>
    <row r="1719" spans="1:1" x14ac:dyDescent="0.25">
      <c r="A1719" t="s">
        <v>9671</v>
      </c>
    </row>
    <row r="1720" spans="1:1" x14ac:dyDescent="0.25">
      <c r="A1720" t="s">
        <v>9672</v>
      </c>
    </row>
    <row r="1721" spans="1:1" x14ac:dyDescent="0.25">
      <c r="A1721" t="s">
        <v>9673</v>
      </c>
    </row>
    <row r="1722" spans="1:1" x14ac:dyDescent="0.25">
      <c r="A1722" t="s">
        <v>9674</v>
      </c>
    </row>
    <row r="1723" spans="1:1" x14ac:dyDescent="0.25">
      <c r="A1723" t="s">
        <v>9675</v>
      </c>
    </row>
    <row r="1724" spans="1:1" x14ac:dyDescent="0.25">
      <c r="A1724" t="s">
        <v>9676</v>
      </c>
    </row>
    <row r="1725" spans="1:1" x14ac:dyDescent="0.25">
      <c r="A1725" t="s">
        <v>9677</v>
      </c>
    </row>
    <row r="1726" spans="1:1" x14ac:dyDescent="0.25">
      <c r="A1726" t="s">
        <v>9678</v>
      </c>
    </row>
    <row r="1727" spans="1:1" x14ac:dyDescent="0.25">
      <c r="A1727" t="s">
        <v>9679</v>
      </c>
    </row>
    <row r="1728" spans="1:1" x14ac:dyDescent="0.25">
      <c r="A1728" t="s">
        <v>9680</v>
      </c>
    </row>
    <row r="1729" spans="1:1" x14ac:dyDescent="0.25">
      <c r="A1729" t="s">
        <v>9681</v>
      </c>
    </row>
    <row r="1730" spans="1:1" x14ac:dyDescent="0.25">
      <c r="A1730" t="s">
        <v>9682</v>
      </c>
    </row>
    <row r="1731" spans="1:1" x14ac:dyDescent="0.25">
      <c r="A1731" t="s">
        <v>9683</v>
      </c>
    </row>
    <row r="1732" spans="1:1" x14ac:dyDescent="0.25">
      <c r="A1732" t="s">
        <v>9684</v>
      </c>
    </row>
    <row r="1733" spans="1:1" x14ac:dyDescent="0.25">
      <c r="A1733" t="s">
        <v>9685</v>
      </c>
    </row>
    <row r="1734" spans="1:1" x14ac:dyDescent="0.25">
      <c r="A1734" t="s">
        <v>9686</v>
      </c>
    </row>
    <row r="1735" spans="1:1" x14ac:dyDescent="0.25">
      <c r="A1735" t="s">
        <v>9687</v>
      </c>
    </row>
    <row r="1736" spans="1:1" x14ac:dyDescent="0.25">
      <c r="A1736" t="s">
        <v>9688</v>
      </c>
    </row>
    <row r="1737" spans="1:1" x14ac:dyDescent="0.25">
      <c r="A1737" t="s">
        <v>9689</v>
      </c>
    </row>
    <row r="1738" spans="1:1" x14ac:dyDescent="0.25">
      <c r="A1738" t="s">
        <v>9690</v>
      </c>
    </row>
    <row r="1739" spans="1:1" x14ac:dyDescent="0.25">
      <c r="A1739" t="s">
        <v>9691</v>
      </c>
    </row>
    <row r="1740" spans="1:1" x14ac:dyDescent="0.25">
      <c r="A1740" t="s">
        <v>9692</v>
      </c>
    </row>
    <row r="1741" spans="1:1" x14ac:dyDescent="0.25">
      <c r="A1741" t="s">
        <v>9693</v>
      </c>
    </row>
    <row r="1742" spans="1:1" x14ac:dyDescent="0.25">
      <c r="A1742" t="s">
        <v>9694</v>
      </c>
    </row>
    <row r="1743" spans="1:1" x14ac:dyDescent="0.25">
      <c r="A1743" t="s">
        <v>9695</v>
      </c>
    </row>
    <row r="1744" spans="1:1" x14ac:dyDescent="0.25">
      <c r="A1744" t="s">
        <v>9696</v>
      </c>
    </row>
    <row r="1745" spans="1:1" x14ac:dyDescent="0.25">
      <c r="A1745" t="s">
        <v>9697</v>
      </c>
    </row>
    <row r="1746" spans="1:1" x14ac:dyDescent="0.25">
      <c r="A1746" t="s">
        <v>9698</v>
      </c>
    </row>
    <row r="1747" spans="1:1" x14ac:dyDescent="0.25">
      <c r="A1747" t="s">
        <v>9699</v>
      </c>
    </row>
    <row r="1748" spans="1:1" x14ac:dyDescent="0.25">
      <c r="A1748" t="s">
        <v>9700</v>
      </c>
    </row>
    <row r="1749" spans="1:1" x14ac:dyDescent="0.25">
      <c r="A1749" t="s">
        <v>9701</v>
      </c>
    </row>
    <row r="1750" spans="1:1" x14ac:dyDescent="0.25">
      <c r="A1750" t="s">
        <v>9702</v>
      </c>
    </row>
    <row r="1751" spans="1:1" x14ac:dyDescent="0.25">
      <c r="A1751" t="s">
        <v>9703</v>
      </c>
    </row>
    <row r="1752" spans="1:1" x14ac:dyDescent="0.25">
      <c r="A1752" t="s">
        <v>9704</v>
      </c>
    </row>
    <row r="1753" spans="1:1" x14ac:dyDescent="0.25">
      <c r="A1753" t="s">
        <v>9705</v>
      </c>
    </row>
    <row r="1754" spans="1:1" x14ac:dyDescent="0.25">
      <c r="A1754" t="s">
        <v>9706</v>
      </c>
    </row>
    <row r="1755" spans="1:1" x14ac:dyDescent="0.25">
      <c r="A1755" t="s">
        <v>9707</v>
      </c>
    </row>
    <row r="1756" spans="1:1" x14ac:dyDescent="0.25">
      <c r="A1756" t="s">
        <v>9708</v>
      </c>
    </row>
    <row r="1757" spans="1:1" x14ac:dyDescent="0.25">
      <c r="A1757" t="s">
        <v>9709</v>
      </c>
    </row>
    <row r="1758" spans="1:1" x14ac:dyDescent="0.25">
      <c r="A1758" t="s">
        <v>9710</v>
      </c>
    </row>
    <row r="1759" spans="1:1" x14ac:dyDescent="0.25">
      <c r="A1759" t="s">
        <v>9711</v>
      </c>
    </row>
    <row r="1760" spans="1:1" x14ac:dyDescent="0.25">
      <c r="A1760" t="s">
        <v>9712</v>
      </c>
    </row>
    <row r="1761" spans="1:1" x14ac:dyDescent="0.25">
      <c r="A1761" t="s">
        <v>9713</v>
      </c>
    </row>
    <row r="1762" spans="1:1" x14ac:dyDescent="0.25">
      <c r="A1762" t="s">
        <v>9714</v>
      </c>
    </row>
    <row r="1763" spans="1:1" x14ac:dyDescent="0.25">
      <c r="A1763" t="s">
        <v>9715</v>
      </c>
    </row>
    <row r="1764" spans="1:1" x14ac:dyDescent="0.25">
      <c r="A1764" t="s">
        <v>9716</v>
      </c>
    </row>
    <row r="1765" spans="1:1" x14ac:dyDescent="0.25">
      <c r="A1765" t="s">
        <v>9717</v>
      </c>
    </row>
    <row r="1766" spans="1:1" x14ac:dyDescent="0.25">
      <c r="A1766" t="s">
        <v>9718</v>
      </c>
    </row>
    <row r="1767" spans="1:1" x14ac:dyDescent="0.25">
      <c r="A1767" t="s">
        <v>9719</v>
      </c>
    </row>
    <row r="1768" spans="1:1" x14ac:dyDescent="0.25">
      <c r="A1768" t="s">
        <v>9720</v>
      </c>
    </row>
    <row r="1769" spans="1:1" x14ac:dyDescent="0.25">
      <c r="A1769" t="s">
        <v>9721</v>
      </c>
    </row>
    <row r="1770" spans="1:1" x14ac:dyDescent="0.25">
      <c r="A1770" t="s">
        <v>9722</v>
      </c>
    </row>
    <row r="1771" spans="1:1" x14ac:dyDescent="0.25">
      <c r="A1771" t="s">
        <v>9723</v>
      </c>
    </row>
    <row r="1772" spans="1:1" x14ac:dyDescent="0.25">
      <c r="A1772" t="s">
        <v>9724</v>
      </c>
    </row>
    <row r="1773" spans="1:1" x14ac:dyDescent="0.25">
      <c r="A1773" t="s">
        <v>9725</v>
      </c>
    </row>
    <row r="1774" spans="1:1" x14ac:dyDescent="0.25">
      <c r="A1774" t="s">
        <v>9726</v>
      </c>
    </row>
    <row r="1775" spans="1:1" x14ac:dyDescent="0.25">
      <c r="A1775" t="s">
        <v>9727</v>
      </c>
    </row>
    <row r="1776" spans="1:1" x14ac:dyDescent="0.25">
      <c r="A1776" t="s">
        <v>9728</v>
      </c>
    </row>
    <row r="1777" spans="1:1" x14ac:dyDescent="0.25">
      <c r="A1777" t="s">
        <v>9729</v>
      </c>
    </row>
    <row r="1778" spans="1:1" x14ac:dyDescent="0.25">
      <c r="A1778" t="s">
        <v>9730</v>
      </c>
    </row>
    <row r="1779" spans="1:1" x14ac:dyDescent="0.25">
      <c r="A1779" t="s">
        <v>9731</v>
      </c>
    </row>
    <row r="1780" spans="1:1" x14ac:dyDescent="0.25">
      <c r="A1780" t="s">
        <v>9732</v>
      </c>
    </row>
    <row r="1781" spans="1:1" x14ac:dyDescent="0.25">
      <c r="A1781" t="s">
        <v>9733</v>
      </c>
    </row>
    <row r="1782" spans="1:1" x14ac:dyDescent="0.25">
      <c r="A1782" t="s">
        <v>9734</v>
      </c>
    </row>
    <row r="1783" spans="1:1" x14ac:dyDescent="0.25">
      <c r="A1783" t="s">
        <v>9735</v>
      </c>
    </row>
    <row r="1784" spans="1:1" x14ac:dyDescent="0.25">
      <c r="A1784" t="s">
        <v>9736</v>
      </c>
    </row>
    <row r="1785" spans="1:1" x14ac:dyDescent="0.25">
      <c r="A1785" t="s">
        <v>9737</v>
      </c>
    </row>
    <row r="1786" spans="1:1" x14ac:dyDescent="0.25">
      <c r="A1786" t="s">
        <v>9738</v>
      </c>
    </row>
    <row r="1787" spans="1:1" x14ac:dyDescent="0.25">
      <c r="A1787" t="s">
        <v>9739</v>
      </c>
    </row>
    <row r="1788" spans="1:1" x14ac:dyDescent="0.25">
      <c r="A1788" t="s">
        <v>9740</v>
      </c>
    </row>
    <row r="1789" spans="1:1" x14ac:dyDescent="0.25">
      <c r="A1789" t="s">
        <v>9741</v>
      </c>
    </row>
    <row r="1790" spans="1:1" x14ac:dyDescent="0.25">
      <c r="A1790" t="s">
        <v>9742</v>
      </c>
    </row>
    <row r="1791" spans="1:1" x14ac:dyDescent="0.25">
      <c r="A1791" t="s">
        <v>9743</v>
      </c>
    </row>
    <row r="1792" spans="1:1" x14ac:dyDescent="0.25">
      <c r="A1792" t="s">
        <v>9744</v>
      </c>
    </row>
    <row r="1793" spans="1:1" x14ac:dyDescent="0.25">
      <c r="A1793" t="s">
        <v>9745</v>
      </c>
    </row>
    <row r="1794" spans="1:1" x14ac:dyDescent="0.25">
      <c r="A1794" t="s">
        <v>9746</v>
      </c>
    </row>
    <row r="1795" spans="1:1" x14ac:dyDescent="0.25">
      <c r="A1795" t="s">
        <v>9747</v>
      </c>
    </row>
    <row r="1796" spans="1:1" x14ac:dyDescent="0.25">
      <c r="A1796" t="s">
        <v>9748</v>
      </c>
    </row>
    <row r="1797" spans="1:1" x14ac:dyDescent="0.25">
      <c r="A1797" t="s">
        <v>9749</v>
      </c>
    </row>
    <row r="1798" spans="1:1" x14ac:dyDescent="0.25">
      <c r="A1798" t="s">
        <v>9750</v>
      </c>
    </row>
    <row r="1799" spans="1:1" x14ac:dyDescent="0.25">
      <c r="A1799" t="s">
        <v>9751</v>
      </c>
    </row>
    <row r="1800" spans="1:1" x14ac:dyDescent="0.25">
      <c r="A1800" t="s">
        <v>9752</v>
      </c>
    </row>
    <row r="1801" spans="1:1" x14ac:dyDescent="0.25">
      <c r="A1801" t="s">
        <v>9753</v>
      </c>
    </row>
    <row r="1802" spans="1:1" x14ac:dyDescent="0.25">
      <c r="A1802" t="s">
        <v>9754</v>
      </c>
    </row>
    <row r="1803" spans="1:1" x14ac:dyDescent="0.25">
      <c r="A1803" t="s">
        <v>9755</v>
      </c>
    </row>
    <row r="1804" spans="1:1" x14ac:dyDescent="0.25">
      <c r="A1804" t="s">
        <v>9756</v>
      </c>
    </row>
    <row r="1805" spans="1:1" x14ac:dyDescent="0.25">
      <c r="A1805" t="s">
        <v>9757</v>
      </c>
    </row>
    <row r="1806" spans="1:1" x14ac:dyDescent="0.25">
      <c r="A1806" t="s">
        <v>9758</v>
      </c>
    </row>
    <row r="1807" spans="1:1" x14ac:dyDescent="0.25">
      <c r="A1807" t="s">
        <v>9759</v>
      </c>
    </row>
    <row r="1808" spans="1:1" x14ac:dyDescent="0.25">
      <c r="A1808" t="s">
        <v>9760</v>
      </c>
    </row>
    <row r="1809" spans="1:1" x14ac:dyDescent="0.25">
      <c r="A1809" t="s">
        <v>9761</v>
      </c>
    </row>
    <row r="1810" spans="1:1" x14ac:dyDescent="0.25">
      <c r="A1810" t="s">
        <v>9762</v>
      </c>
    </row>
    <row r="1811" spans="1:1" x14ac:dyDescent="0.25">
      <c r="A1811" t="s">
        <v>9763</v>
      </c>
    </row>
    <row r="1812" spans="1:1" x14ac:dyDescent="0.25">
      <c r="A1812" t="s">
        <v>9764</v>
      </c>
    </row>
    <row r="1813" spans="1:1" x14ac:dyDescent="0.25">
      <c r="A1813" t="s">
        <v>9765</v>
      </c>
    </row>
    <row r="1814" spans="1:1" x14ac:dyDescent="0.25">
      <c r="A1814" t="s">
        <v>9766</v>
      </c>
    </row>
    <row r="1815" spans="1:1" x14ac:dyDescent="0.25">
      <c r="A1815" t="s">
        <v>9767</v>
      </c>
    </row>
    <row r="1816" spans="1:1" x14ac:dyDescent="0.25">
      <c r="A1816" t="s">
        <v>9768</v>
      </c>
    </row>
    <row r="1817" spans="1:1" x14ac:dyDescent="0.25">
      <c r="A1817" t="s">
        <v>9769</v>
      </c>
    </row>
    <row r="1818" spans="1:1" x14ac:dyDescent="0.25">
      <c r="A1818" t="s">
        <v>9770</v>
      </c>
    </row>
    <row r="1819" spans="1:1" x14ac:dyDescent="0.25">
      <c r="A1819" t="s">
        <v>9771</v>
      </c>
    </row>
    <row r="1820" spans="1:1" x14ac:dyDescent="0.25">
      <c r="A1820" t="s">
        <v>9772</v>
      </c>
    </row>
    <row r="1821" spans="1:1" x14ac:dyDescent="0.25">
      <c r="A1821" t="s">
        <v>9773</v>
      </c>
    </row>
    <row r="1822" spans="1:1" x14ac:dyDescent="0.25">
      <c r="A1822" t="s">
        <v>9774</v>
      </c>
    </row>
    <row r="1823" spans="1:1" x14ac:dyDescent="0.25">
      <c r="A1823" t="s">
        <v>9775</v>
      </c>
    </row>
    <row r="1824" spans="1:1" x14ac:dyDescent="0.25">
      <c r="A1824" t="s">
        <v>9776</v>
      </c>
    </row>
    <row r="1825" spans="1:1" x14ac:dyDescent="0.25">
      <c r="A1825" t="s">
        <v>9777</v>
      </c>
    </row>
    <row r="1826" spans="1:1" x14ac:dyDescent="0.25">
      <c r="A1826" t="s">
        <v>9778</v>
      </c>
    </row>
    <row r="1827" spans="1:1" x14ac:dyDescent="0.25">
      <c r="A1827" t="s">
        <v>9779</v>
      </c>
    </row>
    <row r="1828" spans="1:1" x14ac:dyDescent="0.25">
      <c r="A1828" t="s">
        <v>9780</v>
      </c>
    </row>
    <row r="1829" spans="1:1" x14ac:dyDescent="0.25">
      <c r="A1829" t="s">
        <v>9781</v>
      </c>
    </row>
    <row r="1830" spans="1:1" x14ac:dyDescent="0.25">
      <c r="A1830" t="s">
        <v>9782</v>
      </c>
    </row>
    <row r="1831" spans="1:1" x14ac:dyDescent="0.25">
      <c r="A1831" t="s">
        <v>9783</v>
      </c>
    </row>
    <row r="1832" spans="1:1" x14ac:dyDescent="0.25">
      <c r="A1832" t="s">
        <v>9784</v>
      </c>
    </row>
    <row r="1833" spans="1:1" x14ac:dyDescent="0.25">
      <c r="A1833" t="s">
        <v>9785</v>
      </c>
    </row>
    <row r="1834" spans="1:1" x14ac:dyDescent="0.25">
      <c r="A1834" t="s">
        <v>9786</v>
      </c>
    </row>
    <row r="1835" spans="1:1" x14ac:dyDescent="0.25">
      <c r="A1835" t="s">
        <v>9787</v>
      </c>
    </row>
    <row r="1836" spans="1:1" x14ac:dyDescent="0.25">
      <c r="A1836" t="s">
        <v>9788</v>
      </c>
    </row>
    <row r="1837" spans="1:1" x14ac:dyDescent="0.25">
      <c r="A1837" t="s">
        <v>9789</v>
      </c>
    </row>
    <row r="1838" spans="1:1" x14ac:dyDescent="0.25">
      <c r="A1838" t="s">
        <v>9790</v>
      </c>
    </row>
    <row r="1839" spans="1:1" x14ac:dyDescent="0.25">
      <c r="A1839" t="s">
        <v>9791</v>
      </c>
    </row>
    <row r="1840" spans="1:1" x14ac:dyDescent="0.25">
      <c r="A1840" t="s">
        <v>9792</v>
      </c>
    </row>
    <row r="1841" spans="1:1" x14ac:dyDescent="0.25">
      <c r="A1841" t="s">
        <v>9793</v>
      </c>
    </row>
    <row r="1842" spans="1:1" x14ac:dyDescent="0.25">
      <c r="A1842" t="s">
        <v>9794</v>
      </c>
    </row>
    <row r="1843" spans="1:1" x14ac:dyDescent="0.25">
      <c r="A1843" t="s">
        <v>9795</v>
      </c>
    </row>
    <row r="1844" spans="1:1" x14ac:dyDescent="0.25">
      <c r="A1844" t="s">
        <v>9796</v>
      </c>
    </row>
    <row r="1845" spans="1:1" x14ac:dyDescent="0.25">
      <c r="A1845" t="s">
        <v>9797</v>
      </c>
    </row>
    <row r="1846" spans="1:1" x14ac:dyDescent="0.25">
      <c r="A1846" t="s">
        <v>9798</v>
      </c>
    </row>
    <row r="1847" spans="1:1" x14ac:dyDescent="0.25">
      <c r="A1847" t="s">
        <v>9799</v>
      </c>
    </row>
    <row r="1848" spans="1:1" x14ac:dyDescent="0.25">
      <c r="A1848" t="s">
        <v>9800</v>
      </c>
    </row>
    <row r="1849" spans="1:1" x14ac:dyDescent="0.25">
      <c r="A1849" t="s">
        <v>9801</v>
      </c>
    </row>
    <row r="1850" spans="1:1" x14ac:dyDescent="0.25">
      <c r="A1850" t="s">
        <v>9802</v>
      </c>
    </row>
    <row r="1851" spans="1:1" x14ac:dyDescent="0.25">
      <c r="A1851" t="s">
        <v>9803</v>
      </c>
    </row>
    <row r="1852" spans="1:1" x14ac:dyDescent="0.25">
      <c r="A1852" t="s">
        <v>9804</v>
      </c>
    </row>
    <row r="1853" spans="1:1" x14ac:dyDescent="0.25">
      <c r="A1853" t="s">
        <v>9805</v>
      </c>
    </row>
    <row r="1854" spans="1:1" x14ac:dyDescent="0.25">
      <c r="A1854" t="s">
        <v>9806</v>
      </c>
    </row>
    <row r="1855" spans="1:1" x14ac:dyDescent="0.25">
      <c r="A1855" t="s">
        <v>9807</v>
      </c>
    </row>
    <row r="1856" spans="1:1" x14ac:dyDescent="0.25">
      <c r="A1856" t="s">
        <v>9808</v>
      </c>
    </row>
    <row r="1857" spans="1:1" x14ac:dyDescent="0.25">
      <c r="A1857" t="s">
        <v>9809</v>
      </c>
    </row>
    <row r="1858" spans="1:1" x14ac:dyDescent="0.25">
      <c r="A1858" t="s">
        <v>9810</v>
      </c>
    </row>
    <row r="1859" spans="1:1" x14ac:dyDescent="0.25">
      <c r="A1859" t="s">
        <v>9811</v>
      </c>
    </row>
    <row r="1860" spans="1:1" x14ac:dyDescent="0.25">
      <c r="A1860" t="s">
        <v>9812</v>
      </c>
    </row>
    <row r="1861" spans="1:1" x14ac:dyDescent="0.25">
      <c r="A1861" t="s">
        <v>9813</v>
      </c>
    </row>
    <row r="1862" spans="1:1" x14ac:dyDescent="0.25">
      <c r="A1862" t="s">
        <v>9814</v>
      </c>
    </row>
    <row r="1863" spans="1:1" x14ac:dyDescent="0.25">
      <c r="A1863" t="s">
        <v>9815</v>
      </c>
    </row>
    <row r="1864" spans="1:1" x14ac:dyDescent="0.25">
      <c r="A1864" t="s">
        <v>9816</v>
      </c>
    </row>
    <row r="1865" spans="1:1" x14ac:dyDescent="0.25">
      <c r="A1865" t="s">
        <v>9817</v>
      </c>
    </row>
    <row r="1866" spans="1:1" x14ac:dyDescent="0.25">
      <c r="A1866" t="s">
        <v>9818</v>
      </c>
    </row>
    <row r="1867" spans="1:1" x14ac:dyDescent="0.25">
      <c r="A1867" t="s">
        <v>9819</v>
      </c>
    </row>
    <row r="1868" spans="1:1" x14ac:dyDescent="0.25">
      <c r="A1868" t="s">
        <v>9820</v>
      </c>
    </row>
    <row r="1869" spans="1:1" x14ac:dyDescent="0.25">
      <c r="A1869" t="s">
        <v>9821</v>
      </c>
    </row>
    <row r="1870" spans="1:1" x14ac:dyDescent="0.25">
      <c r="A1870" t="s">
        <v>9822</v>
      </c>
    </row>
    <row r="1871" spans="1:1" x14ac:dyDescent="0.25">
      <c r="A1871" t="s">
        <v>9823</v>
      </c>
    </row>
    <row r="1872" spans="1:1" x14ac:dyDescent="0.25">
      <c r="A1872" t="s">
        <v>9824</v>
      </c>
    </row>
    <row r="1873" spans="1:1" x14ac:dyDescent="0.25">
      <c r="A1873" t="s">
        <v>9825</v>
      </c>
    </row>
    <row r="1874" spans="1:1" x14ac:dyDescent="0.25">
      <c r="A1874" t="s">
        <v>9826</v>
      </c>
    </row>
    <row r="1875" spans="1:1" x14ac:dyDescent="0.25">
      <c r="A1875" t="s">
        <v>9827</v>
      </c>
    </row>
    <row r="1876" spans="1:1" x14ac:dyDescent="0.25">
      <c r="A1876" t="s">
        <v>9828</v>
      </c>
    </row>
    <row r="1877" spans="1:1" x14ac:dyDescent="0.25">
      <c r="A1877" t="s">
        <v>9829</v>
      </c>
    </row>
    <row r="1878" spans="1:1" x14ac:dyDescent="0.25">
      <c r="A1878" t="s">
        <v>9830</v>
      </c>
    </row>
    <row r="1879" spans="1:1" x14ac:dyDescent="0.25">
      <c r="A1879" t="s">
        <v>9831</v>
      </c>
    </row>
    <row r="1880" spans="1:1" x14ac:dyDescent="0.25">
      <c r="A1880" t="s">
        <v>9832</v>
      </c>
    </row>
    <row r="1881" spans="1:1" x14ac:dyDescent="0.25">
      <c r="A1881" t="s">
        <v>9833</v>
      </c>
    </row>
    <row r="1882" spans="1:1" x14ac:dyDescent="0.25">
      <c r="A1882" t="s">
        <v>9834</v>
      </c>
    </row>
    <row r="1883" spans="1:1" x14ac:dyDescent="0.25">
      <c r="A1883" t="s">
        <v>9835</v>
      </c>
    </row>
    <row r="1884" spans="1:1" x14ac:dyDescent="0.25">
      <c r="A1884" t="s">
        <v>9836</v>
      </c>
    </row>
    <row r="1885" spans="1:1" x14ac:dyDescent="0.25">
      <c r="A1885" t="s">
        <v>9837</v>
      </c>
    </row>
    <row r="1886" spans="1:1" x14ac:dyDescent="0.25">
      <c r="A1886" t="s">
        <v>9838</v>
      </c>
    </row>
    <row r="1887" spans="1:1" x14ac:dyDescent="0.25">
      <c r="A1887" t="s">
        <v>9839</v>
      </c>
    </row>
    <row r="1888" spans="1:1" x14ac:dyDescent="0.25">
      <c r="A1888" t="s">
        <v>9840</v>
      </c>
    </row>
    <row r="1889" spans="1:1" x14ac:dyDescent="0.25">
      <c r="A1889" t="s">
        <v>9841</v>
      </c>
    </row>
    <row r="1890" spans="1:1" x14ac:dyDescent="0.25">
      <c r="A1890" t="s">
        <v>9842</v>
      </c>
    </row>
    <row r="1891" spans="1:1" x14ac:dyDescent="0.25">
      <c r="A1891" t="s">
        <v>9843</v>
      </c>
    </row>
    <row r="1892" spans="1:1" x14ac:dyDescent="0.25">
      <c r="A1892" t="s">
        <v>9844</v>
      </c>
    </row>
    <row r="1893" spans="1:1" x14ac:dyDescent="0.25">
      <c r="A1893" t="s">
        <v>9845</v>
      </c>
    </row>
    <row r="1894" spans="1:1" x14ac:dyDescent="0.25">
      <c r="A1894" t="s">
        <v>9846</v>
      </c>
    </row>
    <row r="1895" spans="1:1" x14ac:dyDescent="0.25">
      <c r="A1895" t="s">
        <v>9847</v>
      </c>
    </row>
    <row r="1896" spans="1:1" x14ac:dyDescent="0.25">
      <c r="A1896" t="s">
        <v>9848</v>
      </c>
    </row>
    <row r="1897" spans="1:1" x14ac:dyDescent="0.25">
      <c r="A1897" t="s">
        <v>9849</v>
      </c>
    </row>
    <row r="1898" spans="1:1" x14ac:dyDescent="0.25">
      <c r="A1898" t="s">
        <v>9850</v>
      </c>
    </row>
    <row r="1899" spans="1:1" x14ac:dyDescent="0.25">
      <c r="A1899" t="s">
        <v>9851</v>
      </c>
    </row>
    <row r="1900" spans="1:1" x14ac:dyDescent="0.25">
      <c r="A1900" t="s">
        <v>9852</v>
      </c>
    </row>
    <row r="1901" spans="1:1" x14ac:dyDescent="0.25">
      <c r="A1901" t="s">
        <v>9853</v>
      </c>
    </row>
    <row r="1902" spans="1:1" x14ac:dyDescent="0.25">
      <c r="A1902" t="s">
        <v>9854</v>
      </c>
    </row>
    <row r="1903" spans="1:1" x14ac:dyDescent="0.25">
      <c r="A1903" t="s">
        <v>9855</v>
      </c>
    </row>
    <row r="1904" spans="1:1" x14ac:dyDescent="0.25">
      <c r="A1904" t="s">
        <v>9856</v>
      </c>
    </row>
    <row r="1905" spans="1:1" x14ac:dyDescent="0.25">
      <c r="A1905" t="s">
        <v>9857</v>
      </c>
    </row>
    <row r="1906" spans="1:1" x14ac:dyDescent="0.25">
      <c r="A1906" t="s">
        <v>9858</v>
      </c>
    </row>
    <row r="1907" spans="1:1" x14ac:dyDescent="0.25">
      <c r="A1907" t="s">
        <v>9859</v>
      </c>
    </row>
    <row r="1908" spans="1:1" x14ac:dyDescent="0.25">
      <c r="A1908" t="s">
        <v>9860</v>
      </c>
    </row>
    <row r="1909" spans="1:1" x14ac:dyDescent="0.25">
      <c r="A1909" t="s">
        <v>9861</v>
      </c>
    </row>
    <row r="1910" spans="1:1" x14ac:dyDescent="0.25">
      <c r="A1910" t="s">
        <v>9862</v>
      </c>
    </row>
    <row r="1911" spans="1:1" x14ac:dyDescent="0.25">
      <c r="A1911" t="s">
        <v>9863</v>
      </c>
    </row>
    <row r="1912" spans="1:1" x14ac:dyDescent="0.25">
      <c r="A1912" t="s">
        <v>9864</v>
      </c>
    </row>
    <row r="1913" spans="1:1" x14ac:dyDescent="0.25">
      <c r="A1913" t="s">
        <v>9865</v>
      </c>
    </row>
    <row r="1914" spans="1:1" x14ac:dyDescent="0.25">
      <c r="A1914" t="s">
        <v>9866</v>
      </c>
    </row>
    <row r="1915" spans="1:1" x14ac:dyDescent="0.25">
      <c r="A1915" t="s">
        <v>9867</v>
      </c>
    </row>
    <row r="1916" spans="1:1" x14ac:dyDescent="0.25">
      <c r="A1916" t="s">
        <v>9868</v>
      </c>
    </row>
    <row r="1917" spans="1:1" x14ac:dyDescent="0.25">
      <c r="A1917" t="s">
        <v>9869</v>
      </c>
    </row>
    <row r="1918" spans="1:1" x14ac:dyDescent="0.25">
      <c r="A1918" t="s">
        <v>9870</v>
      </c>
    </row>
    <row r="1919" spans="1:1" x14ac:dyDescent="0.25">
      <c r="A1919" t="s">
        <v>9871</v>
      </c>
    </row>
    <row r="1920" spans="1:1" x14ac:dyDescent="0.25">
      <c r="A1920" t="s">
        <v>9872</v>
      </c>
    </row>
    <row r="1921" spans="1:1" x14ac:dyDescent="0.25">
      <c r="A1921" t="s">
        <v>9873</v>
      </c>
    </row>
    <row r="1922" spans="1:1" x14ac:dyDescent="0.25">
      <c r="A1922" t="s">
        <v>9874</v>
      </c>
    </row>
    <row r="1923" spans="1:1" x14ac:dyDescent="0.25">
      <c r="A1923" t="s">
        <v>9875</v>
      </c>
    </row>
    <row r="1924" spans="1:1" x14ac:dyDescent="0.25">
      <c r="A1924" t="s">
        <v>9876</v>
      </c>
    </row>
    <row r="1925" spans="1:1" x14ac:dyDescent="0.25">
      <c r="A1925" t="s">
        <v>9877</v>
      </c>
    </row>
    <row r="1926" spans="1:1" x14ac:dyDescent="0.25">
      <c r="A1926" t="s">
        <v>9878</v>
      </c>
    </row>
    <row r="1927" spans="1:1" x14ac:dyDescent="0.25">
      <c r="A1927" t="s">
        <v>9879</v>
      </c>
    </row>
    <row r="1928" spans="1:1" x14ac:dyDescent="0.25">
      <c r="A1928" t="s">
        <v>9880</v>
      </c>
    </row>
    <row r="1929" spans="1:1" x14ac:dyDescent="0.25">
      <c r="A1929" t="s">
        <v>9881</v>
      </c>
    </row>
    <row r="1930" spans="1:1" x14ac:dyDescent="0.25">
      <c r="A1930" t="s">
        <v>9882</v>
      </c>
    </row>
    <row r="1931" spans="1:1" x14ac:dyDescent="0.25">
      <c r="A1931" t="s">
        <v>9883</v>
      </c>
    </row>
    <row r="1932" spans="1:1" x14ac:dyDescent="0.25">
      <c r="A1932" t="s">
        <v>9884</v>
      </c>
    </row>
    <row r="1933" spans="1:1" x14ac:dyDescent="0.25">
      <c r="A1933" t="s">
        <v>9885</v>
      </c>
    </row>
    <row r="1934" spans="1:1" x14ac:dyDescent="0.25">
      <c r="A1934" t="s">
        <v>9886</v>
      </c>
    </row>
    <row r="1935" spans="1:1" x14ac:dyDescent="0.25">
      <c r="A1935" t="s">
        <v>9887</v>
      </c>
    </row>
    <row r="1936" spans="1:1" x14ac:dyDescent="0.25">
      <c r="A1936" t="s">
        <v>9888</v>
      </c>
    </row>
    <row r="1937" spans="1:1" x14ac:dyDescent="0.25">
      <c r="A1937" t="s">
        <v>9889</v>
      </c>
    </row>
    <row r="1938" spans="1:1" x14ac:dyDescent="0.25">
      <c r="A1938" t="s">
        <v>9890</v>
      </c>
    </row>
    <row r="1939" spans="1:1" x14ac:dyDescent="0.25">
      <c r="A1939" t="s">
        <v>9891</v>
      </c>
    </row>
    <row r="1940" spans="1:1" x14ac:dyDescent="0.25">
      <c r="A1940" t="s">
        <v>9892</v>
      </c>
    </row>
    <row r="1941" spans="1:1" x14ac:dyDescent="0.25">
      <c r="A1941" t="s">
        <v>9893</v>
      </c>
    </row>
    <row r="1942" spans="1:1" x14ac:dyDescent="0.25">
      <c r="A1942" t="s">
        <v>9894</v>
      </c>
    </row>
    <row r="1943" spans="1:1" x14ac:dyDescent="0.25">
      <c r="A1943" t="s">
        <v>9895</v>
      </c>
    </row>
    <row r="1944" spans="1:1" x14ac:dyDescent="0.25">
      <c r="A1944" t="s">
        <v>9896</v>
      </c>
    </row>
    <row r="1945" spans="1:1" x14ac:dyDescent="0.25">
      <c r="A1945" t="s">
        <v>9897</v>
      </c>
    </row>
    <row r="1946" spans="1:1" x14ac:dyDescent="0.25">
      <c r="A1946" t="s">
        <v>9898</v>
      </c>
    </row>
    <row r="1947" spans="1:1" x14ac:dyDescent="0.25">
      <c r="A1947" t="s">
        <v>9899</v>
      </c>
    </row>
    <row r="1948" spans="1:1" x14ac:dyDescent="0.25">
      <c r="A1948" t="s">
        <v>9900</v>
      </c>
    </row>
    <row r="1949" spans="1:1" x14ac:dyDescent="0.25">
      <c r="A1949" t="s">
        <v>9901</v>
      </c>
    </row>
    <row r="1950" spans="1:1" x14ac:dyDescent="0.25">
      <c r="A1950" t="s">
        <v>9902</v>
      </c>
    </row>
    <row r="1951" spans="1:1" x14ac:dyDescent="0.25">
      <c r="A1951" t="s">
        <v>9903</v>
      </c>
    </row>
    <row r="1952" spans="1:1" x14ac:dyDescent="0.25">
      <c r="A1952" t="s">
        <v>9904</v>
      </c>
    </row>
    <row r="1953" spans="1:1" x14ac:dyDescent="0.25">
      <c r="A1953" t="s">
        <v>9905</v>
      </c>
    </row>
    <row r="1954" spans="1:1" x14ac:dyDescent="0.25">
      <c r="A1954" t="s">
        <v>9906</v>
      </c>
    </row>
    <row r="1955" spans="1:1" x14ac:dyDescent="0.25">
      <c r="A1955" t="s">
        <v>9907</v>
      </c>
    </row>
    <row r="1956" spans="1:1" x14ac:dyDescent="0.25">
      <c r="A1956" t="s">
        <v>9908</v>
      </c>
    </row>
    <row r="1957" spans="1:1" x14ac:dyDescent="0.25">
      <c r="A1957" t="s">
        <v>9909</v>
      </c>
    </row>
    <row r="1958" spans="1:1" x14ac:dyDescent="0.25">
      <c r="A1958" t="s">
        <v>9910</v>
      </c>
    </row>
    <row r="1959" spans="1:1" x14ac:dyDescent="0.25">
      <c r="A1959" t="s">
        <v>9911</v>
      </c>
    </row>
    <row r="1960" spans="1:1" x14ac:dyDescent="0.25">
      <c r="A1960" t="s">
        <v>9912</v>
      </c>
    </row>
    <row r="1961" spans="1:1" x14ac:dyDescent="0.25">
      <c r="A1961" t="s">
        <v>9913</v>
      </c>
    </row>
    <row r="1962" spans="1:1" x14ac:dyDescent="0.25">
      <c r="A1962" t="s">
        <v>9914</v>
      </c>
    </row>
    <row r="1963" spans="1:1" x14ac:dyDescent="0.25">
      <c r="A1963" t="s">
        <v>9915</v>
      </c>
    </row>
    <row r="1964" spans="1:1" x14ac:dyDescent="0.25">
      <c r="A1964" t="s">
        <v>9916</v>
      </c>
    </row>
    <row r="1965" spans="1:1" x14ac:dyDescent="0.25">
      <c r="A1965" t="s">
        <v>9917</v>
      </c>
    </row>
    <row r="1966" spans="1:1" x14ac:dyDescent="0.25">
      <c r="A1966" t="s">
        <v>9918</v>
      </c>
    </row>
    <row r="1967" spans="1:1" x14ac:dyDescent="0.25">
      <c r="A1967" t="s">
        <v>9919</v>
      </c>
    </row>
    <row r="1968" spans="1:1" x14ac:dyDescent="0.25">
      <c r="A1968" t="s">
        <v>9920</v>
      </c>
    </row>
    <row r="1969" spans="1:1" x14ac:dyDescent="0.25">
      <c r="A1969" t="s">
        <v>9921</v>
      </c>
    </row>
    <row r="1970" spans="1:1" x14ac:dyDescent="0.25">
      <c r="A1970" t="s">
        <v>9922</v>
      </c>
    </row>
    <row r="1971" spans="1:1" x14ac:dyDescent="0.25">
      <c r="A1971" t="s">
        <v>9923</v>
      </c>
    </row>
    <row r="1972" spans="1:1" x14ac:dyDescent="0.25">
      <c r="A1972" t="s">
        <v>9924</v>
      </c>
    </row>
    <row r="1973" spans="1:1" x14ac:dyDescent="0.25">
      <c r="A1973" t="s">
        <v>9925</v>
      </c>
    </row>
    <row r="1974" spans="1:1" x14ac:dyDescent="0.25">
      <c r="A1974" t="s">
        <v>9926</v>
      </c>
    </row>
    <row r="1975" spans="1:1" x14ac:dyDescent="0.25">
      <c r="A1975" t="s">
        <v>9927</v>
      </c>
    </row>
    <row r="1976" spans="1:1" x14ac:dyDescent="0.25">
      <c r="A1976" t="s">
        <v>9928</v>
      </c>
    </row>
    <row r="1977" spans="1:1" x14ac:dyDescent="0.25">
      <c r="A1977" t="s">
        <v>9929</v>
      </c>
    </row>
    <row r="1978" spans="1:1" x14ac:dyDescent="0.25">
      <c r="A1978" t="s">
        <v>9930</v>
      </c>
    </row>
    <row r="1979" spans="1:1" x14ac:dyDescent="0.25">
      <c r="A1979" t="s">
        <v>9931</v>
      </c>
    </row>
    <row r="1980" spans="1:1" x14ac:dyDescent="0.25">
      <c r="A1980" t="s">
        <v>9932</v>
      </c>
    </row>
    <row r="1981" spans="1:1" x14ac:dyDescent="0.25">
      <c r="A1981" t="s">
        <v>9933</v>
      </c>
    </row>
    <row r="1982" spans="1:1" x14ac:dyDescent="0.25">
      <c r="A1982" t="s">
        <v>9934</v>
      </c>
    </row>
    <row r="1983" spans="1:1" x14ac:dyDescent="0.25">
      <c r="A1983" t="s">
        <v>9935</v>
      </c>
    </row>
    <row r="1984" spans="1:1" x14ac:dyDescent="0.25">
      <c r="A1984" t="s">
        <v>9936</v>
      </c>
    </row>
    <row r="1985" spans="1:1" x14ac:dyDescent="0.25">
      <c r="A1985" t="s">
        <v>9937</v>
      </c>
    </row>
    <row r="1986" spans="1:1" x14ac:dyDescent="0.25">
      <c r="A1986" t="s">
        <v>9938</v>
      </c>
    </row>
    <row r="1987" spans="1:1" x14ac:dyDescent="0.25">
      <c r="A1987" t="s">
        <v>9939</v>
      </c>
    </row>
    <row r="1988" spans="1:1" x14ac:dyDescent="0.25">
      <c r="A1988" t="s">
        <v>9940</v>
      </c>
    </row>
    <row r="1989" spans="1:1" x14ac:dyDescent="0.25">
      <c r="A1989" t="s">
        <v>9941</v>
      </c>
    </row>
    <row r="1990" spans="1:1" x14ac:dyDescent="0.25">
      <c r="A1990" t="s">
        <v>9942</v>
      </c>
    </row>
    <row r="1991" spans="1:1" x14ac:dyDescent="0.25">
      <c r="A1991" t="s">
        <v>9943</v>
      </c>
    </row>
    <row r="1992" spans="1:1" x14ac:dyDescent="0.25">
      <c r="A1992" t="s">
        <v>9944</v>
      </c>
    </row>
    <row r="1993" spans="1:1" x14ac:dyDescent="0.25">
      <c r="A1993" t="s">
        <v>9945</v>
      </c>
    </row>
    <row r="1994" spans="1:1" x14ac:dyDescent="0.25">
      <c r="A1994" t="s">
        <v>9946</v>
      </c>
    </row>
    <row r="1995" spans="1:1" x14ac:dyDescent="0.25">
      <c r="A1995" t="s">
        <v>9947</v>
      </c>
    </row>
    <row r="1996" spans="1:1" x14ac:dyDescent="0.25">
      <c r="A1996" t="s">
        <v>9948</v>
      </c>
    </row>
    <row r="1997" spans="1:1" x14ac:dyDescent="0.25">
      <c r="A1997" t="s">
        <v>9949</v>
      </c>
    </row>
    <row r="1998" spans="1:1" x14ac:dyDescent="0.25">
      <c r="A1998" t="s">
        <v>9950</v>
      </c>
    </row>
    <row r="1999" spans="1:1" x14ac:dyDescent="0.25">
      <c r="A1999" t="s">
        <v>9951</v>
      </c>
    </row>
    <row r="2000" spans="1:1" x14ac:dyDescent="0.25">
      <c r="A2000" t="s">
        <v>9952</v>
      </c>
    </row>
    <row r="2001" spans="1:1" x14ac:dyDescent="0.25">
      <c r="A2001" t="s">
        <v>9953</v>
      </c>
    </row>
    <row r="2002" spans="1:1" x14ac:dyDescent="0.25">
      <c r="A2002" t="s">
        <v>9954</v>
      </c>
    </row>
    <row r="2003" spans="1:1" x14ac:dyDescent="0.25">
      <c r="A2003" t="s">
        <v>9955</v>
      </c>
    </row>
    <row r="2004" spans="1:1" x14ac:dyDescent="0.25">
      <c r="A2004" t="s">
        <v>9956</v>
      </c>
    </row>
    <row r="2005" spans="1:1" x14ac:dyDescent="0.25">
      <c r="A2005" t="s">
        <v>9957</v>
      </c>
    </row>
    <row r="2006" spans="1:1" x14ac:dyDescent="0.25">
      <c r="A2006" t="s">
        <v>9958</v>
      </c>
    </row>
    <row r="2007" spans="1:1" x14ac:dyDescent="0.25">
      <c r="A2007" t="s">
        <v>9959</v>
      </c>
    </row>
    <row r="2008" spans="1:1" x14ac:dyDescent="0.25">
      <c r="A2008" t="s">
        <v>9960</v>
      </c>
    </row>
    <row r="2009" spans="1:1" x14ac:dyDescent="0.25">
      <c r="A2009" t="s">
        <v>9961</v>
      </c>
    </row>
    <row r="2010" spans="1:1" x14ac:dyDescent="0.25">
      <c r="A2010" t="s">
        <v>9962</v>
      </c>
    </row>
    <row r="2011" spans="1:1" x14ac:dyDescent="0.25">
      <c r="A2011" t="s">
        <v>9963</v>
      </c>
    </row>
    <row r="2012" spans="1:1" x14ac:dyDescent="0.25">
      <c r="A2012" t="s">
        <v>9964</v>
      </c>
    </row>
    <row r="2013" spans="1:1" x14ac:dyDescent="0.25">
      <c r="A2013" t="s">
        <v>9965</v>
      </c>
    </row>
    <row r="2014" spans="1:1" x14ac:dyDescent="0.25">
      <c r="A2014" t="s">
        <v>9966</v>
      </c>
    </row>
    <row r="2015" spans="1:1" x14ac:dyDescent="0.25">
      <c r="A2015" t="s">
        <v>9967</v>
      </c>
    </row>
    <row r="2016" spans="1:1" x14ac:dyDescent="0.25">
      <c r="A2016" t="s">
        <v>9968</v>
      </c>
    </row>
    <row r="2017" spans="1:1" x14ac:dyDescent="0.25">
      <c r="A2017" t="s">
        <v>9969</v>
      </c>
    </row>
    <row r="2018" spans="1:1" x14ac:dyDescent="0.25">
      <c r="A2018" t="s">
        <v>9970</v>
      </c>
    </row>
    <row r="2019" spans="1:1" x14ac:dyDescent="0.25">
      <c r="A2019" t="s">
        <v>9971</v>
      </c>
    </row>
    <row r="2020" spans="1:1" x14ac:dyDescent="0.25">
      <c r="A2020" t="s">
        <v>9972</v>
      </c>
    </row>
    <row r="2021" spans="1:1" x14ac:dyDescent="0.25">
      <c r="A2021" t="s">
        <v>9973</v>
      </c>
    </row>
    <row r="2022" spans="1:1" x14ac:dyDescent="0.25">
      <c r="A2022" t="s">
        <v>9974</v>
      </c>
    </row>
    <row r="2023" spans="1:1" x14ac:dyDescent="0.25">
      <c r="A2023" t="s">
        <v>9975</v>
      </c>
    </row>
    <row r="2024" spans="1:1" x14ac:dyDescent="0.25">
      <c r="A2024" t="s">
        <v>9976</v>
      </c>
    </row>
    <row r="2025" spans="1:1" x14ac:dyDescent="0.25">
      <c r="A2025" t="s">
        <v>9977</v>
      </c>
    </row>
    <row r="2026" spans="1:1" x14ac:dyDescent="0.25">
      <c r="A2026" t="s">
        <v>9978</v>
      </c>
    </row>
    <row r="2027" spans="1:1" x14ac:dyDescent="0.25">
      <c r="A2027" t="s">
        <v>9979</v>
      </c>
    </row>
    <row r="2028" spans="1:1" x14ac:dyDescent="0.25">
      <c r="A2028" t="s">
        <v>9980</v>
      </c>
    </row>
    <row r="2029" spans="1:1" x14ac:dyDescent="0.25">
      <c r="A2029" t="s">
        <v>9981</v>
      </c>
    </row>
    <row r="2030" spans="1:1" x14ac:dyDescent="0.25">
      <c r="A2030" t="s">
        <v>9982</v>
      </c>
    </row>
    <row r="2031" spans="1:1" x14ac:dyDescent="0.25">
      <c r="A2031" t="s">
        <v>9983</v>
      </c>
    </row>
    <row r="2032" spans="1:1" x14ac:dyDescent="0.25">
      <c r="A2032" t="s">
        <v>9984</v>
      </c>
    </row>
    <row r="2033" spans="1:1" x14ac:dyDescent="0.25">
      <c r="A2033" t="s">
        <v>9985</v>
      </c>
    </row>
    <row r="2034" spans="1:1" x14ac:dyDescent="0.25">
      <c r="A2034" t="s">
        <v>9986</v>
      </c>
    </row>
    <row r="2035" spans="1:1" x14ac:dyDescent="0.25">
      <c r="A2035" t="s">
        <v>9987</v>
      </c>
    </row>
    <row r="2036" spans="1:1" x14ac:dyDescent="0.25">
      <c r="A2036" t="s">
        <v>9988</v>
      </c>
    </row>
    <row r="2037" spans="1:1" x14ac:dyDescent="0.25">
      <c r="A2037" t="s">
        <v>9989</v>
      </c>
    </row>
    <row r="2038" spans="1:1" x14ac:dyDescent="0.25">
      <c r="A2038" t="s">
        <v>9990</v>
      </c>
    </row>
    <row r="2039" spans="1:1" x14ac:dyDescent="0.25">
      <c r="A2039" t="s">
        <v>9991</v>
      </c>
    </row>
    <row r="2040" spans="1:1" x14ac:dyDescent="0.25">
      <c r="A2040" t="s">
        <v>9992</v>
      </c>
    </row>
    <row r="2041" spans="1:1" x14ac:dyDescent="0.25">
      <c r="A2041" t="s">
        <v>9993</v>
      </c>
    </row>
    <row r="2042" spans="1:1" x14ac:dyDescent="0.25">
      <c r="A2042" t="s">
        <v>9994</v>
      </c>
    </row>
    <row r="2043" spans="1:1" x14ac:dyDescent="0.25">
      <c r="A2043" t="s">
        <v>9995</v>
      </c>
    </row>
    <row r="2044" spans="1:1" x14ac:dyDescent="0.25">
      <c r="A2044" t="s">
        <v>9996</v>
      </c>
    </row>
    <row r="2045" spans="1:1" x14ac:dyDescent="0.25">
      <c r="A2045" t="s">
        <v>9997</v>
      </c>
    </row>
    <row r="2046" spans="1:1" x14ac:dyDescent="0.25">
      <c r="A2046" t="s">
        <v>9998</v>
      </c>
    </row>
    <row r="2047" spans="1:1" x14ac:dyDescent="0.25">
      <c r="A2047" t="s">
        <v>9999</v>
      </c>
    </row>
    <row r="2048" spans="1:1" x14ac:dyDescent="0.25">
      <c r="A2048" t="s">
        <v>10000</v>
      </c>
    </row>
    <row r="2049" spans="1:1" x14ac:dyDescent="0.25">
      <c r="A2049" t="s">
        <v>10001</v>
      </c>
    </row>
    <row r="2050" spans="1:1" x14ac:dyDescent="0.25">
      <c r="A2050" t="s">
        <v>10002</v>
      </c>
    </row>
    <row r="2051" spans="1:1" x14ac:dyDescent="0.25">
      <c r="A2051" t="s">
        <v>10003</v>
      </c>
    </row>
    <row r="2052" spans="1:1" x14ac:dyDescent="0.25">
      <c r="A2052" t="s">
        <v>10004</v>
      </c>
    </row>
    <row r="2053" spans="1:1" x14ac:dyDescent="0.25">
      <c r="A2053" t="s">
        <v>10005</v>
      </c>
    </row>
    <row r="2054" spans="1:1" x14ac:dyDescent="0.25">
      <c r="A2054" t="s">
        <v>10006</v>
      </c>
    </row>
    <row r="2055" spans="1:1" x14ac:dyDescent="0.25">
      <c r="A2055" t="s">
        <v>10007</v>
      </c>
    </row>
    <row r="2056" spans="1:1" x14ac:dyDescent="0.25">
      <c r="A2056" t="s">
        <v>10008</v>
      </c>
    </row>
    <row r="2057" spans="1:1" x14ac:dyDescent="0.25">
      <c r="A2057" t="s">
        <v>10009</v>
      </c>
    </row>
    <row r="2058" spans="1:1" x14ac:dyDescent="0.25">
      <c r="A2058" t="s">
        <v>10010</v>
      </c>
    </row>
    <row r="2059" spans="1:1" x14ac:dyDescent="0.25">
      <c r="A2059" t="s">
        <v>10011</v>
      </c>
    </row>
    <row r="2060" spans="1:1" x14ac:dyDescent="0.25">
      <c r="A2060" t="s">
        <v>10012</v>
      </c>
    </row>
    <row r="2061" spans="1:1" x14ac:dyDescent="0.25">
      <c r="A2061" t="s">
        <v>10013</v>
      </c>
    </row>
    <row r="2062" spans="1:1" x14ac:dyDescent="0.25">
      <c r="A2062" t="s">
        <v>10014</v>
      </c>
    </row>
    <row r="2063" spans="1:1" x14ac:dyDescent="0.25">
      <c r="A2063" t="s">
        <v>10015</v>
      </c>
    </row>
    <row r="2064" spans="1:1" x14ac:dyDescent="0.25">
      <c r="A2064" t="s">
        <v>10016</v>
      </c>
    </row>
    <row r="2065" spans="1:1" x14ac:dyDescent="0.25">
      <c r="A2065" t="s">
        <v>10017</v>
      </c>
    </row>
    <row r="2066" spans="1:1" x14ac:dyDescent="0.25">
      <c r="A2066" t="s">
        <v>10018</v>
      </c>
    </row>
    <row r="2067" spans="1:1" x14ac:dyDescent="0.25">
      <c r="A2067" t="s">
        <v>10019</v>
      </c>
    </row>
    <row r="2068" spans="1:1" x14ac:dyDescent="0.25">
      <c r="A2068" t="s">
        <v>10020</v>
      </c>
    </row>
    <row r="2069" spans="1:1" x14ac:dyDescent="0.25">
      <c r="A2069" t="s">
        <v>10021</v>
      </c>
    </row>
    <row r="2070" spans="1:1" x14ac:dyDescent="0.25">
      <c r="A2070" t="s">
        <v>10022</v>
      </c>
    </row>
    <row r="2071" spans="1:1" x14ac:dyDescent="0.25">
      <c r="A2071" t="s">
        <v>10023</v>
      </c>
    </row>
    <row r="2072" spans="1:1" x14ac:dyDescent="0.25">
      <c r="A2072" t="s">
        <v>10024</v>
      </c>
    </row>
    <row r="2073" spans="1:1" x14ac:dyDescent="0.25">
      <c r="A2073" t="s">
        <v>10025</v>
      </c>
    </row>
    <row r="2074" spans="1:1" x14ac:dyDescent="0.25">
      <c r="A2074" t="s">
        <v>10026</v>
      </c>
    </row>
    <row r="2075" spans="1:1" x14ac:dyDescent="0.25">
      <c r="A2075" t="s">
        <v>10027</v>
      </c>
    </row>
    <row r="2076" spans="1:1" x14ac:dyDescent="0.25">
      <c r="A2076" t="s">
        <v>10028</v>
      </c>
    </row>
    <row r="2077" spans="1:1" x14ac:dyDescent="0.25">
      <c r="A2077" t="s">
        <v>10029</v>
      </c>
    </row>
    <row r="2078" spans="1:1" x14ac:dyDescent="0.25">
      <c r="A2078" t="s">
        <v>10030</v>
      </c>
    </row>
    <row r="2079" spans="1:1" x14ac:dyDescent="0.25">
      <c r="A2079" t="s">
        <v>10031</v>
      </c>
    </row>
    <row r="2080" spans="1:1" x14ac:dyDescent="0.25">
      <c r="A2080" t="s">
        <v>10032</v>
      </c>
    </row>
    <row r="2081" spans="1:1" x14ac:dyDescent="0.25">
      <c r="A2081" t="s">
        <v>10033</v>
      </c>
    </row>
    <row r="2082" spans="1:1" x14ac:dyDescent="0.25">
      <c r="A2082" t="s">
        <v>10034</v>
      </c>
    </row>
    <row r="2083" spans="1:1" x14ac:dyDescent="0.25">
      <c r="A2083" t="s">
        <v>10035</v>
      </c>
    </row>
    <row r="2084" spans="1:1" x14ac:dyDescent="0.25">
      <c r="A2084" t="s">
        <v>10036</v>
      </c>
    </row>
    <row r="2085" spans="1:1" x14ac:dyDescent="0.25">
      <c r="A2085" t="s">
        <v>10037</v>
      </c>
    </row>
    <row r="2086" spans="1:1" x14ac:dyDescent="0.25">
      <c r="A2086" t="s">
        <v>10038</v>
      </c>
    </row>
    <row r="2087" spans="1:1" x14ac:dyDescent="0.25">
      <c r="A2087" t="s">
        <v>10039</v>
      </c>
    </row>
    <row r="2088" spans="1:1" x14ac:dyDescent="0.25">
      <c r="A2088" t="s">
        <v>10040</v>
      </c>
    </row>
    <row r="2089" spans="1:1" x14ac:dyDescent="0.25">
      <c r="A2089" t="s">
        <v>10041</v>
      </c>
    </row>
    <row r="2090" spans="1:1" x14ac:dyDescent="0.25">
      <c r="A2090" t="s">
        <v>10042</v>
      </c>
    </row>
    <row r="2091" spans="1:1" x14ac:dyDescent="0.25">
      <c r="A2091" t="s">
        <v>10043</v>
      </c>
    </row>
    <row r="2092" spans="1:1" x14ac:dyDescent="0.25">
      <c r="A2092" t="s">
        <v>10044</v>
      </c>
    </row>
    <row r="2093" spans="1:1" x14ac:dyDescent="0.25">
      <c r="A2093" t="s">
        <v>10045</v>
      </c>
    </row>
    <row r="2094" spans="1:1" x14ac:dyDescent="0.25">
      <c r="A2094" t="s">
        <v>10046</v>
      </c>
    </row>
    <row r="2095" spans="1:1" x14ac:dyDescent="0.25">
      <c r="A2095" t="s">
        <v>10047</v>
      </c>
    </row>
    <row r="2096" spans="1:1" x14ac:dyDescent="0.25">
      <c r="A2096" t="s">
        <v>10048</v>
      </c>
    </row>
    <row r="2097" spans="1:1" x14ac:dyDescent="0.25">
      <c r="A2097" t="s">
        <v>10049</v>
      </c>
    </row>
    <row r="2098" spans="1:1" x14ac:dyDescent="0.25">
      <c r="A2098" t="s">
        <v>10050</v>
      </c>
    </row>
    <row r="2099" spans="1:1" x14ac:dyDescent="0.25">
      <c r="A2099" t="s">
        <v>10051</v>
      </c>
    </row>
    <row r="2100" spans="1:1" x14ac:dyDescent="0.25">
      <c r="A2100" t="s">
        <v>10052</v>
      </c>
    </row>
    <row r="2101" spans="1:1" x14ac:dyDescent="0.25">
      <c r="A2101" t="s">
        <v>10053</v>
      </c>
    </row>
    <row r="2102" spans="1:1" x14ac:dyDescent="0.25">
      <c r="A2102" t="s">
        <v>10054</v>
      </c>
    </row>
    <row r="2103" spans="1:1" x14ac:dyDescent="0.25">
      <c r="A2103" t="s">
        <v>10055</v>
      </c>
    </row>
    <row r="2104" spans="1:1" x14ac:dyDescent="0.25">
      <c r="A2104" t="s">
        <v>10056</v>
      </c>
    </row>
    <row r="2105" spans="1:1" x14ac:dyDescent="0.25">
      <c r="A2105" t="s">
        <v>10057</v>
      </c>
    </row>
    <row r="2106" spans="1:1" x14ac:dyDescent="0.25">
      <c r="A2106" t="s">
        <v>10058</v>
      </c>
    </row>
    <row r="2107" spans="1:1" x14ac:dyDescent="0.25">
      <c r="A2107" t="s">
        <v>10059</v>
      </c>
    </row>
    <row r="2108" spans="1:1" x14ac:dyDescent="0.25">
      <c r="A2108" t="s">
        <v>10060</v>
      </c>
    </row>
    <row r="2109" spans="1:1" x14ac:dyDescent="0.25">
      <c r="A2109" t="s">
        <v>10061</v>
      </c>
    </row>
    <row r="2110" spans="1:1" x14ac:dyDescent="0.25">
      <c r="A2110" t="s">
        <v>10062</v>
      </c>
    </row>
    <row r="2111" spans="1:1" x14ac:dyDescent="0.25">
      <c r="A2111" t="s">
        <v>10063</v>
      </c>
    </row>
    <row r="2112" spans="1:1" x14ac:dyDescent="0.25">
      <c r="A2112" t="s">
        <v>10064</v>
      </c>
    </row>
    <row r="2113" spans="1:1" x14ac:dyDescent="0.25">
      <c r="A2113" t="s">
        <v>10065</v>
      </c>
    </row>
    <row r="2114" spans="1:1" x14ac:dyDescent="0.25">
      <c r="A2114" t="s">
        <v>10066</v>
      </c>
    </row>
    <row r="2115" spans="1:1" x14ac:dyDescent="0.25">
      <c r="A2115" t="s">
        <v>10067</v>
      </c>
    </row>
    <row r="2116" spans="1:1" x14ac:dyDescent="0.25">
      <c r="A2116" t="s">
        <v>10068</v>
      </c>
    </row>
    <row r="2117" spans="1:1" x14ac:dyDescent="0.25">
      <c r="A2117" t="s">
        <v>10069</v>
      </c>
    </row>
    <row r="2118" spans="1:1" x14ac:dyDescent="0.25">
      <c r="A2118" t="s">
        <v>10070</v>
      </c>
    </row>
    <row r="2119" spans="1:1" x14ac:dyDescent="0.25">
      <c r="A2119" t="s">
        <v>10071</v>
      </c>
    </row>
    <row r="2120" spans="1:1" x14ac:dyDescent="0.25">
      <c r="A2120" t="s">
        <v>10072</v>
      </c>
    </row>
    <row r="2121" spans="1:1" x14ac:dyDescent="0.25">
      <c r="A2121" t="s">
        <v>10073</v>
      </c>
    </row>
    <row r="2122" spans="1:1" x14ac:dyDescent="0.25">
      <c r="A2122" t="s">
        <v>10074</v>
      </c>
    </row>
    <row r="2123" spans="1:1" x14ac:dyDescent="0.25">
      <c r="A2123" t="s">
        <v>10075</v>
      </c>
    </row>
    <row r="2124" spans="1:1" x14ac:dyDescent="0.25">
      <c r="A2124" t="s">
        <v>10076</v>
      </c>
    </row>
    <row r="2125" spans="1:1" x14ac:dyDescent="0.25">
      <c r="A2125" t="s">
        <v>10077</v>
      </c>
    </row>
    <row r="2126" spans="1:1" x14ac:dyDescent="0.25">
      <c r="A2126" t="s">
        <v>10078</v>
      </c>
    </row>
    <row r="2127" spans="1:1" x14ac:dyDescent="0.25">
      <c r="A2127" t="s">
        <v>10079</v>
      </c>
    </row>
    <row r="2128" spans="1:1" x14ac:dyDescent="0.25">
      <c r="A2128" t="s">
        <v>10080</v>
      </c>
    </row>
    <row r="2129" spans="1:1" x14ac:dyDescent="0.25">
      <c r="A2129" t="s">
        <v>10081</v>
      </c>
    </row>
    <row r="2130" spans="1:1" x14ac:dyDescent="0.25">
      <c r="A2130" t="s">
        <v>10082</v>
      </c>
    </row>
    <row r="2131" spans="1:1" x14ac:dyDescent="0.25">
      <c r="A2131" t="s">
        <v>10083</v>
      </c>
    </row>
    <row r="2132" spans="1:1" x14ac:dyDescent="0.25">
      <c r="A2132" t="s">
        <v>10084</v>
      </c>
    </row>
    <row r="2133" spans="1:1" x14ac:dyDescent="0.25">
      <c r="A2133" t="s">
        <v>10085</v>
      </c>
    </row>
    <row r="2134" spans="1:1" x14ac:dyDescent="0.25">
      <c r="A2134" t="s">
        <v>10086</v>
      </c>
    </row>
    <row r="2135" spans="1:1" x14ac:dyDescent="0.25">
      <c r="A2135" t="s">
        <v>10087</v>
      </c>
    </row>
    <row r="2136" spans="1:1" x14ac:dyDescent="0.25">
      <c r="A2136" t="s">
        <v>10088</v>
      </c>
    </row>
    <row r="2137" spans="1:1" x14ac:dyDescent="0.25">
      <c r="A2137" t="s">
        <v>10089</v>
      </c>
    </row>
    <row r="2138" spans="1:1" x14ac:dyDescent="0.25">
      <c r="A2138" t="s">
        <v>10090</v>
      </c>
    </row>
    <row r="2139" spans="1:1" x14ac:dyDescent="0.25">
      <c r="A2139" t="s">
        <v>10091</v>
      </c>
    </row>
    <row r="2140" spans="1:1" x14ac:dyDescent="0.25">
      <c r="A2140" t="s">
        <v>10092</v>
      </c>
    </row>
    <row r="2141" spans="1:1" x14ac:dyDescent="0.25">
      <c r="A2141" t="s">
        <v>10093</v>
      </c>
    </row>
    <row r="2142" spans="1:1" x14ac:dyDescent="0.25">
      <c r="A2142" t="s">
        <v>10094</v>
      </c>
    </row>
    <row r="2143" spans="1:1" x14ac:dyDescent="0.25">
      <c r="A2143" t="s">
        <v>10095</v>
      </c>
    </row>
    <row r="2144" spans="1:1" x14ac:dyDescent="0.25">
      <c r="A2144" t="s">
        <v>10096</v>
      </c>
    </row>
    <row r="2145" spans="1:1" x14ac:dyDescent="0.25">
      <c r="A2145" t="s">
        <v>10097</v>
      </c>
    </row>
    <row r="2146" spans="1:1" x14ac:dyDescent="0.25">
      <c r="A2146" t="s">
        <v>10098</v>
      </c>
    </row>
    <row r="2147" spans="1:1" x14ac:dyDescent="0.25">
      <c r="A2147" t="s">
        <v>10099</v>
      </c>
    </row>
    <row r="2148" spans="1:1" x14ac:dyDescent="0.25">
      <c r="A2148" t="s">
        <v>10100</v>
      </c>
    </row>
    <row r="2149" spans="1:1" x14ac:dyDescent="0.25">
      <c r="A2149" t="s">
        <v>10101</v>
      </c>
    </row>
    <row r="2150" spans="1:1" x14ac:dyDescent="0.25">
      <c r="A2150" t="s">
        <v>10102</v>
      </c>
    </row>
    <row r="2151" spans="1:1" x14ac:dyDescent="0.25">
      <c r="A2151" t="s">
        <v>10103</v>
      </c>
    </row>
    <row r="2152" spans="1:1" x14ac:dyDescent="0.25">
      <c r="A2152" t="s">
        <v>10104</v>
      </c>
    </row>
    <row r="2153" spans="1:1" x14ac:dyDescent="0.25">
      <c r="A2153" t="s">
        <v>10105</v>
      </c>
    </row>
    <row r="2154" spans="1:1" x14ac:dyDescent="0.25">
      <c r="A2154" t="s">
        <v>10106</v>
      </c>
    </row>
    <row r="2155" spans="1:1" x14ac:dyDescent="0.25">
      <c r="A2155" t="s">
        <v>10107</v>
      </c>
    </row>
    <row r="2156" spans="1:1" x14ac:dyDescent="0.25">
      <c r="A2156" t="s">
        <v>10108</v>
      </c>
    </row>
    <row r="2157" spans="1:1" x14ac:dyDescent="0.25">
      <c r="A2157" t="s">
        <v>10109</v>
      </c>
    </row>
    <row r="2158" spans="1:1" x14ac:dyDescent="0.25">
      <c r="A2158" t="s">
        <v>10110</v>
      </c>
    </row>
    <row r="2159" spans="1:1" x14ac:dyDescent="0.25">
      <c r="A2159" t="s">
        <v>10111</v>
      </c>
    </row>
    <row r="2160" spans="1:1" x14ac:dyDescent="0.25">
      <c r="A2160" t="s">
        <v>10112</v>
      </c>
    </row>
    <row r="2161" spans="1:1" x14ac:dyDescent="0.25">
      <c r="A2161" t="s">
        <v>10113</v>
      </c>
    </row>
    <row r="2162" spans="1:1" x14ac:dyDescent="0.25">
      <c r="A2162" t="s">
        <v>10114</v>
      </c>
    </row>
    <row r="2163" spans="1:1" x14ac:dyDescent="0.25">
      <c r="A2163" t="s">
        <v>10115</v>
      </c>
    </row>
    <row r="2164" spans="1:1" x14ac:dyDescent="0.25">
      <c r="A2164" t="s">
        <v>10116</v>
      </c>
    </row>
    <row r="2165" spans="1:1" x14ac:dyDescent="0.25">
      <c r="A2165" t="s">
        <v>10117</v>
      </c>
    </row>
    <row r="2166" spans="1:1" x14ac:dyDescent="0.25">
      <c r="A2166" t="s">
        <v>10118</v>
      </c>
    </row>
    <row r="2167" spans="1:1" x14ac:dyDescent="0.25">
      <c r="A2167" t="s">
        <v>10119</v>
      </c>
    </row>
    <row r="2168" spans="1:1" x14ac:dyDescent="0.25">
      <c r="A2168" t="s">
        <v>10120</v>
      </c>
    </row>
    <row r="2169" spans="1:1" x14ac:dyDescent="0.25">
      <c r="A2169" t="s">
        <v>10121</v>
      </c>
    </row>
    <row r="2170" spans="1:1" x14ac:dyDescent="0.25">
      <c r="A2170" t="s">
        <v>10122</v>
      </c>
    </row>
    <row r="2171" spans="1:1" x14ac:dyDescent="0.25">
      <c r="A2171" t="s">
        <v>10123</v>
      </c>
    </row>
    <row r="2172" spans="1:1" x14ac:dyDescent="0.25">
      <c r="A2172" t="s">
        <v>10124</v>
      </c>
    </row>
    <row r="2173" spans="1:1" x14ac:dyDescent="0.25">
      <c r="A2173" t="s">
        <v>10125</v>
      </c>
    </row>
    <row r="2174" spans="1:1" x14ac:dyDescent="0.25">
      <c r="A2174" t="s">
        <v>10126</v>
      </c>
    </row>
    <row r="2175" spans="1:1" x14ac:dyDescent="0.25">
      <c r="A2175" t="s">
        <v>10127</v>
      </c>
    </row>
    <row r="2176" spans="1:1" x14ac:dyDescent="0.25">
      <c r="A2176" t="s">
        <v>10128</v>
      </c>
    </row>
    <row r="2177" spans="1:1" x14ac:dyDescent="0.25">
      <c r="A2177" t="s">
        <v>10129</v>
      </c>
    </row>
    <row r="2178" spans="1:1" x14ac:dyDescent="0.25">
      <c r="A2178" t="s">
        <v>10130</v>
      </c>
    </row>
    <row r="2179" spans="1:1" x14ac:dyDescent="0.25">
      <c r="A2179" t="s">
        <v>10131</v>
      </c>
    </row>
    <row r="2180" spans="1:1" x14ac:dyDescent="0.25">
      <c r="A2180" t="s">
        <v>10132</v>
      </c>
    </row>
    <row r="2181" spans="1:1" x14ac:dyDescent="0.25">
      <c r="A2181" t="s">
        <v>10133</v>
      </c>
    </row>
    <row r="2182" spans="1:1" x14ac:dyDescent="0.25">
      <c r="A2182" t="s">
        <v>10134</v>
      </c>
    </row>
    <row r="2183" spans="1:1" x14ac:dyDescent="0.25">
      <c r="A2183" t="s">
        <v>10135</v>
      </c>
    </row>
    <row r="2184" spans="1:1" x14ac:dyDescent="0.25">
      <c r="A2184" t="s">
        <v>10136</v>
      </c>
    </row>
    <row r="2185" spans="1:1" x14ac:dyDescent="0.25">
      <c r="A2185" t="s">
        <v>10137</v>
      </c>
    </row>
    <row r="2186" spans="1:1" x14ac:dyDescent="0.25">
      <c r="A2186" t="s">
        <v>10138</v>
      </c>
    </row>
    <row r="2187" spans="1:1" x14ac:dyDescent="0.25">
      <c r="A2187" t="s">
        <v>10139</v>
      </c>
    </row>
    <row r="2188" spans="1:1" x14ac:dyDescent="0.25">
      <c r="A2188" t="s">
        <v>10140</v>
      </c>
    </row>
    <row r="2189" spans="1:1" x14ac:dyDescent="0.25">
      <c r="A2189" t="s">
        <v>10141</v>
      </c>
    </row>
    <row r="2190" spans="1:1" x14ac:dyDescent="0.25">
      <c r="A2190" t="s">
        <v>10142</v>
      </c>
    </row>
    <row r="2191" spans="1:1" x14ac:dyDescent="0.25">
      <c r="A2191" t="s">
        <v>10143</v>
      </c>
    </row>
    <row r="2192" spans="1:1" x14ac:dyDescent="0.25">
      <c r="A2192" t="s">
        <v>10144</v>
      </c>
    </row>
    <row r="2193" spans="1:1" x14ac:dyDescent="0.25">
      <c r="A2193" t="s">
        <v>10145</v>
      </c>
    </row>
    <row r="2194" spans="1:1" x14ac:dyDescent="0.25">
      <c r="A2194" t="s">
        <v>10146</v>
      </c>
    </row>
    <row r="2195" spans="1:1" x14ac:dyDescent="0.25">
      <c r="A2195" t="s">
        <v>10147</v>
      </c>
    </row>
    <row r="2196" spans="1:1" x14ac:dyDescent="0.25">
      <c r="A2196" t="s">
        <v>10148</v>
      </c>
    </row>
    <row r="2197" spans="1:1" x14ac:dyDescent="0.25">
      <c r="A2197" t="s">
        <v>10149</v>
      </c>
    </row>
    <row r="2198" spans="1:1" x14ac:dyDescent="0.25">
      <c r="A2198" t="s">
        <v>10150</v>
      </c>
    </row>
    <row r="2199" spans="1:1" x14ac:dyDescent="0.25">
      <c r="A2199" t="s">
        <v>10151</v>
      </c>
    </row>
    <row r="2200" spans="1:1" x14ac:dyDescent="0.25">
      <c r="A2200" t="s">
        <v>10152</v>
      </c>
    </row>
    <row r="2201" spans="1:1" x14ac:dyDescent="0.25">
      <c r="A2201" t="s">
        <v>10153</v>
      </c>
    </row>
    <row r="2202" spans="1:1" x14ac:dyDescent="0.25">
      <c r="A2202" t="s">
        <v>10154</v>
      </c>
    </row>
    <row r="2203" spans="1:1" x14ac:dyDescent="0.25">
      <c r="A2203" t="s">
        <v>10155</v>
      </c>
    </row>
    <row r="2204" spans="1:1" x14ac:dyDescent="0.25">
      <c r="A2204" t="s">
        <v>10156</v>
      </c>
    </row>
    <row r="2205" spans="1:1" x14ac:dyDescent="0.25">
      <c r="A2205" t="s">
        <v>10157</v>
      </c>
    </row>
    <row r="2206" spans="1:1" x14ac:dyDescent="0.25">
      <c r="A2206" t="s">
        <v>10158</v>
      </c>
    </row>
    <row r="2207" spans="1:1" x14ac:dyDescent="0.25">
      <c r="A2207" t="s">
        <v>10159</v>
      </c>
    </row>
    <row r="2208" spans="1:1" x14ac:dyDescent="0.25">
      <c r="A2208" t="s">
        <v>10160</v>
      </c>
    </row>
    <row r="2209" spans="1:1" x14ac:dyDescent="0.25">
      <c r="A2209" t="s">
        <v>10161</v>
      </c>
    </row>
    <row r="2210" spans="1:1" x14ac:dyDescent="0.25">
      <c r="A2210" t="s">
        <v>10162</v>
      </c>
    </row>
    <row r="2211" spans="1:1" x14ac:dyDescent="0.25">
      <c r="A2211" t="s">
        <v>10163</v>
      </c>
    </row>
    <row r="2212" spans="1:1" x14ac:dyDescent="0.25">
      <c r="A2212" t="s">
        <v>10164</v>
      </c>
    </row>
    <row r="2213" spans="1:1" x14ac:dyDescent="0.25">
      <c r="A2213" t="s">
        <v>10165</v>
      </c>
    </row>
    <row r="2214" spans="1:1" x14ac:dyDescent="0.25">
      <c r="A2214" t="s">
        <v>10166</v>
      </c>
    </row>
    <row r="2215" spans="1:1" x14ac:dyDescent="0.25">
      <c r="A2215" t="s">
        <v>10167</v>
      </c>
    </row>
    <row r="2216" spans="1:1" x14ac:dyDescent="0.25">
      <c r="A2216" t="s">
        <v>10168</v>
      </c>
    </row>
    <row r="2217" spans="1:1" x14ac:dyDescent="0.25">
      <c r="A2217" t="s">
        <v>10169</v>
      </c>
    </row>
    <row r="2218" spans="1:1" x14ac:dyDescent="0.25">
      <c r="A2218" t="s">
        <v>10170</v>
      </c>
    </row>
    <row r="2219" spans="1:1" x14ac:dyDescent="0.25">
      <c r="A2219" t="s">
        <v>10171</v>
      </c>
    </row>
    <row r="2220" spans="1:1" x14ac:dyDescent="0.25">
      <c r="A2220" t="s">
        <v>10172</v>
      </c>
    </row>
    <row r="2221" spans="1:1" x14ac:dyDescent="0.25">
      <c r="A2221" t="s">
        <v>10173</v>
      </c>
    </row>
    <row r="2222" spans="1:1" x14ac:dyDescent="0.25">
      <c r="A2222" t="s">
        <v>10174</v>
      </c>
    </row>
    <row r="2223" spans="1:1" x14ac:dyDescent="0.25">
      <c r="A2223" t="s">
        <v>10175</v>
      </c>
    </row>
    <row r="2224" spans="1:1" x14ac:dyDescent="0.25">
      <c r="A2224" t="s">
        <v>10176</v>
      </c>
    </row>
    <row r="2225" spans="1:1" x14ac:dyDescent="0.25">
      <c r="A2225" t="s">
        <v>10177</v>
      </c>
    </row>
    <row r="2226" spans="1:1" x14ac:dyDescent="0.25">
      <c r="A2226" t="s">
        <v>10178</v>
      </c>
    </row>
    <row r="2227" spans="1:1" x14ac:dyDescent="0.25">
      <c r="A2227" t="s">
        <v>10179</v>
      </c>
    </row>
    <row r="2228" spans="1:1" x14ac:dyDescent="0.25">
      <c r="A2228" t="s">
        <v>10180</v>
      </c>
    </row>
    <row r="2229" spans="1:1" x14ac:dyDescent="0.25">
      <c r="A2229" t="s">
        <v>10181</v>
      </c>
    </row>
    <row r="2230" spans="1:1" x14ac:dyDescent="0.25">
      <c r="A2230" t="s">
        <v>10182</v>
      </c>
    </row>
    <row r="2231" spans="1:1" x14ac:dyDescent="0.25">
      <c r="A2231" t="s">
        <v>10183</v>
      </c>
    </row>
    <row r="2232" spans="1:1" x14ac:dyDescent="0.25">
      <c r="A2232" t="s">
        <v>10184</v>
      </c>
    </row>
    <row r="2233" spans="1:1" x14ac:dyDescent="0.25">
      <c r="A2233" t="s">
        <v>10185</v>
      </c>
    </row>
    <row r="2234" spans="1:1" x14ac:dyDescent="0.25">
      <c r="A2234" t="s">
        <v>10186</v>
      </c>
    </row>
    <row r="2235" spans="1:1" x14ac:dyDescent="0.25">
      <c r="A2235" t="s">
        <v>10187</v>
      </c>
    </row>
    <row r="2236" spans="1:1" x14ac:dyDescent="0.25">
      <c r="A2236" t="s">
        <v>10188</v>
      </c>
    </row>
    <row r="2237" spans="1:1" x14ac:dyDescent="0.25">
      <c r="A2237" t="s">
        <v>10189</v>
      </c>
    </row>
    <row r="2238" spans="1:1" x14ac:dyDescent="0.25">
      <c r="A2238" t="s">
        <v>10190</v>
      </c>
    </row>
    <row r="2239" spans="1:1" x14ac:dyDescent="0.25">
      <c r="A2239" t="s">
        <v>10191</v>
      </c>
    </row>
    <row r="2240" spans="1:1" x14ac:dyDescent="0.25">
      <c r="A2240" t="s">
        <v>10192</v>
      </c>
    </row>
    <row r="2241" spans="1:1" x14ac:dyDescent="0.25">
      <c r="A2241" t="s">
        <v>10193</v>
      </c>
    </row>
    <row r="2242" spans="1:1" x14ac:dyDescent="0.25">
      <c r="A2242" t="s">
        <v>10194</v>
      </c>
    </row>
    <row r="2243" spans="1:1" x14ac:dyDescent="0.25">
      <c r="A2243" t="s">
        <v>10195</v>
      </c>
    </row>
    <row r="2244" spans="1:1" x14ac:dyDescent="0.25">
      <c r="A2244" t="s">
        <v>10196</v>
      </c>
    </row>
    <row r="2245" spans="1:1" x14ac:dyDescent="0.25">
      <c r="A2245" t="s">
        <v>10197</v>
      </c>
    </row>
    <row r="2246" spans="1:1" x14ac:dyDescent="0.25">
      <c r="A2246" t="s">
        <v>10198</v>
      </c>
    </row>
    <row r="2247" spans="1:1" x14ac:dyDescent="0.25">
      <c r="A2247" t="s">
        <v>10199</v>
      </c>
    </row>
    <row r="2248" spans="1:1" x14ac:dyDescent="0.25">
      <c r="A2248" t="s">
        <v>10200</v>
      </c>
    </row>
    <row r="2249" spans="1:1" x14ac:dyDescent="0.25">
      <c r="A2249" t="s">
        <v>10201</v>
      </c>
    </row>
    <row r="2250" spans="1:1" x14ac:dyDescent="0.25">
      <c r="A2250" t="s">
        <v>10202</v>
      </c>
    </row>
    <row r="2251" spans="1:1" x14ac:dyDescent="0.25">
      <c r="A2251" t="s">
        <v>10203</v>
      </c>
    </row>
    <row r="2252" spans="1:1" x14ac:dyDescent="0.25">
      <c r="A2252" t="s">
        <v>10204</v>
      </c>
    </row>
    <row r="2253" spans="1:1" x14ac:dyDescent="0.25">
      <c r="A2253" t="s">
        <v>10205</v>
      </c>
    </row>
    <row r="2254" spans="1:1" x14ac:dyDescent="0.25">
      <c r="A2254" t="s">
        <v>10206</v>
      </c>
    </row>
    <row r="2255" spans="1:1" x14ac:dyDescent="0.25">
      <c r="A2255" t="s">
        <v>10207</v>
      </c>
    </row>
    <row r="2256" spans="1:1" x14ac:dyDescent="0.25">
      <c r="A2256" t="s">
        <v>10208</v>
      </c>
    </row>
    <row r="2257" spans="1:1" x14ac:dyDescent="0.25">
      <c r="A2257" t="s">
        <v>10209</v>
      </c>
    </row>
    <row r="2258" spans="1:1" x14ac:dyDescent="0.25">
      <c r="A2258" t="s">
        <v>10210</v>
      </c>
    </row>
    <row r="2259" spans="1:1" x14ac:dyDescent="0.25">
      <c r="A2259" t="s">
        <v>10211</v>
      </c>
    </row>
    <row r="2260" spans="1:1" x14ac:dyDescent="0.25">
      <c r="A2260" t="s">
        <v>10212</v>
      </c>
    </row>
    <row r="2261" spans="1:1" x14ac:dyDescent="0.25">
      <c r="A2261" t="s">
        <v>10213</v>
      </c>
    </row>
    <row r="2262" spans="1:1" x14ac:dyDescent="0.25">
      <c r="A2262" t="s">
        <v>10214</v>
      </c>
    </row>
    <row r="2263" spans="1:1" x14ac:dyDescent="0.25">
      <c r="A2263" t="s">
        <v>10215</v>
      </c>
    </row>
    <row r="2264" spans="1:1" x14ac:dyDescent="0.25">
      <c r="A2264" t="s">
        <v>10216</v>
      </c>
    </row>
    <row r="2265" spans="1:1" x14ac:dyDescent="0.25">
      <c r="A2265" t="s">
        <v>10217</v>
      </c>
    </row>
    <row r="2266" spans="1:1" x14ac:dyDescent="0.25">
      <c r="A2266" t="s">
        <v>10218</v>
      </c>
    </row>
    <row r="2267" spans="1:1" x14ac:dyDescent="0.25">
      <c r="A2267" t="s">
        <v>10219</v>
      </c>
    </row>
    <row r="2268" spans="1:1" x14ac:dyDescent="0.25">
      <c r="A2268" t="s">
        <v>10220</v>
      </c>
    </row>
    <row r="2269" spans="1:1" x14ac:dyDescent="0.25">
      <c r="A2269" t="s">
        <v>10221</v>
      </c>
    </row>
    <row r="2270" spans="1:1" x14ac:dyDescent="0.25">
      <c r="A2270" t="s">
        <v>10222</v>
      </c>
    </row>
    <row r="2271" spans="1:1" x14ac:dyDescent="0.25">
      <c r="A2271" t="s">
        <v>10223</v>
      </c>
    </row>
    <row r="2272" spans="1:1" x14ac:dyDescent="0.25">
      <c r="A2272" t="s">
        <v>10224</v>
      </c>
    </row>
    <row r="2273" spans="1:1" x14ac:dyDescent="0.25">
      <c r="A2273" t="s">
        <v>10225</v>
      </c>
    </row>
    <row r="2274" spans="1:1" x14ac:dyDescent="0.25">
      <c r="A2274" t="s">
        <v>10226</v>
      </c>
    </row>
    <row r="2275" spans="1:1" x14ac:dyDescent="0.25">
      <c r="A2275" t="s">
        <v>10227</v>
      </c>
    </row>
    <row r="2276" spans="1:1" x14ac:dyDescent="0.25">
      <c r="A2276" t="s">
        <v>10228</v>
      </c>
    </row>
    <row r="2277" spans="1:1" x14ac:dyDescent="0.25">
      <c r="A2277" t="s">
        <v>10229</v>
      </c>
    </row>
    <row r="2278" spans="1:1" x14ac:dyDescent="0.25">
      <c r="A2278" t="s">
        <v>10230</v>
      </c>
    </row>
    <row r="2279" spans="1:1" x14ac:dyDescent="0.25">
      <c r="A2279" t="s">
        <v>10231</v>
      </c>
    </row>
    <row r="2280" spans="1:1" x14ac:dyDescent="0.25">
      <c r="A2280" t="s">
        <v>10232</v>
      </c>
    </row>
    <row r="2281" spans="1:1" x14ac:dyDescent="0.25">
      <c r="A2281" t="s">
        <v>10233</v>
      </c>
    </row>
    <row r="2282" spans="1:1" x14ac:dyDescent="0.25">
      <c r="A2282" t="s">
        <v>10234</v>
      </c>
    </row>
    <row r="2283" spans="1:1" x14ac:dyDescent="0.25">
      <c r="A2283" t="s">
        <v>10235</v>
      </c>
    </row>
    <row r="2284" spans="1:1" x14ac:dyDescent="0.25">
      <c r="A2284" t="s">
        <v>10236</v>
      </c>
    </row>
    <row r="2285" spans="1:1" x14ac:dyDescent="0.25">
      <c r="A2285" t="s">
        <v>10237</v>
      </c>
    </row>
    <row r="2286" spans="1:1" x14ac:dyDescent="0.25">
      <c r="A2286" t="s">
        <v>10238</v>
      </c>
    </row>
    <row r="2287" spans="1:1" x14ac:dyDescent="0.25">
      <c r="A2287" t="s">
        <v>10239</v>
      </c>
    </row>
    <row r="2288" spans="1:1" x14ac:dyDescent="0.25">
      <c r="A2288" t="s">
        <v>10240</v>
      </c>
    </row>
    <row r="2289" spans="1:1" x14ac:dyDescent="0.25">
      <c r="A2289" t="s">
        <v>10241</v>
      </c>
    </row>
    <row r="2290" spans="1:1" x14ac:dyDescent="0.25">
      <c r="A2290" t="s">
        <v>10242</v>
      </c>
    </row>
    <row r="2291" spans="1:1" x14ac:dyDescent="0.25">
      <c r="A2291" t="s">
        <v>10243</v>
      </c>
    </row>
    <row r="2292" spans="1:1" x14ac:dyDescent="0.25">
      <c r="A2292" t="s">
        <v>10244</v>
      </c>
    </row>
    <row r="2293" spans="1:1" x14ac:dyDescent="0.25">
      <c r="A2293" t="s">
        <v>10245</v>
      </c>
    </row>
    <row r="2294" spans="1:1" x14ac:dyDescent="0.25">
      <c r="A2294" t="s">
        <v>10246</v>
      </c>
    </row>
    <row r="2295" spans="1:1" x14ac:dyDescent="0.25">
      <c r="A2295" t="s">
        <v>10247</v>
      </c>
    </row>
    <row r="2296" spans="1:1" x14ac:dyDescent="0.25">
      <c r="A2296" t="s">
        <v>10248</v>
      </c>
    </row>
    <row r="2297" spans="1:1" x14ac:dyDescent="0.25">
      <c r="A2297" t="s">
        <v>10249</v>
      </c>
    </row>
    <row r="2298" spans="1:1" x14ac:dyDescent="0.25">
      <c r="A2298" t="s">
        <v>10250</v>
      </c>
    </row>
    <row r="2299" spans="1:1" x14ac:dyDescent="0.25">
      <c r="A2299" t="s">
        <v>10251</v>
      </c>
    </row>
    <row r="2300" spans="1:1" x14ac:dyDescent="0.25">
      <c r="A2300" t="s">
        <v>10252</v>
      </c>
    </row>
    <row r="2301" spans="1:1" x14ac:dyDescent="0.25">
      <c r="A2301" t="s">
        <v>10253</v>
      </c>
    </row>
    <row r="2302" spans="1:1" x14ac:dyDescent="0.25">
      <c r="A2302" t="s">
        <v>10254</v>
      </c>
    </row>
    <row r="2303" spans="1:1" x14ac:dyDescent="0.25">
      <c r="A2303" t="s">
        <v>10255</v>
      </c>
    </row>
    <row r="2304" spans="1:1" x14ac:dyDescent="0.25">
      <c r="A2304" t="s">
        <v>10256</v>
      </c>
    </row>
    <row r="2305" spans="1:1" x14ac:dyDescent="0.25">
      <c r="A2305" t="s">
        <v>10257</v>
      </c>
    </row>
    <row r="2306" spans="1:1" x14ac:dyDescent="0.25">
      <c r="A2306" t="s">
        <v>10258</v>
      </c>
    </row>
    <row r="2307" spans="1:1" x14ac:dyDescent="0.25">
      <c r="A2307" t="s">
        <v>10259</v>
      </c>
    </row>
    <row r="2308" spans="1:1" x14ac:dyDescent="0.25">
      <c r="A2308" t="s">
        <v>10260</v>
      </c>
    </row>
    <row r="2309" spans="1:1" x14ac:dyDescent="0.25">
      <c r="A2309" t="s">
        <v>10261</v>
      </c>
    </row>
    <row r="2310" spans="1:1" x14ac:dyDescent="0.25">
      <c r="A2310" t="s">
        <v>10262</v>
      </c>
    </row>
    <row r="2311" spans="1:1" x14ac:dyDescent="0.25">
      <c r="A2311" t="s">
        <v>10263</v>
      </c>
    </row>
    <row r="2312" spans="1:1" x14ac:dyDescent="0.25">
      <c r="A2312" t="s">
        <v>10264</v>
      </c>
    </row>
    <row r="2313" spans="1:1" x14ac:dyDescent="0.25">
      <c r="A2313" t="s">
        <v>10265</v>
      </c>
    </row>
    <row r="2314" spans="1:1" x14ac:dyDescent="0.25">
      <c r="A2314" t="s">
        <v>10266</v>
      </c>
    </row>
    <row r="2315" spans="1:1" x14ac:dyDescent="0.25">
      <c r="A2315" t="s">
        <v>10267</v>
      </c>
    </row>
    <row r="2316" spans="1:1" x14ac:dyDescent="0.25">
      <c r="A2316" t="s">
        <v>10268</v>
      </c>
    </row>
    <row r="2317" spans="1:1" x14ac:dyDescent="0.25">
      <c r="A2317" t="s">
        <v>10269</v>
      </c>
    </row>
    <row r="2318" spans="1:1" x14ac:dyDescent="0.25">
      <c r="A2318" t="s">
        <v>10270</v>
      </c>
    </row>
    <row r="2319" spans="1:1" x14ac:dyDescent="0.25">
      <c r="A2319" t="s">
        <v>10271</v>
      </c>
    </row>
    <row r="2320" spans="1:1" x14ac:dyDescent="0.25">
      <c r="A2320" t="s">
        <v>10272</v>
      </c>
    </row>
    <row r="2321" spans="1:1" x14ac:dyDescent="0.25">
      <c r="A2321" t="s">
        <v>10273</v>
      </c>
    </row>
    <row r="2322" spans="1:1" x14ac:dyDescent="0.25">
      <c r="A2322" t="s">
        <v>10274</v>
      </c>
    </row>
    <row r="2323" spans="1:1" x14ac:dyDescent="0.25">
      <c r="A2323" t="s">
        <v>10275</v>
      </c>
    </row>
    <row r="2324" spans="1:1" x14ac:dyDescent="0.25">
      <c r="A2324" t="s">
        <v>10276</v>
      </c>
    </row>
    <row r="2325" spans="1:1" x14ac:dyDescent="0.25">
      <c r="A2325" t="s">
        <v>10277</v>
      </c>
    </row>
    <row r="2326" spans="1:1" x14ac:dyDescent="0.25">
      <c r="A2326" t="s">
        <v>10278</v>
      </c>
    </row>
    <row r="2327" spans="1:1" x14ac:dyDescent="0.25">
      <c r="A2327" t="s">
        <v>10279</v>
      </c>
    </row>
    <row r="2328" spans="1:1" x14ac:dyDescent="0.25">
      <c r="A2328" t="s">
        <v>10280</v>
      </c>
    </row>
    <row r="2329" spans="1:1" x14ac:dyDescent="0.25">
      <c r="A2329" t="s">
        <v>10281</v>
      </c>
    </row>
    <row r="2330" spans="1:1" x14ac:dyDescent="0.25">
      <c r="A2330" t="s">
        <v>10282</v>
      </c>
    </row>
    <row r="2331" spans="1:1" x14ac:dyDescent="0.25">
      <c r="A2331" t="s">
        <v>10283</v>
      </c>
    </row>
    <row r="2332" spans="1:1" x14ac:dyDescent="0.25">
      <c r="A2332" t="s">
        <v>10284</v>
      </c>
    </row>
    <row r="2333" spans="1:1" x14ac:dyDescent="0.25">
      <c r="A2333" t="s">
        <v>10285</v>
      </c>
    </row>
    <row r="2334" spans="1:1" x14ac:dyDescent="0.25">
      <c r="A2334" t="s">
        <v>10286</v>
      </c>
    </row>
    <row r="2335" spans="1:1" x14ac:dyDescent="0.25">
      <c r="A2335" t="s">
        <v>10287</v>
      </c>
    </row>
    <row r="2336" spans="1:1" x14ac:dyDescent="0.25">
      <c r="A2336" t="s">
        <v>10288</v>
      </c>
    </row>
    <row r="2337" spans="1:1" x14ac:dyDescent="0.25">
      <c r="A2337" t="s">
        <v>10289</v>
      </c>
    </row>
    <row r="2338" spans="1:1" x14ac:dyDescent="0.25">
      <c r="A2338" t="s">
        <v>10290</v>
      </c>
    </row>
    <row r="2339" spans="1:1" x14ac:dyDescent="0.25">
      <c r="A2339" t="s">
        <v>10291</v>
      </c>
    </row>
    <row r="2340" spans="1:1" x14ac:dyDescent="0.25">
      <c r="A2340" t="s">
        <v>10292</v>
      </c>
    </row>
    <row r="2341" spans="1:1" x14ac:dyDescent="0.25">
      <c r="A2341" t="s">
        <v>10293</v>
      </c>
    </row>
    <row r="2342" spans="1:1" x14ac:dyDescent="0.25">
      <c r="A2342" t="s">
        <v>10294</v>
      </c>
    </row>
    <row r="2343" spans="1:1" x14ac:dyDescent="0.25">
      <c r="A2343" t="s">
        <v>10295</v>
      </c>
    </row>
    <row r="2344" spans="1:1" x14ac:dyDescent="0.25">
      <c r="A2344" t="s">
        <v>10296</v>
      </c>
    </row>
    <row r="2345" spans="1:1" x14ac:dyDescent="0.25">
      <c r="A2345" t="s">
        <v>10297</v>
      </c>
    </row>
    <row r="2346" spans="1:1" x14ac:dyDescent="0.25">
      <c r="A2346" t="s">
        <v>10298</v>
      </c>
    </row>
    <row r="2347" spans="1:1" x14ac:dyDescent="0.25">
      <c r="A2347" t="s">
        <v>10299</v>
      </c>
    </row>
    <row r="2348" spans="1:1" x14ac:dyDescent="0.25">
      <c r="A2348" t="s">
        <v>10300</v>
      </c>
    </row>
    <row r="2349" spans="1:1" x14ac:dyDescent="0.25">
      <c r="A2349" t="s">
        <v>10301</v>
      </c>
    </row>
    <row r="2350" spans="1:1" x14ac:dyDescent="0.25">
      <c r="A2350" t="s">
        <v>10302</v>
      </c>
    </row>
    <row r="2351" spans="1:1" x14ac:dyDescent="0.25">
      <c r="A2351" t="s">
        <v>10303</v>
      </c>
    </row>
    <row r="2352" spans="1:1" x14ac:dyDescent="0.25">
      <c r="A2352" t="s">
        <v>10304</v>
      </c>
    </row>
    <row r="2353" spans="1:1" x14ac:dyDescent="0.25">
      <c r="A2353" t="s">
        <v>10305</v>
      </c>
    </row>
    <row r="2354" spans="1:1" x14ac:dyDescent="0.25">
      <c r="A2354" t="s">
        <v>10306</v>
      </c>
    </row>
    <row r="2355" spans="1:1" x14ac:dyDescent="0.25">
      <c r="A2355" t="s">
        <v>10307</v>
      </c>
    </row>
    <row r="2356" spans="1:1" x14ac:dyDescent="0.25">
      <c r="A2356" t="s">
        <v>10308</v>
      </c>
    </row>
    <row r="2357" spans="1:1" x14ac:dyDescent="0.25">
      <c r="A2357" t="s">
        <v>10309</v>
      </c>
    </row>
    <row r="2358" spans="1:1" x14ac:dyDescent="0.25">
      <c r="A2358" t="s">
        <v>10310</v>
      </c>
    </row>
    <row r="2359" spans="1:1" x14ac:dyDescent="0.25">
      <c r="A2359" t="s">
        <v>10311</v>
      </c>
    </row>
    <row r="2360" spans="1:1" x14ac:dyDescent="0.25">
      <c r="A2360" t="s">
        <v>10312</v>
      </c>
    </row>
    <row r="2361" spans="1:1" x14ac:dyDescent="0.25">
      <c r="A2361" t="s">
        <v>10313</v>
      </c>
    </row>
    <row r="2362" spans="1:1" x14ac:dyDescent="0.25">
      <c r="A2362" t="s">
        <v>10314</v>
      </c>
    </row>
    <row r="2363" spans="1:1" x14ac:dyDescent="0.25">
      <c r="A2363" t="s">
        <v>10315</v>
      </c>
    </row>
    <row r="2364" spans="1:1" x14ac:dyDescent="0.25">
      <c r="A2364" t="s">
        <v>10316</v>
      </c>
    </row>
    <row r="2365" spans="1:1" x14ac:dyDescent="0.25">
      <c r="A2365" t="s">
        <v>10317</v>
      </c>
    </row>
    <row r="2366" spans="1:1" x14ac:dyDescent="0.25">
      <c r="A2366" t="s">
        <v>10318</v>
      </c>
    </row>
    <row r="2367" spans="1:1" x14ac:dyDescent="0.25">
      <c r="A2367" t="s">
        <v>10319</v>
      </c>
    </row>
    <row r="2368" spans="1:1" x14ac:dyDescent="0.25">
      <c r="A2368" t="s">
        <v>10320</v>
      </c>
    </row>
    <row r="2369" spans="1:1" x14ac:dyDescent="0.25">
      <c r="A2369" t="s">
        <v>10321</v>
      </c>
    </row>
    <row r="2370" spans="1:1" x14ac:dyDescent="0.25">
      <c r="A2370" t="s">
        <v>10322</v>
      </c>
    </row>
    <row r="2371" spans="1:1" x14ac:dyDescent="0.25">
      <c r="A2371" t="s">
        <v>10323</v>
      </c>
    </row>
    <row r="2372" spans="1:1" x14ac:dyDescent="0.25">
      <c r="A2372" t="s">
        <v>10324</v>
      </c>
    </row>
    <row r="2373" spans="1:1" x14ac:dyDescent="0.25">
      <c r="A2373" t="s">
        <v>10325</v>
      </c>
    </row>
    <row r="2374" spans="1:1" x14ac:dyDescent="0.25">
      <c r="A2374" t="s">
        <v>10326</v>
      </c>
    </row>
    <row r="2375" spans="1:1" x14ac:dyDescent="0.25">
      <c r="A2375" t="s">
        <v>10327</v>
      </c>
    </row>
    <row r="2376" spans="1:1" x14ac:dyDescent="0.25">
      <c r="A2376" t="s">
        <v>10328</v>
      </c>
    </row>
    <row r="2377" spans="1:1" x14ac:dyDescent="0.25">
      <c r="A2377" t="s">
        <v>10329</v>
      </c>
    </row>
    <row r="2378" spans="1:1" x14ac:dyDescent="0.25">
      <c r="A2378" t="s">
        <v>10330</v>
      </c>
    </row>
    <row r="2379" spans="1:1" x14ac:dyDescent="0.25">
      <c r="A2379" t="s">
        <v>10331</v>
      </c>
    </row>
    <row r="2380" spans="1:1" x14ac:dyDescent="0.25">
      <c r="A2380" t="s">
        <v>10332</v>
      </c>
    </row>
    <row r="2381" spans="1:1" x14ac:dyDescent="0.25">
      <c r="A2381" t="s">
        <v>10333</v>
      </c>
    </row>
    <row r="2382" spans="1:1" x14ac:dyDescent="0.25">
      <c r="A2382" t="s">
        <v>10334</v>
      </c>
    </row>
    <row r="2383" spans="1:1" x14ac:dyDescent="0.25">
      <c r="A2383" t="s">
        <v>10335</v>
      </c>
    </row>
    <row r="2384" spans="1:1" x14ac:dyDescent="0.25">
      <c r="A2384" t="s">
        <v>10336</v>
      </c>
    </row>
    <row r="2385" spans="1:1" x14ac:dyDescent="0.25">
      <c r="A2385" t="s">
        <v>10337</v>
      </c>
    </row>
    <row r="2386" spans="1:1" x14ac:dyDescent="0.25">
      <c r="A2386" t="s">
        <v>10338</v>
      </c>
    </row>
    <row r="2387" spans="1:1" x14ac:dyDescent="0.25">
      <c r="A2387" t="s">
        <v>10339</v>
      </c>
    </row>
    <row r="2388" spans="1:1" x14ac:dyDescent="0.25">
      <c r="A2388" t="s">
        <v>10340</v>
      </c>
    </row>
    <row r="2389" spans="1:1" x14ac:dyDescent="0.25">
      <c r="A2389" t="s">
        <v>10341</v>
      </c>
    </row>
    <row r="2390" spans="1:1" x14ac:dyDescent="0.25">
      <c r="A2390" t="s">
        <v>10342</v>
      </c>
    </row>
    <row r="2391" spans="1:1" x14ac:dyDescent="0.25">
      <c r="A2391" t="s">
        <v>10343</v>
      </c>
    </row>
    <row r="2392" spans="1:1" x14ac:dyDescent="0.25">
      <c r="A2392" t="s">
        <v>10344</v>
      </c>
    </row>
    <row r="2393" spans="1:1" x14ac:dyDescent="0.25">
      <c r="A2393" t="s">
        <v>10345</v>
      </c>
    </row>
    <row r="2394" spans="1:1" x14ac:dyDescent="0.25">
      <c r="A2394" t="s">
        <v>10346</v>
      </c>
    </row>
    <row r="2395" spans="1:1" x14ac:dyDescent="0.25">
      <c r="A2395" t="s">
        <v>10347</v>
      </c>
    </row>
    <row r="2396" spans="1:1" x14ac:dyDescent="0.25">
      <c r="A2396" t="s">
        <v>10348</v>
      </c>
    </row>
    <row r="2397" spans="1:1" x14ac:dyDescent="0.25">
      <c r="A2397" t="s">
        <v>10349</v>
      </c>
    </row>
    <row r="2398" spans="1:1" x14ac:dyDescent="0.25">
      <c r="A2398" t="s">
        <v>10350</v>
      </c>
    </row>
    <row r="2399" spans="1:1" x14ac:dyDescent="0.25">
      <c r="A2399" t="s">
        <v>10351</v>
      </c>
    </row>
    <row r="2400" spans="1:1" x14ac:dyDescent="0.25">
      <c r="A2400" t="s">
        <v>10352</v>
      </c>
    </row>
    <row r="2401" spans="1:1" x14ac:dyDescent="0.25">
      <c r="A2401" t="s">
        <v>10353</v>
      </c>
    </row>
    <row r="2402" spans="1:1" x14ac:dyDescent="0.25">
      <c r="A2402" t="s">
        <v>10354</v>
      </c>
    </row>
    <row r="2403" spans="1:1" x14ac:dyDescent="0.25">
      <c r="A2403" t="s">
        <v>10355</v>
      </c>
    </row>
    <row r="2404" spans="1:1" x14ac:dyDescent="0.25">
      <c r="A2404" t="s">
        <v>10356</v>
      </c>
    </row>
    <row r="2405" spans="1:1" x14ac:dyDescent="0.25">
      <c r="A2405" t="s">
        <v>10357</v>
      </c>
    </row>
    <row r="2406" spans="1:1" x14ac:dyDescent="0.25">
      <c r="A2406" t="s">
        <v>10358</v>
      </c>
    </row>
    <row r="2407" spans="1:1" x14ac:dyDescent="0.25">
      <c r="A2407" t="s">
        <v>10359</v>
      </c>
    </row>
    <row r="2408" spans="1:1" x14ac:dyDescent="0.25">
      <c r="A2408" t="s">
        <v>10360</v>
      </c>
    </row>
    <row r="2409" spans="1:1" x14ac:dyDescent="0.25">
      <c r="A2409" t="s">
        <v>10361</v>
      </c>
    </row>
    <row r="2410" spans="1:1" x14ac:dyDescent="0.25">
      <c r="A2410" t="s">
        <v>1184</v>
      </c>
    </row>
    <row r="2411" spans="1:1" x14ac:dyDescent="0.25">
      <c r="A2411" t="s">
        <v>2146</v>
      </c>
    </row>
    <row r="2412" spans="1:1" x14ac:dyDescent="0.25">
      <c r="A2412" t="s">
        <v>2147</v>
      </c>
    </row>
    <row r="2413" spans="1:1" x14ac:dyDescent="0.25">
      <c r="A2413" t="s">
        <v>2148</v>
      </c>
    </row>
    <row r="2414" spans="1:1" x14ac:dyDescent="0.25">
      <c r="A2414" t="s">
        <v>2149</v>
      </c>
    </row>
    <row r="2415" spans="1:1" x14ac:dyDescent="0.25">
      <c r="A2415" t="s">
        <v>2150</v>
      </c>
    </row>
    <row r="2416" spans="1:1" x14ac:dyDescent="0.25">
      <c r="A2416" t="s">
        <v>2151</v>
      </c>
    </row>
    <row r="2417" spans="1:1" x14ac:dyDescent="0.25">
      <c r="A2417" t="s">
        <v>2152</v>
      </c>
    </row>
    <row r="2418" spans="1:1" x14ac:dyDescent="0.25">
      <c r="A2418" t="s">
        <v>2153</v>
      </c>
    </row>
    <row r="2419" spans="1:1" x14ac:dyDescent="0.25">
      <c r="A2419" t="s">
        <v>2154</v>
      </c>
    </row>
    <row r="2420" spans="1:1" x14ac:dyDescent="0.25">
      <c r="A2420" t="s">
        <v>2155</v>
      </c>
    </row>
    <row r="2421" spans="1:1" x14ac:dyDescent="0.25">
      <c r="A2421" t="s">
        <v>2156</v>
      </c>
    </row>
    <row r="2422" spans="1:1" x14ac:dyDescent="0.25">
      <c r="A2422" t="s">
        <v>2157</v>
      </c>
    </row>
    <row r="2423" spans="1:1" x14ac:dyDescent="0.25">
      <c r="A2423" t="s">
        <v>2158</v>
      </c>
    </row>
    <row r="2424" spans="1:1" x14ac:dyDescent="0.25">
      <c r="A2424" t="s">
        <v>2159</v>
      </c>
    </row>
    <row r="2425" spans="1:1" x14ac:dyDescent="0.25">
      <c r="A2425" t="s">
        <v>2160</v>
      </c>
    </row>
    <row r="2426" spans="1:1" x14ac:dyDescent="0.25">
      <c r="A2426" t="s">
        <v>2161</v>
      </c>
    </row>
    <row r="2427" spans="1:1" x14ac:dyDescent="0.25">
      <c r="A2427" t="s">
        <v>2162</v>
      </c>
    </row>
    <row r="2428" spans="1:1" x14ac:dyDescent="0.25">
      <c r="A2428" t="s">
        <v>2163</v>
      </c>
    </row>
    <row r="2429" spans="1:1" x14ac:dyDescent="0.25">
      <c r="A2429" t="s">
        <v>2164</v>
      </c>
    </row>
    <row r="2430" spans="1:1" x14ac:dyDescent="0.25">
      <c r="A2430" t="s">
        <v>2165</v>
      </c>
    </row>
    <row r="2431" spans="1:1" x14ac:dyDescent="0.25">
      <c r="A2431" t="s">
        <v>2166</v>
      </c>
    </row>
    <row r="2432" spans="1:1" x14ac:dyDescent="0.25">
      <c r="A2432" t="s">
        <v>2167</v>
      </c>
    </row>
    <row r="2433" spans="1:1" x14ac:dyDescent="0.25">
      <c r="A2433" t="s">
        <v>2168</v>
      </c>
    </row>
    <row r="2434" spans="1:1" x14ac:dyDescent="0.25">
      <c r="A2434" t="s">
        <v>2169</v>
      </c>
    </row>
    <row r="2435" spans="1:1" x14ac:dyDescent="0.25">
      <c r="A2435" t="s">
        <v>2170</v>
      </c>
    </row>
    <row r="2436" spans="1:1" x14ac:dyDescent="0.25">
      <c r="A2436" t="s">
        <v>2171</v>
      </c>
    </row>
    <row r="2437" spans="1:1" x14ac:dyDescent="0.25">
      <c r="A2437" t="s">
        <v>2172</v>
      </c>
    </row>
    <row r="2438" spans="1:1" x14ac:dyDescent="0.25">
      <c r="A2438" t="s">
        <v>2173</v>
      </c>
    </row>
    <row r="2439" spans="1:1" x14ac:dyDescent="0.25">
      <c r="A2439" t="s">
        <v>2174</v>
      </c>
    </row>
    <row r="2440" spans="1:1" x14ac:dyDescent="0.25">
      <c r="A2440" t="s">
        <v>2175</v>
      </c>
    </row>
    <row r="2441" spans="1:1" x14ac:dyDescent="0.25">
      <c r="A2441" t="s">
        <v>2176</v>
      </c>
    </row>
    <row r="2442" spans="1:1" x14ac:dyDescent="0.25">
      <c r="A2442" t="s">
        <v>2177</v>
      </c>
    </row>
    <row r="2443" spans="1:1" x14ac:dyDescent="0.25">
      <c r="A2443" t="s">
        <v>2178</v>
      </c>
    </row>
    <row r="2444" spans="1:1" x14ac:dyDescent="0.25">
      <c r="A2444" t="s">
        <v>2179</v>
      </c>
    </row>
    <row r="2445" spans="1:1" x14ac:dyDescent="0.25">
      <c r="A2445" t="s">
        <v>2180</v>
      </c>
    </row>
    <row r="2446" spans="1:1" x14ac:dyDescent="0.25">
      <c r="A2446" t="s">
        <v>2181</v>
      </c>
    </row>
    <row r="2447" spans="1:1" x14ac:dyDescent="0.25">
      <c r="A2447" t="s">
        <v>2182</v>
      </c>
    </row>
    <row r="2448" spans="1:1" x14ac:dyDescent="0.25">
      <c r="A2448" t="s">
        <v>2183</v>
      </c>
    </row>
    <row r="2449" spans="1:1" x14ac:dyDescent="0.25">
      <c r="A2449" t="s">
        <v>2184</v>
      </c>
    </row>
    <row r="2450" spans="1:1" x14ac:dyDescent="0.25">
      <c r="A2450" t="s">
        <v>2185</v>
      </c>
    </row>
    <row r="2451" spans="1:1" x14ac:dyDescent="0.25">
      <c r="A2451" t="s">
        <v>2186</v>
      </c>
    </row>
    <row r="2452" spans="1:1" x14ac:dyDescent="0.25">
      <c r="A2452" t="s">
        <v>2187</v>
      </c>
    </row>
    <row r="2453" spans="1:1" x14ac:dyDescent="0.25">
      <c r="A2453" t="s">
        <v>2188</v>
      </c>
    </row>
    <row r="2454" spans="1:1" x14ac:dyDescent="0.25">
      <c r="A2454" t="s">
        <v>2189</v>
      </c>
    </row>
    <row r="2455" spans="1:1" x14ac:dyDescent="0.25">
      <c r="A2455" t="s">
        <v>2190</v>
      </c>
    </row>
    <row r="2456" spans="1:1" x14ac:dyDescent="0.25">
      <c r="A2456" t="s">
        <v>2191</v>
      </c>
    </row>
    <row r="2457" spans="1:1" x14ac:dyDescent="0.25">
      <c r="A2457" t="s">
        <v>2192</v>
      </c>
    </row>
    <row r="2458" spans="1:1" x14ac:dyDescent="0.25">
      <c r="A2458" t="s">
        <v>2193</v>
      </c>
    </row>
    <row r="2459" spans="1:1" x14ac:dyDescent="0.25">
      <c r="A2459" t="s">
        <v>2194</v>
      </c>
    </row>
    <row r="2460" spans="1:1" x14ac:dyDescent="0.25">
      <c r="A2460" t="s">
        <v>2195</v>
      </c>
    </row>
    <row r="2461" spans="1:1" x14ac:dyDescent="0.25">
      <c r="A2461" t="s">
        <v>2196</v>
      </c>
    </row>
    <row r="2462" spans="1:1" x14ac:dyDescent="0.25">
      <c r="A2462" t="s">
        <v>2197</v>
      </c>
    </row>
    <row r="2463" spans="1:1" x14ac:dyDescent="0.25">
      <c r="A2463" t="s">
        <v>2198</v>
      </c>
    </row>
    <row r="2464" spans="1:1" x14ac:dyDescent="0.25">
      <c r="A2464" t="s">
        <v>2199</v>
      </c>
    </row>
    <row r="2465" spans="1:1" x14ac:dyDescent="0.25">
      <c r="A2465" t="s">
        <v>2200</v>
      </c>
    </row>
    <row r="2466" spans="1:1" x14ac:dyDescent="0.25">
      <c r="A2466" t="s">
        <v>2201</v>
      </c>
    </row>
    <row r="2467" spans="1:1" x14ac:dyDescent="0.25">
      <c r="A2467" t="s">
        <v>2202</v>
      </c>
    </row>
    <row r="2468" spans="1:1" x14ac:dyDescent="0.25">
      <c r="A2468" t="s">
        <v>2203</v>
      </c>
    </row>
    <row r="2469" spans="1:1" x14ac:dyDescent="0.25">
      <c r="A2469" t="s">
        <v>2204</v>
      </c>
    </row>
    <row r="2470" spans="1:1" x14ac:dyDescent="0.25">
      <c r="A2470" t="s">
        <v>2205</v>
      </c>
    </row>
    <row r="2471" spans="1:1" x14ac:dyDescent="0.25">
      <c r="A2471" t="s">
        <v>2206</v>
      </c>
    </row>
    <row r="2472" spans="1:1" x14ac:dyDescent="0.25">
      <c r="A2472" t="s">
        <v>2207</v>
      </c>
    </row>
    <row r="2473" spans="1:1" x14ac:dyDescent="0.25">
      <c r="A2473" t="s">
        <v>2208</v>
      </c>
    </row>
    <row r="2474" spans="1:1" x14ac:dyDescent="0.25">
      <c r="A2474" t="s">
        <v>2209</v>
      </c>
    </row>
    <row r="2475" spans="1:1" x14ac:dyDescent="0.25">
      <c r="A2475" t="s">
        <v>2210</v>
      </c>
    </row>
    <row r="2476" spans="1:1" x14ac:dyDescent="0.25">
      <c r="A2476" t="s">
        <v>2211</v>
      </c>
    </row>
    <row r="2477" spans="1:1" x14ac:dyDescent="0.25">
      <c r="A2477" t="s">
        <v>2212</v>
      </c>
    </row>
    <row r="2478" spans="1:1" x14ac:dyDescent="0.25">
      <c r="A2478" t="s">
        <v>2213</v>
      </c>
    </row>
    <row r="2479" spans="1:1" x14ac:dyDescent="0.25">
      <c r="A2479" t="s">
        <v>2214</v>
      </c>
    </row>
    <row r="2480" spans="1:1" x14ac:dyDescent="0.25">
      <c r="A2480" t="s">
        <v>2215</v>
      </c>
    </row>
    <row r="2481" spans="1:1" x14ac:dyDescent="0.25">
      <c r="A2481" t="s">
        <v>2216</v>
      </c>
    </row>
    <row r="2482" spans="1:1" x14ac:dyDescent="0.25">
      <c r="A2482" t="s">
        <v>2217</v>
      </c>
    </row>
    <row r="2483" spans="1:1" x14ac:dyDescent="0.25">
      <c r="A2483" t="s">
        <v>2218</v>
      </c>
    </row>
    <row r="2484" spans="1:1" x14ac:dyDescent="0.25">
      <c r="A2484" t="s">
        <v>2219</v>
      </c>
    </row>
    <row r="2485" spans="1:1" x14ac:dyDescent="0.25">
      <c r="A2485" t="s">
        <v>2220</v>
      </c>
    </row>
    <row r="2486" spans="1:1" x14ac:dyDescent="0.25">
      <c r="A2486" t="s">
        <v>2221</v>
      </c>
    </row>
    <row r="2487" spans="1:1" x14ac:dyDescent="0.25">
      <c r="A2487" t="s">
        <v>2222</v>
      </c>
    </row>
    <row r="2488" spans="1:1" x14ac:dyDescent="0.25">
      <c r="A2488" t="s">
        <v>2223</v>
      </c>
    </row>
    <row r="2489" spans="1:1" x14ac:dyDescent="0.25">
      <c r="A2489" t="s">
        <v>2224</v>
      </c>
    </row>
    <row r="2490" spans="1:1" x14ac:dyDescent="0.25">
      <c r="A2490" t="s">
        <v>2225</v>
      </c>
    </row>
    <row r="2491" spans="1:1" x14ac:dyDescent="0.25">
      <c r="A2491" t="s">
        <v>2226</v>
      </c>
    </row>
    <row r="2492" spans="1:1" x14ac:dyDescent="0.25">
      <c r="A2492" t="s">
        <v>2227</v>
      </c>
    </row>
    <row r="2493" spans="1:1" x14ac:dyDescent="0.25">
      <c r="A2493" t="s">
        <v>2228</v>
      </c>
    </row>
    <row r="2494" spans="1:1" x14ac:dyDescent="0.25">
      <c r="A2494" t="s">
        <v>2229</v>
      </c>
    </row>
    <row r="2495" spans="1:1" x14ac:dyDescent="0.25">
      <c r="A2495" t="s">
        <v>2230</v>
      </c>
    </row>
    <row r="2496" spans="1:1" x14ac:dyDescent="0.25">
      <c r="A2496" t="s">
        <v>2231</v>
      </c>
    </row>
    <row r="2497" spans="1:1" x14ac:dyDescent="0.25">
      <c r="A2497" t="s">
        <v>2232</v>
      </c>
    </row>
    <row r="2498" spans="1:1" x14ac:dyDescent="0.25">
      <c r="A2498" t="s">
        <v>2233</v>
      </c>
    </row>
    <row r="2499" spans="1:1" x14ac:dyDescent="0.25">
      <c r="A2499" t="s">
        <v>2234</v>
      </c>
    </row>
    <row r="2500" spans="1:1" x14ac:dyDescent="0.25">
      <c r="A2500" t="s">
        <v>2235</v>
      </c>
    </row>
    <row r="2501" spans="1:1" x14ac:dyDescent="0.25">
      <c r="A2501" t="s">
        <v>2236</v>
      </c>
    </row>
    <row r="2502" spans="1:1" x14ac:dyDescent="0.25">
      <c r="A2502" t="s">
        <v>2237</v>
      </c>
    </row>
    <row r="2503" spans="1:1" x14ac:dyDescent="0.25">
      <c r="A2503" t="s">
        <v>2238</v>
      </c>
    </row>
    <row r="2504" spans="1:1" x14ac:dyDescent="0.25">
      <c r="A2504" t="s">
        <v>2239</v>
      </c>
    </row>
    <row r="2505" spans="1:1" x14ac:dyDescent="0.25">
      <c r="A2505" t="s">
        <v>2240</v>
      </c>
    </row>
    <row r="2506" spans="1:1" x14ac:dyDescent="0.25">
      <c r="A2506" t="s">
        <v>2241</v>
      </c>
    </row>
    <row r="2507" spans="1:1" x14ac:dyDescent="0.25">
      <c r="A2507" t="s">
        <v>2242</v>
      </c>
    </row>
    <row r="2508" spans="1:1" x14ac:dyDescent="0.25">
      <c r="A2508" t="s">
        <v>2243</v>
      </c>
    </row>
    <row r="2509" spans="1:1" x14ac:dyDescent="0.25">
      <c r="A2509" t="s">
        <v>2244</v>
      </c>
    </row>
    <row r="2510" spans="1:1" x14ac:dyDescent="0.25">
      <c r="A2510" t="s">
        <v>2245</v>
      </c>
    </row>
    <row r="2511" spans="1:1" x14ac:dyDescent="0.25">
      <c r="A2511" t="s">
        <v>2246</v>
      </c>
    </row>
    <row r="2512" spans="1:1" x14ac:dyDescent="0.25">
      <c r="A2512" t="s">
        <v>2247</v>
      </c>
    </row>
    <row r="2513" spans="1:1" x14ac:dyDescent="0.25">
      <c r="A2513" t="s">
        <v>2248</v>
      </c>
    </row>
    <row r="2514" spans="1:1" x14ac:dyDescent="0.25">
      <c r="A2514" t="s">
        <v>2249</v>
      </c>
    </row>
    <row r="2515" spans="1:1" x14ac:dyDescent="0.25">
      <c r="A2515" t="s">
        <v>2250</v>
      </c>
    </row>
    <row r="2516" spans="1:1" x14ac:dyDescent="0.25">
      <c r="A2516" t="s">
        <v>2251</v>
      </c>
    </row>
    <row r="2517" spans="1:1" x14ac:dyDescent="0.25">
      <c r="A2517" t="s">
        <v>2252</v>
      </c>
    </row>
    <row r="2518" spans="1:1" x14ac:dyDescent="0.25">
      <c r="A2518" t="s">
        <v>2253</v>
      </c>
    </row>
    <row r="2519" spans="1:1" x14ac:dyDescent="0.25">
      <c r="A2519" t="s">
        <v>2254</v>
      </c>
    </row>
    <row r="2520" spans="1:1" x14ac:dyDescent="0.25">
      <c r="A2520" t="s">
        <v>2255</v>
      </c>
    </row>
    <row r="2521" spans="1:1" x14ac:dyDescent="0.25">
      <c r="A2521" t="s">
        <v>2256</v>
      </c>
    </row>
    <row r="2522" spans="1:1" x14ac:dyDescent="0.25">
      <c r="A2522" t="s">
        <v>2257</v>
      </c>
    </row>
    <row r="2523" spans="1:1" x14ac:dyDescent="0.25">
      <c r="A2523" t="s">
        <v>2258</v>
      </c>
    </row>
    <row r="2524" spans="1:1" x14ac:dyDescent="0.25">
      <c r="A2524" t="s">
        <v>2259</v>
      </c>
    </row>
    <row r="2525" spans="1:1" x14ac:dyDescent="0.25">
      <c r="A2525" t="s">
        <v>2260</v>
      </c>
    </row>
    <row r="2526" spans="1:1" x14ac:dyDescent="0.25">
      <c r="A2526" t="s">
        <v>2261</v>
      </c>
    </row>
    <row r="2527" spans="1:1" x14ac:dyDescent="0.25">
      <c r="A2527" t="s">
        <v>2262</v>
      </c>
    </row>
    <row r="2528" spans="1:1" x14ac:dyDescent="0.25">
      <c r="A2528" t="s">
        <v>2263</v>
      </c>
    </row>
    <row r="2529" spans="1:1" x14ac:dyDescent="0.25">
      <c r="A2529" t="s">
        <v>2264</v>
      </c>
    </row>
    <row r="2530" spans="1:1" x14ac:dyDescent="0.25">
      <c r="A2530" t="s">
        <v>2265</v>
      </c>
    </row>
    <row r="2531" spans="1:1" x14ac:dyDescent="0.25">
      <c r="A2531" t="s">
        <v>2266</v>
      </c>
    </row>
    <row r="2532" spans="1:1" x14ac:dyDescent="0.25">
      <c r="A2532" t="s">
        <v>2267</v>
      </c>
    </row>
    <row r="2533" spans="1:1" x14ac:dyDescent="0.25">
      <c r="A2533" t="s">
        <v>2268</v>
      </c>
    </row>
    <row r="2534" spans="1:1" x14ac:dyDescent="0.25">
      <c r="A2534" t="s">
        <v>2269</v>
      </c>
    </row>
    <row r="2535" spans="1:1" x14ac:dyDescent="0.25">
      <c r="A2535" t="s">
        <v>2270</v>
      </c>
    </row>
    <row r="2536" spans="1:1" x14ac:dyDescent="0.25">
      <c r="A2536" t="s">
        <v>2271</v>
      </c>
    </row>
    <row r="2537" spans="1:1" x14ac:dyDescent="0.25">
      <c r="A2537" t="s">
        <v>2272</v>
      </c>
    </row>
    <row r="2538" spans="1:1" x14ac:dyDescent="0.25">
      <c r="A2538" t="s">
        <v>2273</v>
      </c>
    </row>
    <row r="2539" spans="1:1" x14ac:dyDescent="0.25">
      <c r="A2539" t="s">
        <v>2274</v>
      </c>
    </row>
    <row r="2540" spans="1:1" x14ac:dyDescent="0.25">
      <c r="A2540" t="s">
        <v>2275</v>
      </c>
    </row>
    <row r="2541" spans="1:1" x14ac:dyDescent="0.25">
      <c r="A2541" t="s">
        <v>2276</v>
      </c>
    </row>
    <row r="2542" spans="1:1" x14ac:dyDescent="0.25">
      <c r="A2542" t="s">
        <v>2277</v>
      </c>
    </row>
    <row r="2543" spans="1:1" x14ac:dyDescent="0.25">
      <c r="A2543" t="s">
        <v>2278</v>
      </c>
    </row>
    <row r="2544" spans="1:1" x14ac:dyDescent="0.25">
      <c r="A2544" t="s">
        <v>2279</v>
      </c>
    </row>
    <row r="2545" spans="1:1" x14ac:dyDescent="0.25">
      <c r="A2545" t="s">
        <v>2280</v>
      </c>
    </row>
    <row r="2546" spans="1:1" x14ac:dyDescent="0.25">
      <c r="A2546" t="s">
        <v>2281</v>
      </c>
    </row>
    <row r="2547" spans="1:1" x14ac:dyDescent="0.25">
      <c r="A2547" t="s">
        <v>2282</v>
      </c>
    </row>
    <row r="2548" spans="1:1" x14ac:dyDescent="0.25">
      <c r="A2548" t="s">
        <v>2283</v>
      </c>
    </row>
    <row r="2549" spans="1:1" x14ac:dyDescent="0.25">
      <c r="A2549" t="s">
        <v>2284</v>
      </c>
    </row>
    <row r="2550" spans="1:1" x14ac:dyDescent="0.25">
      <c r="A2550" t="s">
        <v>2285</v>
      </c>
    </row>
    <row r="2551" spans="1:1" x14ac:dyDescent="0.25">
      <c r="A2551" t="s">
        <v>2286</v>
      </c>
    </row>
    <row r="2552" spans="1:1" x14ac:dyDescent="0.25">
      <c r="A2552" t="s">
        <v>2287</v>
      </c>
    </row>
    <row r="2553" spans="1:1" x14ac:dyDescent="0.25">
      <c r="A2553" t="s">
        <v>2288</v>
      </c>
    </row>
    <row r="2554" spans="1:1" x14ac:dyDescent="0.25">
      <c r="A2554" t="s">
        <v>2289</v>
      </c>
    </row>
    <row r="2555" spans="1:1" x14ac:dyDescent="0.25">
      <c r="A2555" t="s">
        <v>2290</v>
      </c>
    </row>
    <row r="2556" spans="1:1" x14ac:dyDescent="0.25">
      <c r="A2556" t="s">
        <v>2291</v>
      </c>
    </row>
    <row r="2557" spans="1:1" x14ac:dyDescent="0.25">
      <c r="A2557" t="s">
        <v>2292</v>
      </c>
    </row>
    <row r="2558" spans="1:1" x14ac:dyDescent="0.25">
      <c r="A2558" t="s">
        <v>2293</v>
      </c>
    </row>
    <row r="2559" spans="1:1" x14ac:dyDescent="0.25">
      <c r="A2559" t="s">
        <v>2294</v>
      </c>
    </row>
    <row r="2560" spans="1:1" x14ac:dyDescent="0.25">
      <c r="A2560" t="s">
        <v>2295</v>
      </c>
    </row>
    <row r="2561" spans="1:1" x14ac:dyDescent="0.25">
      <c r="A2561" t="s">
        <v>2296</v>
      </c>
    </row>
    <row r="2562" spans="1:1" x14ac:dyDescent="0.25">
      <c r="A2562" t="s">
        <v>2297</v>
      </c>
    </row>
    <row r="2563" spans="1:1" x14ac:dyDescent="0.25">
      <c r="A2563" t="s">
        <v>2298</v>
      </c>
    </row>
    <row r="2564" spans="1:1" x14ac:dyDescent="0.25">
      <c r="A2564" t="s">
        <v>2299</v>
      </c>
    </row>
    <row r="2565" spans="1:1" x14ac:dyDescent="0.25">
      <c r="A2565" t="s">
        <v>2300</v>
      </c>
    </row>
    <row r="2566" spans="1:1" x14ac:dyDescent="0.25">
      <c r="A2566" t="s">
        <v>2301</v>
      </c>
    </row>
    <row r="2567" spans="1:1" x14ac:dyDescent="0.25">
      <c r="A2567" t="s">
        <v>2302</v>
      </c>
    </row>
    <row r="2568" spans="1:1" x14ac:dyDescent="0.25">
      <c r="A2568" t="s">
        <v>2303</v>
      </c>
    </row>
    <row r="2569" spans="1:1" x14ac:dyDescent="0.25">
      <c r="A2569" t="s">
        <v>2304</v>
      </c>
    </row>
    <row r="2570" spans="1:1" x14ac:dyDescent="0.25">
      <c r="A2570" t="s">
        <v>2305</v>
      </c>
    </row>
    <row r="2571" spans="1:1" x14ac:dyDescent="0.25">
      <c r="A2571" t="s">
        <v>2306</v>
      </c>
    </row>
    <row r="2572" spans="1:1" x14ac:dyDescent="0.25">
      <c r="A2572" t="s">
        <v>2307</v>
      </c>
    </row>
    <row r="2573" spans="1:1" x14ac:dyDescent="0.25">
      <c r="A2573" t="s">
        <v>2308</v>
      </c>
    </row>
    <row r="2574" spans="1:1" x14ac:dyDescent="0.25">
      <c r="A2574" t="s">
        <v>2309</v>
      </c>
    </row>
    <row r="2575" spans="1:1" x14ac:dyDescent="0.25">
      <c r="A2575" t="s">
        <v>2310</v>
      </c>
    </row>
    <row r="2576" spans="1:1" x14ac:dyDescent="0.25">
      <c r="A2576" t="s">
        <v>2311</v>
      </c>
    </row>
    <row r="2577" spans="1:1" x14ac:dyDescent="0.25">
      <c r="A2577" t="s">
        <v>2312</v>
      </c>
    </row>
    <row r="2578" spans="1:1" x14ac:dyDescent="0.25">
      <c r="A2578" t="s">
        <v>2313</v>
      </c>
    </row>
    <row r="2579" spans="1:1" x14ac:dyDescent="0.25">
      <c r="A2579" t="s">
        <v>2314</v>
      </c>
    </row>
    <row r="2580" spans="1:1" x14ac:dyDescent="0.25">
      <c r="A2580" t="s">
        <v>2315</v>
      </c>
    </row>
    <row r="2581" spans="1:1" x14ac:dyDescent="0.25">
      <c r="A2581" t="s">
        <v>2316</v>
      </c>
    </row>
    <row r="2582" spans="1:1" x14ac:dyDescent="0.25">
      <c r="A2582" t="s">
        <v>2317</v>
      </c>
    </row>
    <row r="2583" spans="1:1" x14ac:dyDescent="0.25">
      <c r="A2583" t="s">
        <v>2318</v>
      </c>
    </row>
    <row r="2584" spans="1:1" x14ac:dyDescent="0.25">
      <c r="A2584" t="s">
        <v>2319</v>
      </c>
    </row>
    <row r="2585" spans="1:1" x14ac:dyDescent="0.25">
      <c r="A2585" t="s">
        <v>2320</v>
      </c>
    </row>
    <row r="2586" spans="1:1" x14ac:dyDescent="0.25">
      <c r="A2586" t="s">
        <v>2321</v>
      </c>
    </row>
    <row r="2587" spans="1:1" x14ac:dyDescent="0.25">
      <c r="A2587" t="s">
        <v>2322</v>
      </c>
    </row>
    <row r="2588" spans="1:1" x14ac:dyDescent="0.25">
      <c r="A2588" t="s">
        <v>2323</v>
      </c>
    </row>
    <row r="2589" spans="1:1" x14ac:dyDescent="0.25">
      <c r="A2589" t="s">
        <v>2324</v>
      </c>
    </row>
    <row r="2590" spans="1:1" x14ac:dyDescent="0.25">
      <c r="A2590" t="s">
        <v>2325</v>
      </c>
    </row>
    <row r="2591" spans="1:1" x14ac:dyDescent="0.25">
      <c r="A2591" t="s">
        <v>2326</v>
      </c>
    </row>
    <row r="2592" spans="1:1" x14ac:dyDescent="0.25">
      <c r="A2592" t="s">
        <v>2327</v>
      </c>
    </row>
    <row r="2593" spans="1:1" x14ac:dyDescent="0.25">
      <c r="A2593" t="s">
        <v>2328</v>
      </c>
    </row>
    <row r="2594" spans="1:1" x14ac:dyDescent="0.25">
      <c r="A2594" t="s">
        <v>2329</v>
      </c>
    </row>
    <row r="2595" spans="1:1" x14ac:dyDescent="0.25">
      <c r="A2595" t="s">
        <v>2330</v>
      </c>
    </row>
    <row r="2596" spans="1:1" x14ac:dyDescent="0.25">
      <c r="A2596" t="s">
        <v>2331</v>
      </c>
    </row>
    <row r="2597" spans="1:1" x14ac:dyDescent="0.25">
      <c r="A2597" t="s">
        <v>2332</v>
      </c>
    </row>
    <row r="2598" spans="1:1" x14ac:dyDescent="0.25">
      <c r="A2598" t="s">
        <v>2333</v>
      </c>
    </row>
    <row r="2599" spans="1:1" x14ac:dyDescent="0.25">
      <c r="A2599" t="s">
        <v>2334</v>
      </c>
    </row>
    <row r="2600" spans="1:1" x14ac:dyDescent="0.25">
      <c r="A2600" t="s">
        <v>2335</v>
      </c>
    </row>
    <row r="2601" spans="1:1" x14ac:dyDescent="0.25">
      <c r="A2601" t="s">
        <v>2336</v>
      </c>
    </row>
    <row r="2602" spans="1:1" x14ac:dyDescent="0.25">
      <c r="A2602" t="s">
        <v>2337</v>
      </c>
    </row>
    <row r="2603" spans="1:1" x14ac:dyDescent="0.25">
      <c r="A2603" t="s">
        <v>2338</v>
      </c>
    </row>
    <row r="2604" spans="1:1" x14ac:dyDescent="0.25">
      <c r="A2604" t="s">
        <v>2339</v>
      </c>
    </row>
    <row r="2605" spans="1:1" x14ac:dyDescent="0.25">
      <c r="A2605" t="s">
        <v>2340</v>
      </c>
    </row>
    <row r="2606" spans="1:1" x14ac:dyDescent="0.25">
      <c r="A2606" t="s">
        <v>2341</v>
      </c>
    </row>
    <row r="2607" spans="1:1" x14ac:dyDescent="0.25">
      <c r="A2607" t="s">
        <v>2342</v>
      </c>
    </row>
    <row r="2608" spans="1:1" x14ac:dyDescent="0.25">
      <c r="A2608" t="s">
        <v>2343</v>
      </c>
    </row>
    <row r="2609" spans="1:1" x14ac:dyDescent="0.25">
      <c r="A2609" t="s">
        <v>2344</v>
      </c>
    </row>
    <row r="2610" spans="1:1" x14ac:dyDescent="0.25">
      <c r="A2610" t="s">
        <v>2345</v>
      </c>
    </row>
    <row r="2611" spans="1:1" x14ac:dyDescent="0.25">
      <c r="A2611" t="s">
        <v>2346</v>
      </c>
    </row>
    <row r="2612" spans="1:1" x14ac:dyDescent="0.25">
      <c r="A2612" t="s">
        <v>2347</v>
      </c>
    </row>
    <row r="2613" spans="1:1" x14ac:dyDescent="0.25">
      <c r="A2613" t="s">
        <v>2348</v>
      </c>
    </row>
    <row r="2614" spans="1:1" x14ac:dyDescent="0.25">
      <c r="A2614" t="s">
        <v>2349</v>
      </c>
    </row>
    <row r="2615" spans="1:1" x14ac:dyDescent="0.25">
      <c r="A2615" t="s">
        <v>2350</v>
      </c>
    </row>
    <row r="2616" spans="1:1" x14ac:dyDescent="0.25">
      <c r="A2616" t="s">
        <v>2351</v>
      </c>
    </row>
    <row r="2617" spans="1:1" x14ac:dyDescent="0.25">
      <c r="A2617" t="s">
        <v>2352</v>
      </c>
    </row>
    <row r="2618" spans="1:1" x14ac:dyDescent="0.25">
      <c r="A2618" t="s">
        <v>2353</v>
      </c>
    </row>
    <row r="2619" spans="1:1" x14ac:dyDescent="0.25">
      <c r="A2619" t="s">
        <v>2354</v>
      </c>
    </row>
    <row r="2620" spans="1:1" x14ac:dyDescent="0.25">
      <c r="A2620" t="s">
        <v>2355</v>
      </c>
    </row>
    <row r="2621" spans="1:1" x14ac:dyDescent="0.25">
      <c r="A2621" t="s">
        <v>2356</v>
      </c>
    </row>
    <row r="2622" spans="1:1" x14ac:dyDescent="0.25">
      <c r="A2622" t="s">
        <v>2357</v>
      </c>
    </row>
    <row r="2623" spans="1:1" x14ac:dyDescent="0.25">
      <c r="A2623" t="s">
        <v>2358</v>
      </c>
    </row>
    <row r="2624" spans="1:1" x14ac:dyDescent="0.25">
      <c r="A2624" t="s">
        <v>2359</v>
      </c>
    </row>
    <row r="2625" spans="1:1" x14ac:dyDescent="0.25">
      <c r="A2625" t="s">
        <v>2360</v>
      </c>
    </row>
    <row r="2626" spans="1:1" x14ac:dyDescent="0.25">
      <c r="A2626" t="s">
        <v>2361</v>
      </c>
    </row>
    <row r="2627" spans="1:1" x14ac:dyDescent="0.25">
      <c r="A2627" t="s">
        <v>2362</v>
      </c>
    </row>
    <row r="2628" spans="1:1" x14ac:dyDescent="0.25">
      <c r="A2628" t="s">
        <v>2363</v>
      </c>
    </row>
    <row r="2629" spans="1:1" x14ac:dyDescent="0.25">
      <c r="A2629" t="s">
        <v>2364</v>
      </c>
    </row>
    <row r="2630" spans="1:1" x14ac:dyDescent="0.25">
      <c r="A2630" t="s">
        <v>2365</v>
      </c>
    </row>
    <row r="2631" spans="1:1" x14ac:dyDescent="0.25">
      <c r="A2631" t="s">
        <v>2366</v>
      </c>
    </row>
    <row r="2632" spans="1:1" x14ac:dyDescent="0.25">
      <c r="A2632" t="s">
        <v>2367</v>
      </c>
    </row>
    <row r="2633" spans="1:1" x14ac:dyDescent="0.25">
      <c r="A2633" t="s">
        <v>2368</v>
      </c>
    </row>
    <row r="2634" spans="1:1" x14ac:dyDescent="0.25">
      <c r="A2634" t="s">
        <v>2369</v>
      </c>
    </row>
    <row r="2635" spans="1:1" x14ac:dyDescent="0.25">
      <c r="A2635" t="s">
        <v>2370</v>
      </c>
    </row>
    <row r="2636" spans="1:1" x14ac:dyDescent="0.25">
      <c r="A2636" t="s">
        <v>2371</v>
      </c>
    </row>
    <row r="2637" spans="1:1" x14ac:dyDescent="0.25">
      <c r="A2637" t="s">
        <v>2372</v>
      </c>
    </row>
    <row r="2638" spans="1:1" x14ac:dyDescent="0.25">
      <c r="A2638" t="s">
        <v>2373</v>
      </c>
    </row>
    <row r="2639" spans="1:1" x14ac:dyDescent="0.25">
      <c r="A2639" t="s">
        <v>2374</v>
      </c>
    </row>
    <row r="2640" spans="1:1" x14ac:dyDescent="0.25">
      <c r="A2640" t="s">
        <v>2375</v>
      </c>
    </row>
    <row r="2641" spans="1:1" x14ac:dyDescent="0.25">
      <c r="A2641" t="s">
        <v>2376</v>
      </c>
    </row>
    <row r="2642" spans="1:1" x14ac:dyDescent="0.25">
      <c r="A2642" t="s">
        <v>2377</v>
      </c>
    </row>
    <row r="2643" spans="1:1" x14ac:dyDescent="0.25">
      <c r="A2643" t="s">
        <v>2378</v>
      </c>
    </row>
    <row r="2644" spans="1:1" x14ac:dyDescent="0.25">
      <c r="A2644" t="s">
        <v>2379</v>
      </c>
    </row>
    <row r="2645" spans="1:1" x14ac:dyDescent="0.25">
      <c r="A2645" t="s">
        <v>2380</v>
      </c>
    </row>
    <row r="2646" spans="1:1" x14ac:dyDescent="0.25">
      <c r="A2646" t="s">
        <v>2381</v>
      </c>
    </row>
    <row r="2647" spans="1:1" x14ac:dyDescent="0.25">
      <c r="A2647" t="s">
        <v>2382</v>
      </c>
    </row>
    <row r="2648" spans="1:1" x14ac:dyDescent="0.25">
      <c r="A2648" t="s">
        <v>2383</v>
      </c>
    </row>
    <row r="2649" spans="1:1" x14ac:dyDescent="0.25">
      <c r="A2649" t="s">
        <v>2384</v>
      </c>
    </row>
    <row r="2650" spans="1:1" x14ac:dyDescent="0.25">
      <c r="A2650" t="s">
        <v>2385</v>
      </c>
    </row>
    <row r="2651" spans="1:1" x14ac:dyDescent="0.25">
      <c r="A2651" t="s">
        <v>2386</v>
      </c>
    </row>
    <row r="2652" spans="1:1" x14ac:dyDescent="0.25">
      <c r="A2652" t="s">
        <v>2387</v>
      </c>
    </row>
    <row r="2653" spans="1:1" x14ac:dyDescent="0.25">
      <c r="A2653" t="s">
        <v>2388</v>
      </c>
    </row>
    <row r="2654" spans="1:1" x14ac:dyDescent="0.25">
      <c r="A2654" t="s">
        <v>2389</v>
      </c>
    </row>
    <row r="2655" spans="1:1" x14ac:dyDescent="0.25">
      <c r="A2655" t="s">
        <v>2390</v>
      </c>
    </row>
    <row r="2656" spans="1:1" x14ac:dyDescent="0.25">
      <c r="A2656" t="s">
        <v>2391</v>
      </c>
    </row>
    <row r="2657" spans="1:1" x14ac:dyDescent="0.25">
      <c r="A2657" t="s">
        <v>2392</v>
      </c>
    </row>
    <row r="2658" spans="1:1" x14ac:dyDescent="0.25">
      <c r="A2658" t="s">
        <v>2393</v>
      </c>
    </row>
    <row r="2659" spans="1:1" x14ac:dyDescent="0.25">
      <c r="A2659" t="s">
        <v>2394</v>
      </c>
    </row>
    <row r="2660" spans="1:1" x14ac:dyDescent="0.25">
      <c r="A2660" t="s">
        <v>2395</v>
      </c>
    </row>
    <row r="2661" spans="1:1" x14ac:dyDescent="0.25">
      <c r="A2661" t="s">
        <v>2396</v>
      </c>
    </row>
    <row r="2662" spans="1:1" x14ac:dyDescent="0.25">
      <c r="A2662" t="s">
        <v>2397</v>
      </c>
    </row>
    <row r="2663" spans="1:1" x14ac:dyDescent="0.25">
      <c r="A2663" t="s">
        <v>2398</v>
      </c>
    </row>
    <row r="2664" spans="1:1" x14ac:dyDescent="0.25">
      <c r="A2664" t="s">
        <v>2399</v>
      </c>
    </row>
    <row r="2665" spans="1:1" x14ac:dyDescent="0.25">
      <c r="A2665" t="s">
        <v>2400</v>
      </c>
    </row>
    <row r="2666" spans="1:1" x14ac:dyDescent="0.25">
      <c r="A2666" t="s">
        <v>2401</v>
      </c>
    </row>
    <row r="2667" spans="1:1" x14ac:dyDescent="0.25">
      <c r="A2667" t="s">
        <v>2402</v>
      </c>
    </row>
    <row r="2668" spans="1:1" x14ac:dyDescent="0.25">
      <c r="A2668" t="s">
        <v>2403</v>
      </c>
    </row>
    <row r="2669" spans="1:1" x14ac:dyDescent="0.25">
      <c r="A2669" t="s">
        <v>2404</v>
      </c>
    </row>
    <row r="2670" spans="1:1" x14ac:dyDescent="0.25">
      <c r="A2670" t="s">
        <v>2405</v>
      </c>
    </row>
    <row r="2671" spans="1:1" x14ac:dyDescent="0.25">
      <c r="A2671" t="s">
        <v>2406</v>
      </c>
    </row>
    <row r="2672" spans="1:1" x14ac:dyDescent="0.25">
      <c r="A2672" t="s">
        <v>2407</v>
      </c>
    </row>
    <row r="2673" spans="1:1" x14ac:dyDescent="0.25">
      <c r="A2673" t="s">
        <v>2408</v>
      </c>
    </row>
    <row r="2674" spans="1:1" x14ac:dyDescent="0.25">
      <c r="A2674" t="s">
        <v>2409</v>
      </c>
    </row>
    <row r="2675" spans="1:1" x14ac:dyDescent="0.25">
      <c r="A2675" t="s">
        <v>2410</v>
      </c>
    </row>
    <row r="2676" spans="1:1" x14ac:dyDescent="0.25">
      <c r="A2676" t="s">
        <v>2411</v>
      </c>
    </row>
    <row r="2677" spans="1:1" x14ac:dyDescent="0.25">
      <c r="A2677" t="s">
        <v>2412</v>
      </c>
    </row>
    <row r="2678" spans="1:1" x14ac:dyDescent="0.25">
      <c r="A2678" t="s">
        <v>2413</v>
      </c>
    </row>
    <row r="2679" spans="1:1" x14ac:dyDescent="0.25">
      <c r="A2679" t="s">
        <v>2414</v>
      </c>
    </row>
    <row r="2680" spans="1:1" x14ac:dyDescent="0.25">
      <c r="A2680" t="s">
        <v>2415</v>
      </c>
    </row>
    <row r="2681" spans="1:1" x14ac:dyDescent="0.25">
      <c r="A2681" t="s">
        <v>2416</v>
      </c>
    </row>
    <row r="2682" spans="1:1" x14ac:dyDescent="0.25">
      <c r="A2682" t="s">
        <v>2417</v>
      </c>
    </row>
    <row r="2683" spans="1:1" x14ac:dyDescent="0.25">
      <c r="A2683" t="s">
        <v>2418</v>
      </c>
    </row>
    <row r="2684" spans="1:1" x14ac:dyDescent="0.25">
      <c r="A2684" t="s">
        <v>2419</v>
      </c>
    </row>
    <row r="2685" spans="1:1" x14ac:dyDescent="0.25">
      <c r="A2685" t="s">
        <v>2420</v>
      </c>
    </row>
    <row r="2686" spans="1:1" x14ac:dyDescent="0.25">
      <c r="A2686" t="s">
        <v>2421</v>
      </c>
    </row>
    <row r="2687" spans="1:1" x14ac:dyDescent="0.25">
      <c r="A2687" t="s">
        <v>2422</v>
      </c>
    </row>
    <row r="2688" spans="1:1" x14ac:dyDescent="0.25">
      <c r="A2688" t="s">
        <v>2423</v>
      </c>
    </row>
    <row r="2689" spans="1:1" x14ac:dyDescent="0.25">
      <c r="A2689" t="s">
        <v>2424</v>
      </c>
    </row>
    <row r="2690" spans="1:1" x14ac:dyDescent="0.25">
      <c r="A2690" t="s">
        <v>2425</v>
      </c>
    </row>
    <row r="2691" spans="1:1" x14ac:dyDescent="0.25">
      <c r="A2691" t="s">
        <v>2426</v>
      </c>
    </row>
    <row r="2692" spans="1:1" x14ac:dyDescent="0.25">
      <c r="A2692" t="s">
        <v>2427</v>
      </c>
    </row>
    <row r="2693" spans="1:1" x14ac:dyDescent="0.25">
      <c r="A2693" t="s">
        <v>2428</v>
      </c>
    </row>
    <row r="2694" spans="1:1" x14ac:dyDescent="0.25">
      <c r="A2694" t="s">
        <v>2429</v>
      </c>
    </row>
    <row r="2695" spans="1:1" x14ac:dyDescent="0.25">
      <c r="A2695" t="s">
        <v>2430</v>
      </c>
    </row>
    <row r="2696" spans="1:1" x14ac:dyDescent="0.25">
      <c r="A2696" t="s">
        <v>2431</v>
      </c>
    </row>
    <row r="2697" spans="1:1" x14ac:dyDescent="0.25">
      <c r="A2697" t="s">
        <v>2432</v>
      </c>
    </row>
    <row r="2698" spans="1:1" x14ac:dyDescent="0.25">
      <c r="A2698" t="s">
        <v>2433</v>
      </c>
    </row>
    <row r="2699" spans="1:1" x14ac:dyDescent="0.25">
      <c r="A2699" t="s">
        <v>2434</v>
      </c>
    </row>
    <row r="2700" spans="1:1" x14ac:dyDescent="0.25">
      <c r="A2700" t="s">
        <v>2435</v>
      </c>
    </row>
    <row r="2701" spans="1:1" x14ac:dyDescent="0.25">
      <c r="A2701" t="s">
        <v>2436</v>
      </c>
    </row>
    <row r="2702" spans="1:1" x14ac:dyDescent="0.25">
      <c r="A2702" t="s">
        <v>2437</v>
      </c>
    </row>
    <row r="2703" spans="1:1" x14ac:dyDescent="0.25">
      <c r="A2703" t="s">
        <v>2438</v>
      </c>
    </row>
    <row r="2704" spans="1:1" x14ac:dyDescent="0.25">
      <c r="A2704" t="s">
        <v>2439</v>
      </c>
    </row>
    <row r="2705" spans="1:1" x14ac:dyDescent="0.25">
      <c r="A2705" t="s">
        <v>2440</v>
      </c>
    </row>
    <row r="2706" spans="1:1" x14ac:dyDescent="0.25">
      <c r="A2706" t="s">
        <v>2441</v>
      </c>
    </row>
    <row r="2707" spans="1:1" x14ac:dyDescent="0.25">
      <c r="A2707" t="s">
        <v>2442</v>
      </c>
    </row>
    <row r="2708" spans="1:1" x14ac:dyDescent="0.25">
      <c r="A2708" t="s">
        <v>2443</v>
      </c>
    </row>
    <row r="2709" spans="1:1" x14ac:dyDescent="0.25">
      <c r="A2709" t="s">
        <v>2444</v>
      </c>
    </row>
    <row r="2710" spans="1:1" x14ac:dyDescent="0.25">
      <c r="A2710" t="s">
        <v>2445</v>
      </c>
    </row>
    <row r="2711" spans="1:1" x14ac:dyDescent="0.25">
      <c r="A2711" t="s">
        <v>2446</v>
      </c>
    </row>
    <row r="2712" spans="1:1" x14ac:dyDescent="0.25">
      <c r="A2712" t="s">
        <v>2447</v>
      </c>
    </row>
    <row r="2713" spans="1:1" x14ac:dyDescent="0.25">
      <c r="A2713" t="s">
        <v>2448</v>
      </c>
    </row>
    <row r="2714" spans="1:1" x14ac:dyDescent="0.25">
      <c r="A2714" t="s">
        <v>2449</v>
      </c>
    </row>
    <row r="2715" spans="1:1" x14ac:dyDescent="0.25">
      <c r="A2715" t="s">
        <v>2450</v>
      </c>
    </row>
    <row r="2716" spans="1:1" x14ac:dyDescent="0.25">
      <c r="A2716" t="s">
        <v>2451</v>
      </c>
    </row>
    <row r="2717" spans="1:1" x14ac:dyDescent="0.25">
      <c r="A2717" t="s">
        <v>2452</v>
      </c>
    </row>
    <row r="2718" spans="1:1" x14ac:dyDescent="0.25">
      <c r="A2718" t="s">
        <v>2453</v>
      </c>
    </row>
    <row r="2719" spans="1:1" x14ac:dyDescent="0.25">
      <c r="A2719" t="s">
        <v>2454</v>
      </c>
    </row>
    <row r="2720" spans="1:1" x14ac:dyDescent="0.25">
      <c r="A2720" t="s">
        <v>2455</v>
      </c>
    </row>
    <row r="2721" spans="1:1" x14ac:dyDescent="0.25">
      <c r="A2721" t="s">
        <v>2456</v>
      </c>
    </row>
    <row r="2722" spans="1:1" x14ac:dyDescent="0.25">
      <c r="A2722" t="s">
        <v>2457</v>
      </c>
    </row>
    <row r="2723" spans="1:1" x14ac:dyDescent="0.25">
      <c r="A2723" t="s">
        <v>2458</v>
      </c>
    </row>
    <row r="2724" spans="1:1" x14ac:dyDescent="0.25">
      <c r="A2724" t="s">
        <v>2459</v>
      </c>
    </row>
    <row r="2725" spans="1:1" x14ac:dyDescent="0.25">
      <c r="A2725" t="s">
        <v>2460</v>
      </c>
    </row>
    <row r="2726" spans="1:1" x14ac:dyDescent="0.25">
      <c r="A2726" t="s">
        <v>2461</v>
      </c>
    </row>
    <row r="2727" spans="1:1" x14ac:dyDescent="0.25">
      <c r="A2727" t="s">
        <v>2462</v>
      </c>
    </row>
    <row r="2728" spans="1:1" x14ac:dyDescent="0.25">
      <c r="A2728" t="s">
        <v>2463</v>
      </c>
    </row>
    <row r="2729" spans="1:1" x14ac:dyDescent="0.25">
      <c r="A2729" t="s">
        <v>2464</v>
      </c>
    </row>
    <row r="2730" spans="1:1" x14ac:dyDescent="0.25">
      <c r="A2730" t="s">
        <v>2465</v>
      </c>
    </row>
    <row r="2731" spans="1:1" x14ac:dyDescent="0.25">
      <c r="A2731" t="s">
        <v>2466</v>
      </c>
    </row>
    <row r="2732" spans="1:1" x14ac:dyDescent="0.25">
      <c r="A2732" t="s">
        <v>2467</v>
      </c>
    </row>
    <row r="2733" spans="1:1" x14ac:dyDescent="0.25">
      <c r="A2733" t="s">
        <v>2468</v>
      </c>
    </row>
    <row r="2734" spans="1:1" x14ac:dyDescent="0.25">
      <c r="A2734" t="s">
        <v>2469</v>
      </c>
    </row>
    <row r="2735" spans="1:1" x14ac:dyDescent="0.25">
      <c r="A2735" t="s">
        <v>2470</v>
      </c>
    </row>
    <row r="2736" spans="1:1" x14ac:dyDescent="0.25">
      <c r="A2736" t="s">
        <v>2471</v>
      </c>
    </row>
    <row r="2737" spans="1:1" x14ac:dyDescent="0.25">
      <c r="A2737" t="s">
        <v>2472</v>
      </c>
    </row>
    <row r="2738" spans="1:1" x14ac:dyDescent="0.25">
      <c r="A2738" t="s">
        <v>2473</v>
      </c>
    </row>
    <row r="2739" spans="1:1" x14ac:dyDescent="0.25">
      <c r="A2739" t="s">
        <v>2474</v>
      </c>
    </row>
    <row r="2740" spans="1:1" x14ac:dyDescent="0.25">
      <c r="A2740" t="s">
        <v>2475</v>
      </c>
    </row>
    <row r="2741" spans="1:1" x14ac:dyDescent="0.25">
      <c r="A2741" t="s">
        <v>2476</v>
      </c>
    </row>
    <row r="2742" spans="1:1" x14ac:dyDescent="0.25">
      <c r="A2742" t="s">
        <v>2477</v>
      </c>
    </row>
    <row r="2743" spans="1:1" x14ac:dyDescent="0.25">
      <c r="A2743" t="s">
        <v>2478</v>
      </c>
    </row>
    <row r="2744" spans="1:1" x14ac:dyDescent="0.25">
      <c r="A2744" t="s">
        <v>2479</v>
      </c>
    </row>
    <row r="2745" spans="1:1" x14ac:dyDescent="0.25">
      <c r="A2745" t="s">
        <v>2480</v>
      </c>
    </row>
    <row r="2746" spans="1:1" x14ac:dyDescent="0.25">
      <c r="A2746" t="s">
        <v>2481</v>
      </c>
    </row>
    <row r="2747" spans="1:1" x14ac:dyDescent="0.25">
      <c r="A2747" t="s">
        <v>2482</v>
      </c>
    </row>
    <row r="2748" spans="1:1" x14ac:dyDescent="0.25">
      <c r="A2748" t="s">
        <v>2483</v>
      </c>
    </row>
    <row r="2749" spans="1:1" x14ac:dyDescent="0.25">
      <c r="A2749" t="s">
        <v>2484</v>
      </c>
    </row>
    <row r="2750" spans="1:1" x14ac:dyDescent="0.25">
      <c r="A2750" t="s">
        <v>2485</v>
      </c>
    </row>
    <row r="2751" spans="1:1" x14ac:dyDescent="0.25">
      <c r="A2751" t="s">
        <v>2486</v>
      </c>
    </row>
    <row r="2752" spans="1:1" x14ac:dyDescent="0.25">
      <c r="A2752" t="s">
        <v>2487</v>
      </c>
    </row>
    <row r="2753" spans="1:1" x14ac:dyDescent="0.25">
      <c r="A2753" t="s">
        <v>2488</v>
      </c>
    </row>
    <row r="2754" spans="1:1" x14ac:dyDescent="0.25">
      <c r="A2754" t="s">
        <v>2489</v>
      </c>
    </row>
    <row r="2755" spans="1:1" x14ac:dyDescent="0.25">
      <c r="A2755" t="s">
        <v>2490</v>
      </c>
    </row>
    <row r="2756" spans="1:1" x14ac:dyDescent="0.25">
      <c r="A2756" t="s">
        <v>2491</v>
      </c>
    </row>
    <row r="2757" spans="1:1" x14ac:dyDescent="0.25">
      <c r="A2757" t="s">
        <v>2492</v>
      </c>
    </row>
    <row r="2758" spans="1:1" x14ac:dyDescent="0.25">
      <c r="A2758" t="s">
        <v>2493</v>
      </c>
    </row>
    <row r="2759" spans="1:1" x14ac:dyDescent="0.25">
      <c r="A2759" t="s">
        <v>2494</v>
      </c>
    </row>
    <row r="2760" spans="1:1" x14ac:dyDescent="0.25">
      <c r="A2760" t="s">
        <v>2495</v>
      </c>
    </row>
    <row r="2761" spans="1:1" x14ac:dyDescent="0.25">
      <c r="A2761" t="s">
        <v>2496</v>
      </c>
    </row>
    <row r="2762" spans="1:1" x14ac:dyDescent="0.25">
      <c r="A2762" t="s">
        <v>2497</v>
      </c>
    </row>
    <row r="2763" spans="1:1" x14ac:dyDescent="0.25">
      <c r="A2763" t="s">
        <v>2498</v>
      </c>
    </row>
    <row r="2764" spans="1:1" x14ac:dyDescent="0.25">
      <c r="A2764" t="s">
        <v>2499</v>
      </c>
    </row>
    <row r="2765" spans="1:1" x14ac:dyDescent="0.25">
      <c r="A2765" t="s">
        <v>2500</v>
      </c>
    </row>
    <row r="2766" spans="1:1" x14ac:dyDescent="0.25">
      <c r="A2766" t="s">
        <v>2501</v>
      </c>
    </row>
    <row r="2767" spans="1:1" x14ac:dyDescent="0.25">
      <c r="A2767" t="s">
        <v>2502</v>
      </c>
    </row>
    <row r="2768" spans="1:1" x14ac:dyDescent="0.25">
      <c r="A2768" t="s">
        <v>2503</v>
      </c>
    </row>
    <row r="2769" spans="1:1" x14ac:dyDescent="0.25">
      <c r="A2769" t="s">
        <v>2504</v>
      </c>
    </row>
    <row r="2770" spans="1:1" x14ac:dyDescent="0.25">
      <c r="A2770" t="s">
        <v>2505</v>
      </c>
    </row>
    <row r="2771" spans="1:1" x14ac:dyDescent="0.25">
      <c r="A2771" t="s">
        <v>2506</v>
      </c>
    </row>
    <row r="2772" spans="1:1" x14ac:dyDescent="0.25">
      <c r="A2772" t="s">
        <v>2507</v>
      </c>
    </row>
    <row r="2773" spans="1:1" x14ac:dyDescent="0.25">
      <c r="A2773" t="s">
        <v>2508</v>
      </c>
    </row>
    <row r="2774" spans="1:1" x14ac:dyDescent="0.25">
      <c r="A2774" t="s">
        <v>2509</v>
      </c>
    </row>
    <row r="2775" spans="1:1" x14ac:dyDescent="0.25">
      <c r="A2775" t="s">
        <v>2510</v>
      </c>
    </row>
    <row r="2776" spans="1:1" x14ac:dyDescent="0.25">
      <c r="A2776" t="s">
        <v>2511</v>
      </c>
    </row>
    <row r="2777" spans="1:1" x14ac:dyDescent="0.25">
      <c r="A2777" t="s">
        <v>2512</v>
      </c>
    </row>
    <row r="2778" spans="1:1" x14ac:dyDescent="0.25">
      <c r="A2778" t="s">
        <v>2513</v>
      </c>
    </row>
    <row r="2779" spans="1:1" x14ac:dyDescent="0.25">
      <c r="A2779" t="s">
        <v>2514</v>
      </c>
    </row>
    <row r="2780" spans="1:1" x14ac:dyDescent="0.25">
      <c r="A2780" t="s">
        <v>2515</v>
      </c>
    </row>
    <row r="2781" spans="1:1" x14ac:dyDescent="0.25">
      <c r="A2781" t="s">
        <v>2516</v>
      </c>
    </row>
    <row r="2782" spans="1:1" x14ac:dyDescent="0.25">
      <c r="A2782" t="s">
        <v>2517</v>
      </c>
    </row>
    <row r="2783" spans="1:1" x14ac:dyDescent="0.25">
      <c r="A2783" t="s">
        <v>2518</v>
      </c>
    </row>
    <row r="2784" spans="1:1" x14ac:dyDescent="0.25">
      <c r="A2784" t="s">
        <v>2519</v>
      </c>
    </row>
    <row r="2785" spans="1:1" x14ac:dyDescent="0.25">
      <c r="A2785" t="s">
        <v>2520</v>
      </c>
    </row>
    <row r="2786" spans="1:1" x14ac:dyDescent="0.25">
      <c r="A2786" t="s">
        <v>2521</v>
      </c>
    </row>
    <row r="2787" spans="1:1" x14ac:dyDescent="0.25">
      <c r="A2787" t="s">
        <v>2522</v>
      </c>
    </row>
    <row r="2788" spans="1:1" x14ac:dyDescent="0.25">
      <c r="A2788" t="s">
        <v>2523</v>
      </c>
    </row>
    <row r="2789" spans="1:1" x14ac:dyDescent="0.25">
      <c r="A2789" t="s">
        <v>2524</v>
      </c>
    </row>
    <row r="2790" spans="1:1" x14ac:dyDescent="0.25">
      <c r="A2790" t="s">
        <v>2525</v>
      </c>
    </row>
    <row r="2791" spans="1:1" x14ac:dyDescent="0.25">
      <c r="A2791" t="s">
        <v>2526</v>
      </c>
    </row>
    <row r="2792" spans="1:1" x14ac:dyDescent="0.25">
      <c r="A2792" t="s">
        <v>2527</v>
      </c>
    </row>
    <row r="2793" spans="1:1" x14ac:dyDescent="0.25">
      <c r="A2793" t="s">
        <v>2528</v>
      </c>
    </row>
    <row r="2794" spans="1:1" x14ac:dyDescent="0.25">
      <c r="A2794" t="s">
        <v>2529</v>
      </c>
    </row>
    <row r="2795" spans="1:1" x14ac:dyDescent="0.25">
      <c r="A2795" t="s">
        <v>2530</v>
      </c>
    </row>
    <row r="2796" spans="1:1" x14ac:dyDescent="0.25">
      <c r="A2796" t="s">
        <v>2531</v>
      </c>
    </row>
    <row r="2797" spans="1:1" x14ac:dyDescent="0.25">
      <c r="A2797" t="s">
        <v>2532</v>
      </c>
    </row>
    <row r="2798" spans="1:1" x14ac:dyDescent="0.25">
      <c r="A2798" t="s">
        <v>2533</v>
      </c>
    </row>
    <row r="2799" spans="1:1" x14ac:dyDescent="0.25">
      <c r="A2799" t="s">
        <v>2534</v>
      </c>
    </row>
    <row r="2800" spans="1:1" x14ac:dyDescent="0.25">
      <c r="A2800" t="s">
        <v>2535</v>
      </c>
    </row>
    <row r="2801" spans="1:1" x14ac:dyDescent="0.25">
      <c r="A2801" t="s">
        <v>2536</v>
      </c>
    </row>
    <row r="2802" spans="1:1" x14ac:dyDescent="0.25">
      <c r="A2802" t="s">
        <v>2537</v>
      </c>
    </row>
    <row r="2803" spans="1:1" x14ac:dyDescent="0.25">
      <c r="A2803" t="s">
        <v>2538</v>
      </c>
    </row>
    <row r="2804" spans="1:1" x14ac:dyDescent="0.25">
      <c r="A2804" t="s">
        <v>2539</v>
      </c>
    </row>
    <row r="2805" spans="1:1" x14ac:dyDescent="0.25">
      <c r="A2805" t="s">
        <v>2540</v>
      </c>
    </row>
    <row r="2806" spans="1:1" x14ac:dyDescent="0.25">
      <c r="A2806" t="s">
        <v>2541</v>
      </c>
    </row>
    <row r="2807" spans="1:1" x14ac:dyDescent="0.25">
      <c r="A2807" t="s">
        <v>2542</v>
      </c>
    </row>
    <row r="2808" spans="1:1" x14ac:dyDescent="0.25">
      <c r="A2808" t="s">
        <v>2543</v>
      </c>
    </row>
    <row r="2809" spans="1:1" x14ac:dyDescent="0.25">
      <c r="A2809" t="s">
        <v>2544</v>
      </c>
    </row>
    <row r="2810" spans="1:1" x14ac:dyDescent="0.25">
      <c r="A2810" t="s">
        <v>2545</v>
      </c>
    </row>
    <row r="2811" spans="1:1" x14ac:dyDescent="0.25">
      <c r="A2811" t="s">
        <v>2546</v>
      </c>
    </row>
    <row r="2812" spans="1:1" x14ac:dyDescent="0.25">
      <c r="A2812" t="s">
        <v>2547</v>
      </c>
    </row>
    <row r="2813" spans="1:1" x14ac:dyDescent="0.25">
      <c r="A2813" t="s">
        <v>2548</v>
      </c>
    </row>
    <row r="2814" spans="1:1" x14ac:dyDescent="0.25">
      <c r="A2814" t="s">
        <v>2549</v>
      </c>
    </row>
    <row r="2815" spans="1:1" x14ac:dyDescent="0.25">
      <c r="A2815" t="s">
        <v>2550</v>
      </c>
    </row>
    <row r="2816" spans="1:1" x14ac:dyDescent="0.25">
      <c r="A2816" t="s">
        <v>2551</v>
      </c>
    </row>
    <row r="2817" spans="1:1" x14ac:dyDescent="0.25">
      <c r="A2817" t="s">
        <v>2552</v>
      </c>
    </row>
    <row r="2818" spans="1:1" x14ac:dyDescent="0.25">
      <c r="A2818" t="s">
        <v>2553</v>
      </c>
    </row>
    <row r="2819" spans="1:1" x14ac:dyDescent="0.25">
      <c r="A2819" t="s">
        <v>2554</v>
      </c>
    </row>
    <row r="2820" spans="1:1" x14ac:dyDescent="0.25">
      <c r="A2820" t="s">
        <v>2555</v>
      </c>
    </row>
    <row r="2821" spans="1:1" x14ac:dyDescent="0.25">
      <c r="A2821" t="s">
        <v>2556</v>
      </c>
    </row>
    <row r="2822" spans="1:1" x14ac:dyDescent="0.25">
      <c r="A2822" t="s">
        <v>2557</v>
      </c>
    </row>
    <row r="2823" spans="1:1" x14ac:dyDescent="0.25">
      <c r="A2823" t="s">
        <v>2558</v>
      </c>
    </row>
    <row r="2824" spans="1:1" x14ac:dyDescent="0.25">
      <c r="A2824" t="s">
        <v>2559</v>
      </c>
    </row>
    <row r="2825" spans="1:1" x14ac:dyDescent="0.25">
      <c r="A2825" t="s">
        <v>2560</v>
      </c>
    </row>
    <row r="2826" spans="1:1" x14ac:dyDescent="0.25">
      <c r="A2826" t="s">
        <v>2561</v>
      </c>
    </row>
    <row r="2827" spans="1:1" x14ac:dyDescent="0.25">
      <c r="A2827" t="s">
        <v>2562</v>
      </c>
    </row>
    <row r="2828" spans="1:1" x14ac:dyDescent="0.25">
      <c r="A2828" t="s">
        <v>2563</v>
      </c>
    </row>
    <row r="2829" spans="1:1" x14ac:dyDescent="0.25">
      <c r="A2829" t="s">
        <v>2564</v>
      </c>
    </row>
    <row r="2830" spans="1:1" x14ac:dyDescent="0.25">
      <c r="A2830" t="s">
        <v>2565</v>
      </c>
    </row>
    <row r="2831" spans="1:1" x14ac:dyDescent="0.25">
      <c r="A2831" t="s">
        <v>2566</v>
      </c>
    </row>
    <row r="2832" spans="1:1" x14ac:dyDescent="0.25">
      <c r="A2832" t="s">
        <v>2567</v>
      </c>
    </row>
    <row r="2833" spans="1:1" x14ac:dyDescent="0.25">
      <c r="A2833" t="s">
        <v>2568</v>
      </c>
    </row>
    <row r="2834" spans="1:1" x14ac:dyDescent="0.25">
      <c r="A2834" t="s">
        <v>2569</v>
      </c>
    </row>
    <row r="2835" spans="1:1" x14ac:dyDescent="0.25">
      <c r="A2835" t="s">
        <v>2570</v>
      </c>
    </row>
    <row r="2836" spans="1:1" x14ac:dyDescent="0.25">
      <c r="A2836" t="s">
        <v>2571</v>
      </c>
    </row>
    <row r="2837" spans="1:1" x14ac:dyDescent="0.25">
      <c r="A2837" t="s">
        <v>2572</v>
      </c>
    </row>
    <row r="2838" spans="1:1" x14ac:dyDescent="0.25">
      <c r="A2838" t="s">
        <v>2573</v>
      </c>
    </row>
    <row r="2839" spans="1:1" x14ac:dyDescent="0.25">
      <c r="A2839" t="s">
        <v>2574</v>
      </c>
    </row>
    <row r="2840" spans="1:1" x14ac:dyDescent="0.25">
      <c r="A2840" t="s">
        <v>2575</v>
      </c>
    </row>
    <row r="2841" spans="1:1" x14ac:dyDescent="0.25">
      <c r="A2841" t="s">
        <v>2576</v>
      </c>
    </row>
    <row r="2842" spans="1:1" x14ac:dyDescent="0.25">
      <c r="A2842" t="s">
        <v>2577</v>
      </c>
    </row>
    <row r="2843" spans="1:1" x14ac:dyDescent="0.25">
      <c r="A2843" t="s">
        <v>2578</v>
      </c>
    </row>
    <row r="2844" spans="1:1" x14ac:dyDescent="0.25">
      <c r="A2844" t="s">
        <v>2579</v>
      </c>
    </row>
    <row r="2845" spans="1:1" x14ac:dyDescent="0.25">
      <c r="A2845" t="s">
        <v>2580</v>
      </c>
    </row>
    <row r="2846" spans="1:1" x14ac:dyDescent="0.25">
      <c r="A2846" t="s">
        <v>2581</v>
      </c>
    </row>
    <row r="2847" spans="1:1" x14ac:dyDescent="0.25">
      <c r="A2847" t="s">
        <v>2582</v>
      </c>
    </row>
    <row r="2848" spans="1:1" x14ac:dyDescent="0.25">
      <c r="A2848" t="s">
        <v>2583</v>
      </c>
    </row>
    <row r="2849" spans="1:1" x14ac:dyDescent="0.25">
      <c r="A2849" t="s">
        <v>2584</v>
      </c>
    </row>
    <row r="2850" spans="1:1" x14ac:dyDescent="0.25">
      <c r="A2850" t="s">
        <v>2585</v>
      </c>
    </row>
    <row r="2851" spans="1:1" x14ac:dyDescent="0.25">
      <c r="A2851" t="s">
        <v>2586</v>
      </c>
    </row>
    <row r="2852" spans="1:1" x14ac:dyDescent="0.25">
      <c r="A2852" t="s">
        <v>2587</v>
      </c>
    </row>
    <row r="2853" spans="1:1" x14ac:dyDescent="0.25">
      <c r="A2853" t="s">
        <v>2588</v>
      </c>
    </row>
    <row r="2854" spans="1:1" x14ac:dyDescent="0.25">
      <c r="A2854" t="s">
        <v>2589</v>
      </c>
    </row>
    <row r="2855" spans="1:1" x14ac:dyDescent="0.25">
      <c r="A2855" t="s">
        <v>2590</v>
      </c>
    </row>
    <row r="2856" spans="1:1" x14ac:dyDescent="0.25">
      <c r="A2856" t="s">
        <v>2591</v>
      </c>
    </row>
    <row r="2857" spans="1:1" x14ac:dyDescent="0.25">
      <c r="A2857" t="s">
        <v>2592</v>
      </c>
    </row>
    <row r="2858" spans="1:1" x14ac:dyDescent="0.25">
      <c r="A2858" t="s">
        <v>2593</v>
      </c>
    </row>
    <row r="2859" spans="1:1" x14ac:dyDescent="0.25">
      <c r="A2859" t="s">
        <v>2594</v>
      </c>
    </row>
    <row r="2860" spans="1:1" x14ac:dyDescent="0.25">
      <c r="A2860" t="s">
        <v>2595</v>
      </c>
    </row>
    <row r="2861" spans="1:1" x14ac:dyDescent="0.25">
      <c r="A2861" t="s">
        <v>2596</v>
      </c>
    </row>
    <row r="2862" spans="1:1" x14ac:dyDescent="0.25">
      <c r="A2862" t="s">
        <v>2597</v>
      </c>
    </row>
    <row r="2863" spans="1:1" x14ac:dyDescent="0.25">
      <c r="A2863" t="s">
        <v>2598</v>
      </c>
    </row>
    <row r="2864" spans="1:1" x14ac:dyDescent="0.25">
      <c r="A2864" t="s">
        <v>2599</v>
      </c>
    </row>
    <row r="2865" spans="1:1" x14ac:dyDescent="0.25">
      <c r="A2865" t="s">
        <v>2600</v>
      </c>
    </row>
    <row r="2866" spans="1:1" x14ac:dyDescent="0.25">
      <c r="A2866" t="s">
        <v>2601</v>
      </c>
    </row>
    <row r="2867" spans="1:1" x14ac:dyDescent="0.25">
      <c r="A2867" t="s">
        <v>2602</v>
      </c>
    </row>
    <row r="2868" spans="1:1" x14ac:dyDescent="0.25">
      <c r="A2868" t="s">
        <v>2603</v>
      </c>
    </row>
    <row r="2869" spans="1:1" x14ac:dyDescent="0.25">
      <c r="A2869" t="s">
        <v>2604</v>
      </c>
    </row>
    <row r="2870" spans="1:1" x14ac:dyDescent="0.25">
      <c r="A2870" t="s">
        <v>2605</v>
      </c>
    </row>
    <row r="2871" spans="1:1" x14ac:dyDescent="0.25">
      <c r="A2871" t="s">
        <v>2606</v>
      </c>
    </row>
    <row r="2872" spans="1:1" x14ac:dyDescent="0.25">
      <c r="A2872" t="s">
        <v>2607</v>
      </c>
    </row>
    <row r="2873" spans="1:1" x14ac:dyDescent="0.25">
      <c r="A2873" t="s">
        <v>2608</v>
      </c>
    </row>
    <row r="2874" spans="1:1" x14ac:dyDescent="0.25">
      <c r="A2874" t="s">
        <v>2609</v>
      </c>
    </row>
    <row r="2875" spans="1:1" x14ac:dyDescent="0.25">
      <c r="A2875" t="s">
        <v>2610</v>
      </c>
    </row>
    <row r="2876" spans="1:1" x14ac:dyDescent="0.25">
      <c r="A2876" t="s">
        <v>2611</v>
      </c>
    </row>
    <row r="2877" spans="1:1" x14ac:dyDescent="0.25">
      <c r="A2877" t="s">
        <v>2612</v>
      </c>
    </row>
    <row r="2878" spans="1:1" x14ac:dyDescent="0.25">
      <c r="A2878" t="s">
        <v>2613</v>
      </c>
    </row>
    <row r="2879" spans="1:1" x14ac:dyDescent="0.25">
      <c r="A2879" t="s">
        <v>2614</v>
      </c>
    </row>
    <row r="2880" spans="1:1" x14ac:dyDescent="0.25">
      <c r="A2880" t="s">
        <v>2615</v>
      </c>
    </row>
    <row r="2881" spans="1:1" x14ac:dyDescent="0.25">
      <c r="A2881" t="s">
        <v>2616</v>
      </c>
    </row>
    <row r="2882" spans="1:1" x14ac:dyDescent="0.25">
      <c r="A2882" t="s">
        <v>2617</v>
      </c>
    </row>
    <row r="2883" spans="1:1" x14ac:dyDescent="0.25">
      <c r="A2883" t="s">
        <v>2618</v>
      </c>
    </row>
    <row r="2884" spans="1:1" x14ac:dyDescent="0.25">
      <c r="A2884" t="s">
        <v>2619</v>
      </c>
    </row>
    <row r="2885" spans="1:1" x14ac:dyDescent="0.25">
      <c r="A2885" t="s">
        <v>2620</v>
      </c>
    </row>
    <row r="2886" spans="1:1" x14ac:dyDescent="0.25">
      <c r="A2886" t="s">
        <v>2621</v>
      </c>
    </row>
    <row r="2887" spans="1:1" x14ac:dyDescent="0.25">
      <c r="A2887" t="s">
        <v>2622</v>
      </c>
    </row>
    <row r="2888" spans="1:1" x14ac:dyDescent="0.25">
      <c r="A2888" t="s">
        <v>2623</v>
      </c>
    </row>
    <row r="2889" spans="1:1" x14ac:dyDescent="0.25">
      <c r="A2889" t="s">
        <v>2624</v>
      </c>
    </row>
    <row r="2890" spans="1:1" x14ac:dyDescent="0.25">
      <c r="A2890" t="s">
        <v>2625</v>
      </c>
    </row>
    <row r="2891" spans="1:1" x14ac:dyDescent="0.25">
      <c r="A2891" t="s">
        <v>2626</v>
      </c>
    </row>
    <row r="2892" spans="1:1" x14ac:dyDescent="0.25">
      <c r="A2892" t="s">
        <v>2627</v>
      </c>
    </row>
    <row r="2893" spans="1:1" x14ac:dyDescent="0.25">
      <c r="A2893" t="s">
        <v>2628</v>
      </c>
    </row>
    <row r="2894" spans="1:1" x14ac:dyDescent="0.25">
      <c r="A2894" t="s">
        <v>2629</v>
      </c>
    </row>
    <row r="2895" spans="1:1" x14ac:dyDescent="0.25">
      <c r="A2895" t="s">
        <v>2630</v>
      </c>
    </row>
    <row r="2896" spans="1:1" x14ac:dyDescent="0.25">
      <c r="A2896" t="s">
        <v>2631</v>
      </c>
    </row>
    <row r="2897" spans="1:1" x14ac:dyDescent="0.25">
      <c r="A2897" t="s">
        <v>2632</v>
      </c>
    </row>
    <row r="2898" spans="1:1" x14ac:dyDescent="0.25">
      <c r="A2898" t="s">
        <v>2633</v>
      </c>
    </row>
    <row r="2899" spans="1:1" x14ac:dyDescent="0.25">
      <c r="A2899" t="s">
        <v>2634</v>
      </c>
    </row>
    <row r="2900" spans="1:1" x14ac:dyDescent="0.25">
      <c r="A2900" t="s">
        <v>2635</v>
      </c>
    </row>
    <row r="2901" spans="1:1" x14ac:dyDescent="0.25">
      <c r="A2901" t="s">
        <v>2636</v>
      </c>
    </row>
    <row r="2902" spans="1:1" x14ac:dyDescent="0.25">
      <c r="A2902" t="s">
        <v>2637</v>
      </c>
    </row>
    <row r="2903" spans="1:1" x14ac:dyDescent="0.25">
      <c r="A2903" t="s">
        <v>2638</v>
      </c>
    </row>
    <row r="2904" spans="1:1" x14ac:dyDescent="0.25">
      <c r="A2904" t="s">
        <v>2639</v>
      </c>
    </row>
    <row r="2905" spans="1:1" x14ac:dyDescent="0.25">
      <c r="A2905" t="s">
        <v>2640</v>
      </c>
    </row>
    <row r="2906" spans="1:1" x14ac:dyDescent="0.25">
      <c r="A2906" t="s">
        <v>2641</v>
      </c>
    </row>
    <row r="2907" spans="1:1" x14ac:dyDescent="0.25">
      <c r="A2907" t="s">
        <v>2642</v>
      </c>
    </row>
    <row r="2908" spans="1:1" x14ac:dyDescent="0.25">
      <c r="A2908" t="s">
        <v>2643</v>
      </c>
    </row>
    <row r="2909" spans="1:1" x14ac:dyDescent="0.25">
      <c r="A2909" t="s">
        <v>2644</v>
      </c>
    </row>
    <row r="2910" spans="1:1" x14ac:dyDescent="0.25">
      <c r="A2910" t="s">
        <v>2645</v>
      </c>
    </row>
    <row r="2911" spans="1:1" x14ac:dyDescent="0.25">
      <c r="A2911" t="s">
        <v>2646</v>
      </c>
    </row>
    <row r="2912" spans="1:1" x14ac:dyDescent="0.25">
      <c r="A2912" t="s">
        <v>2647</v>
      </c>
    </row>
    <row r="2913" spans="1:1" x14ac:dyDescent="0.25">
      <c r="A2913" t="s">
        <v>2648</v>
      </c>
    </row>
    <row r="2914" spans="1:1" x14ac:dyDescent="0.25">
      <c r="A2914" t="s">
        <v>2649</v>
      </c>
    </row>
    <row r="2915" spans="1:1" x14ac:dyDescent="0.25">
      <c r="A2915" t="s">
        <v>2650</v>
      </c>
    </row>
    <row r="2916" spans="1:1" x14ac:dyDescent="0.25">
      <c r="A2916" t="s">
        <v>2651</v>
      </c>
    </row>
    <row r="2917" spans="1:1" x14ac:dyDescent="0.25">
      <c r="A2917" t="s">
        <v>2652</v>
      </c>
    </row>
    <row r="2918" spans="1:1" x14ac:dyDescent="0.25">
      <c r="A2918" t="s">
        <v>2653</v>
      </c>
    </row>
    <row r="2919" spans="1:1" x14ac:dyDescent="0.25">
      <c r="A2919" t="s">
        <v>2654</v>
      </c>
    </row>
    <row r="2920" spans="1:1" x14ac:dyDescent="0.25">
      <c r="A2920" t="s">
        <v>2655</v>
      </c>
    </row>
    <row r="2921" spans="1:1" x14ac:dyDescent="0.25">
      <c r="A2921" t="s">
        <v>2656</v>
      </c>
    </row>
    <row r="2922" spans="1:1" x14ac:dyDescent="0.25">
      <c r="A2922" t="s">
        <v>2657</v>
      </c>
    </row>
    <row r="2923" spans="1:1" x14ac:dyDescent="0.25">
      <c r="A2923" t="s">
        <v>2658</v>
      </c>
    </row>
    <row r="2924" spans="1:1" x14ac:dyDescent="0.25">
      <c r="A2924" t="s">
        <v>2659</v>
      </c>
    </row>
    <row r="2925" spans="1:1" x14ac:dyDescent="0.25">
      <c r="A2925" t="s">
        <v>2660</v>
      </c>
    </row>
    <row r="2926" spans="1:1" x14ac:dyDescent="0.25">
      <c r="A2926" t="s">
        <v>2661</v>
      </c>
    </row>
    <row r="2927" spans="1:1" x14ac:dyDescent="0.25">
      <c r="A2927" t="s">
        <v>2662</v>
      </c>
    </row>
    <row r="2928" spans="1:1" x14ac:dyDescent="0.25">
      <c r="A2928" t="s">
        <v>2663</v>
      </c>
    </row>
    <row r="2929" spans="1:1" x14ac:dyDescent="0.25">
      <c r="A2929" t="s">
        <v>2664</v>
      </c>
    </row>
    <row r="2930" spans="1:1" x14ac:dyDescent="0.25">
      <c r="A2930" t="s">
        <v>2665</v>
      </c>
    </row>
    <row r="2931" spans="1:1" x14ac:dyDescent="0.25">
      <c r="A2931" t="s">
        <v>2666</v>
      </c>
    </row>
    <row r="2932" spans="1:1" x14ac:dyDescent="0.25">
      <c r="A2932" t="s">
        <v>2667</v>
      </c>
    </row>
    <row r="2933" spans="1:1" x14ac:dyDescent="0.25">
      <c r="A2933" t="s">
        <v>2668</v>
      </c>
    </row>
    <row r="2934" spans="1:1" x14ac:dyDescent="0.25">
      <c r="A2934" t="s">
        <v>2669</v>
      </c>
    </row>
    <row r="2935" spans="1:1" x14ac:dyDescent="0.25">
      <c r="A2935" t="s">
        <v>2670</v>
      </c>
    </row>
    <row r="2936" spans="1:1" x14ac:dyDescent="0.25">
      <c r="A2936" t="s">
        <v>2671</v>
      </c>
    </row>
    <row r="2937" spans="1:1" x14ac:dyDescent="0.25">
      <c r="A2937" t="s">
        <v>2672</v>
      </c>
    </row>
    <row r="2938" spans="1:1" x14ac:dyDescent="0.25">
      <c r="A2938" t="s">
        <v>2673</v>
      </c>
    </row>
    <row r="2939" spans="1:1" x14ac:dyDescent="0.25">
      <c r="A2939" t="s">
        <v>2674</v>
      </c>
    </row>
    <row r="2940" spans="1:1" x14ac:dyDescent="0.25">
      <c r="A2940" t="s">
        <v>2675</v>
      </c>
    </row>
    <row r="2941" spans="1:1" x14ac:dyDescent="0.25">
      <c r="A2941" t="s">
        <v>2676</v>
      </c>
    </row>
    <row r="2942" spans="1:1" x14ac:dyDescent="0.25">
      <c r="A2942" t="s">
        <v>2677</v>
      </c>
    </row>
    <row r="2943" spans="1:1" x14ac:dyDescent="0.25">
      <c r="A2943" t="s">
        <v>2678</v>
      </c>
    </row>
    <row r="2944" spans="1:1" x14ac:dyDescent="0.25">
      <c r="A2944" t="s">
        <v>2679</v>
      </c>
    </row>
    <row r="2945" spans="1:1" x14ac:dyDescent="0.25">
      <c r="A2945" t="s">
        <v>2680</v>
      </c>
    </row>
    <row r="2946" spans="1:1" x14ac:dyDescent="0.25">
      <c r="A2946" t="s">
        <v>2681</v>
      </c>
    </row>
    <row r="2947" spans="1:1" x14ac:dyDescent="0.25">
      <c r="A2947" t="s">
        <v>2682</v>
      </c>
    </row>
    <row r="2948" spans="1:1" x14ac:dyDescent="0.25">
      <c r="A2948" t="s">
        <v>2683</v>
      </c>
    </row>
    <row r="2949" spans="1:1" x14ac:dyDescent="0.25">
      <c r="A2949" t="s">
        <v>2684</v>
      </c>
    </row>
    <row r="2950" spans="1:1" x14ac:dyDescent="0.25">
      <c r="A2950" t="s">
        <v>2685</v>
      </c>
    </row>
    <row r="2951" spans="1:1" x14ac:dyDescent="0.25">
      <c r="A2951" t="s">
        <v>2686</v>
      </c>
    </row>
    <row r="2952" spans="1:1" x14ac:dyDescent="0.25">
      <c r="A2952" t="s">
        <v>2687</v>
      </c>
    </row>
    <row r="2953" spans="1:1" x14ac:dyDescent="0.25">
      <c r="A2953" t="s">
        <v>2688</v>
      </c>
    </row>
    <row r="2954" spans="1:1" x14ac:dyDescent="0.25">
      <c r="A2954" t="s">
        <v>2689</v>
      </c>
    </row>
    <row r="2955" spans="1:1" x14ac:dyDescent="0.25">
      <c r="A2955" t="s">
        <v>2690</v>
      </c>
    </row>
    <row r="2956" spans="1:1" x14ac:dyDescent="0.25">
      <c r="A2956" t="s">
        <v>2691</v>
      </c>
    </row>
    <row r="2957" spans="1:1" x14ac:dyDescent="0.25">
      <c r="A2957" t="s">
        <v>2692</v>
      </c>
    </row>
    <row r="2958" spans="1:1" x14ac:dyDescent="0.25">
      <c r="A2958" t="s">
        <v>2693</v>
      </c>
    </row>
    <row r="2959" spans="1:1" x14ac:dyDescent="0.25">
      <c r="A2959" t="s">
        <v>2694</v>
      </c>
    </row>
    <row r="2960" spans="1:1" x14ac:dyDescent="0.25">
      <c r="A2960" t="s">
        <v>2695</v>
      </c>
    </row>
    <row r="2961" spans="1:1" x14ac:dyDescent="0.25">
      <c r="A2961" t="s">
        <v>2696</v>
      </c>
    </row>
    <row r="2962" spans="1:1" x14ac:dyDescent="0.25">
      <c r="A2962" t="s">
        <v>2697</v>
      </c>
    </row>
    <row r="2963" spans="1:1" x14ac:dyDescent="0.25">
      <c r="A2963" t="s">
        <v>2698</v>
      </c>
    </row>
    <row r="2964" spans="1:1" x14ac:dyDescent="0.25">
      <c r="A2964" t="s">
        <v>2699</v>
      </c>
    </row>
    <row r="2965" spans="1:1" x14ac:dyDescent="0.25">
      <c r="A2965" t="s">
        <v>2700</v>
      </c>
    </row>
    <row r="2966" spans="1:1" x14ac:dyDescent="0.25">
      <c r="A2966" t="s">
        <v>2701</v>
      </c>
    </row>
    <row r="2967" spans="1:1" x14ac:dyDescent="0.25">
      <c r="A2967" t="s">
        <v>2702</v>
      </c>
    </row>
    <row r="2968" spans="1:1" x14ac:dyDescent="0.25">
      <c r="A2968" t="s">
        <v>2703</v>
      </c>
    </row>
    <row r="2969" spans="1:1" x14ac:dyDescent="0.25">
      <c r="A2969" t="s">
        <v>2704</v>
      </c>
    </row>
    <row r="2970" spans="1:1" x14ac:dyDescent="0.25">
      <c r="A2970" t="s">
        <v>2705</v>
      </c>
    </row>
    <row r="2971" spans="1:1" x14ac:dyDescent="0.25">
      <c r="A2971" t="s">
        <v>2706</v>
      </c>
    </row>
    <row r="2972" spans="1:1" x14ac:dyDescent="0.25">
      <c r="A2972" t="s">
        <v>2707</v>
      </c>
    </row>
    <row r="2973" spans="1:1" x14ac:dyDescent="0.25">
      <c r="A2973" t="s">
        <v>2708</v>
      </c>
    </row>
    <row r="2974" spans="1:1" x14ac:dyDescent="0.25">
      <c r="A2974" t="s">
        <v>2709</v>
      </c>
    </row>
    <row r="2975" spans="1:1" x14ac:dyDescent="0.25">
      <c r="A2975" t="s">
        <v>2710</v>
      </c>
    </row>
    <row r="2976" spans="1:1" x14ac:dyDescent="0.25">
      <c r="A2976" t="s">
        <v>2711</v>
      </c>
    </row>
    <row r="2977" spans="1:1" x14ac:dyDescent="0.25">
      <c r="A2977" t="s">
        <v>2712</v>
      </c>
    </row>
    <row r="2978" spans="1:1" x14ac:dyDescent="0.25">
      <c r="A2978" t="s">
        <v>2713</v>
      </c>
    </row>
    <row r="2979" spans="1:1" x14ac:dyDescent="0.25">
      <c r="A2979" t="s">
        <v>2714</v>
      </c>
    </row>
    <row r="2980" spans="1:1" x14ac:dyDescent="0.25">
      <c r="A2980" t="s">
        <v>2715</v>
      </c>
    </row>
    <row r="2981" spans="1:1" x14ac:dyDescent="0.25">
      <c r="A2981" t="s">
        <v>2716</v>
      </c>
    </row>
    <row r="2982" spans="1:1" x14ac:dyDescent="0.25">
      <c r="A2982" t="s">
        <v>2717</v>
      </c>
    </row>
    <row r="2983" spans="1:1" x14ac:dyDescent="0.25">
      <c r="A2983" t="s">
        <v>2718</v>
      </c>
    </row>
    <row r="2984" spans="1:1" x14ac:dyDescent="0.25">
      <c r="A2984" t="s">
        <v>2719</v>
      </c>
    </row>
    <row r="2985" spans="1:1" x14ac:dyDescent="0.25">
      <c r="A2985" t="s">
        <v>2720</v>
      </c>
    </row>
    <row r="2986" spans="1:1" x14ac:dyDescent="0.25">
      <c r="A2986" t="s">
        <v>2721</v>
      </c>
    </row>
    <row r="2987" spans="1:1" x14ac:dyDescent="0.25">
      <c r="A2987" t="s">
        <v>2722</v>
      </c>
    </row>
    <row r="2988" spans="1:1" x14ac:dyDescent="0.25">
      <c r="A2988" t="s">
        <v>2723</v>
      </c>
    </row>
    <row r="2989" spans="1:1" x14ac:dyDescent="0.25">
      <c r="A2989" t="s">
        <v>2724</v>
      </c>
    </row>
    <row r="2990" spans="1:1" x14ac:dyDescent="0.25">
      <c r="A2990" t="s">
        <v>2725</v>
      </c>
    </row>
    <row r="2991" spans="1:1" x14ac:dyDescent="0.25">
      <c r="A2991" t="s">
        <v>2726</v>
      </c>
    </row>
    <row r="2992" spans="1:1" x14ac:dyDescent="0.25">
      <c r="A2992" t="s">
        <v>2727</v>
      </c>
    </row>
    <row r="2993" spans="1:1" x14ac:dyDescent="0.25">
      <c r="A2993" t="s">
        <v>2728</v>
      </c>
    </row>
    <row r="2994" spans="1:1" x14ac:dyDescent="0.25">
      <c r="A2994" t="s">
        <v>2729</v>
      </c>
    </row>
    <row r="2995" spans="1:1" x14ac:dyDescent="0.25">
      <c r="A2995" t="s">
        <v>2730</v>
      </c>
    </row>
    <row r="2996" spans="1:1" x14ac:dyDescent="0.25">
      <c r="A2996" t="s">
        <v>2731</v>
      </c>
    </row>
    <row r="2997" spans="1:1" x14ac:dyDescent="0.25">
      <c r="A2997" t="s">
        <v>2732</v>
      </c>
    </row>
    <row r="2998" spans="1:1" x14ac:dyDescent="0.25">
      <c r="A2998" t="s">
        <v>2733</v>
      </c>
    </row>
    <row r="2999" spans="1:1" x14ac:dyDescent="0.25">
      <c r="A2999" t="s">
        <v>2734</v>
      </c>
    </row>
    <row r="3000" spans="1:1" x14ac:dyDescent="0.25">
      <c r="A3000" t="s">
        <v>2735</v>
      </c>
    </row>
    <row r="3001" spans="1:1" x14ac:dyDescent="0.25">
      <c r="A3001" t="s">
        <v>2736</v>
      </c>
    </row>
    <row r="3002" spans="1:1" x14ac:dyDescent="0.25">
      <c r="A3002" t="s">
        <v>2737</v>
      </c>
    </row>
    <row r="3003" spans="1:1" x14ac:dyDescent="0.25">
      <c r="A3003" t="s">
        <v>2738</v>
      </c>
    </row>
    <row r="3004" spans="1:1" x14ac:dyDescent="0.25">
      <c r="A3004" t="s">
        <v>2739</v>
      </c>
    </row>
    <row r="3005" spans="1:1" x14ac:dyDescent="0.25">
      <c r="A3005" t="s">
        <v>2740</v>
      </c>
    </row>
    <row r="3006" spans="1:1" x14ac:dyDescent="0.25">
      <c r="A3006" t="s">
        <v>2741</v>
      </c>
    </row>
    <row r="3007" spans="1:1" x14ac:dyDescent="0.25">
      <c r="A3007" t="s">
        <v>2742</v>
      </c>
    </row>
    <row r="3008" spans="1:1" x14ac:dyDescent="0.25">
      <c r="A3008" t="s">
        <v>2743</v>
      </c>
    </row>
    <row r="3009" spans="1:1" x14ac:dyDescent="0.25">
      <c r="A3009" t="s">
        <v>2744</v>
      </c>
    </row>
    <row r="3010" spans="1:1" x14ac:dyDescent="0.25">
      <c r="A3010" t="s">
        <v>2745</v>
      </c>
    </row>
    <row r="3011" spans="1:1" x14ac:dyDescent="0.25">
      <c r="A3011" t="s">
        <v>2746</v>
      </c>
    </row>
    <row r="3012" spans="1:1" x14ac:dyDescent="0.25">
      <c r="A3012" t="s">
        <v>2747</v>
      </c>
    </row>
    <row r="3013" spans="1:1" x14ac:dyDescent="0.25">
      <c r="A3013" t="s">
        <v>2748</v>
      </c>
    </row>
    <row r="3014" spans="1:1" x14ac:dyDescent="0.25">
      <c r="A3014" t="s">
        <v>2749</v>
      </c>
    </row>
    <row r="3015" spans="1:1" x14ac:dyDescent="0.25">
      <c r="A3015" t="s">
        <v>2750</v>
      </c>
    </row>
    <row r="3016" spans="1:1" x14ac:dyDescent="0.25">
      <c r="A3016" t="s">
        <v>2751</v>
      </c>
    </row>
    <row r="3017" spans="1:1" x14ac:dyDescent="0.25">
      <c r="A3017" t="s">
        <v>2752</v>
      </c>
    </row>
    <row r="3018" spans="1:1" x14ac:dyDescent="0.25">
      <c r="A3018" t="s">
        <v>2753</v>
      </c>
    </row>
    <row r="3019" spans="1:1" x14ac:dyDescent="0.25">
      <c r="A3019" t="s">
        <v>2754</v>
      </c>
    </row>
    <row r="3020" spans="1:1" x14ac:dyDescent="0.25">
      <c r="A3020" t="s">
        <v>2755</v>
      </c>
    </row>
    <row r="3021" spans="1:1" x14ac:dyDescent="0.25">
      <c r="A3021" t="s">
        <v>2756</v>
      </c>
    </row>
    <row r="3022" spans="1:1" x14ac:dyDescent="0.25">
      <c r="A3022" t="s">
        <v>2757</v>
      </c>
    </row>
    <row r="3023" spans="1:1" x14ac:dyDescent="0.25">
      <c r="A3023" t="s">
        <v>2758</v>
      </c>
    </row>
    <row r="3024" spans="1:1" x14ac:dyDescent="0.25">
      <c r="A3024" t="s">
        <v>2759</v>
      </c>
    </row>
    <row r="3025" spans="1:1" x14ac:dyDescent="0.25">
      <c r="A3025" t="s">
        <v>2760</v>
      </c>
    </row>
    <row r="3026" spans="1:1" x14ac:dyDescent="0.25">
      <c r="A3026" t="s">
        <v>2761</v>
      </c>
    </row>
    <row r="3027" spans="1:1" x14ac:dyDescent="0.25">
      <c r="A3027" t="s">
        <v>2762</v>
      </c>
    </row>
    <row r="3028" spans="1:1" x14ac:dyDescent="0.25">
      <c r="A3028" t="s">
        <v>2763</v>
      </c>
    </row>
    <row r="3029" spans="1:1" x14ac:dyDescent="0.25">
      <c r="A3029" t="s">
        <v>2764</v>
      </c>
    </row>
    <row r="3030" spans="1:1" x14ac:dyDescent="0.25">
      <c r="A3030" t="s">
        <v>2765</v>
      </c>
    </row>
    <row r="3031" spans="1:1" x14ac:dyDescent="0.25">
      <c r="A3031" t="s">
        <v>2766</v>
      </c>
    </row>
    <row r="3032" spans="1:1" x14ac:dyDescent="0.25">
      <c r="A3032" t="s">
        <v>2767</v>
      </c>
    </row>
    <row r="3033" spans="1:1" x14ac:dyDescent="0.25">
      <c r="A3033" t="s">
        <v>2768</v>
      </c>
    </row>
    <row r="3034" spans="1:1" x14ac:dyDescent="0.25">
      <c r="A3034" t="s">
        <v>2769</v>
      </c>
    </row>
    <row r="3035" spans="1:1" x14ac:dyDescent="0.25">
      <c r="A3035" t="s">
        <v>2770</v>
      </c>
    </row>
    <row r="3036" spans="1:1" x14ac:dyDescent="0.25">
      <c r="A3036" t="s">
        <v>2771</v>
      </c>
    </row>
    <row r="3037" spans="1:1" x14ac:dyDescent="0.25">
      <c r="A3037" t="s">
        <v>2772</v>
      </c>
    </row>
    <row r="3038" spans="1:1" x14ac:dyDescent="0.25">
      <c r="A3038" t="s">
        <v>2773</v>
      </c>
    </row>
    <row r="3039" spans="1:1" x14ac:dyDescent="0.25">
      <c r="A3039" t="s">
        <v>2774</v>
      </c>
    </row>
    <row r="3040" spans="1:1" x14ac:dyDescent="0.25">
      <c r="A3040" t="s">
        <v>2775</v>
      </c>
    </row>
    <row r="3041" spans="1:1" x14ac:dyDescent="0.25">
      <c r="A3041" t="s">
        <v>2776</v>
      </c>
    </row>
    <row r="3042" spans="1:1" x14ac:dyDescent="0.25">
      <c r="A3042" t="s">
        <v>2777</v>
      </c>
    </row>
    <row r="3043" spans="1:1" x14ac:dyDescent="0.25">
      <c r="A3043" t="s">
        <v>2778</v>
      </c>
    </row>
    <row r="3044" spans="1:1" x14ac:dyDescent="0.25">
      <c r="A3044" t="s">
        <v>2779</v>
      </c>
    </row>
    <row r="3045" spans="1:1" x14ac:dyDescent="0.25">
      <c r="A3045" t="s">
        <v>2780</v>
      </c>
    </row>
    <row r="3046" spans="1:1" x14ac:dyDescent="0.25">
      <c r="A3046" t="s">
        <v>2781</v>
      </c>
    </row>
    <row r="3047" spans="1:1" x14ac:dyDescent="0.25">
      <c r="A3047" t="s">
        <v>2782</v>
      </c>
    </row>
    <row r="3048" spans="1:1" x14ac:dyDescent="0.25">
      <c r="A3048" t="s">
        <v>2783</v>
      </c>
    </row>
    <row r="3049" spans="1:1" x14ac:dyDescent="0.25">
      <c r="A3049" t="s">
        <v>2784</v>
      </c>
    </row>
    <row r="3050" spans="1:1" x14ac:dyDescent="0.25">
      <c r="A3050" t="s">
        <v>2785</v>
      </c>
    </row>
    <row r="3051" spans="1:1" x14ac:dyDescent="0.25">
      <c r="A3051" t="s">
        <v>2786</v>
      </c>
    </row>
    <row r="3052" spans="1:1" x14ac:dyDescent="0.25">
      <c r="A3052" t="s">
        <v>2787</v>
      </c>
    </row>
    <row r="3053" spans="1:1" x14ac:dyDescent="0.25">
      <c r="A3053" t="s">
        <v>2788</v>
      </c>
    </row>
    <row r="3054" spans="1:1" x14ac:dyDescent="0.25">
      <c r="A3054" t="s">
        <v>2789</v>
      </c>
    </row>
    <row r="3055" spans="1:1" x14ac:dyDescent="0.25">
      <c r="A3055" t="s">
        <v>2790</v>
      </c>
    </row>
    <row r="3056" spans="1:1" x14ac:dyDescent="0.25">
      <c r="A3056" t="s">
        <v>2791</v>
      </c>
    </row>
    <row r="3057" spans="1:1" x14ac:dyDescent="0.25">
      <c r="A3057" t="s">
        <v>2792</v>
      </c>
    </row>
    <row r="3058" spans="1:1" x14ac:dyDescent="0.25">
      <c r="A3058" t="s">
        <v>2793</v>
      </c>
    </row>
    <row r="3059" spans="1:1" x14ac:dyDescent="0.25">
      <c r="A3059" t="s">
        <v>2794</v>
      </c>
    </row>
    <row r="3060" spans="1:1" x14ac:dyDescent="0.25">
      <c r="A3060" t="s">
        <v>2795</v>
      </c>
    </row>
    <row r="3061" spans="1:1" x14ac:dyDescent="0.25">
      <c r="A3061" t="s">
        <v>2796</v>
      </c>
    </row>
    <row r="3062" spans="1:1" x14ac:dyDescent="0.25">
      <c r="A3062" t="s">
        <v>2797</v>
      </c>
    </row>
    <row r="3063" spans="1:1" x14ac:dyDescent="0.25">
      <c r="A3063" t="s">
        <v>2798</v>
      </c>
    </row>
    <row r="3064" spans="1:1" x14ac:dyDescent="0.25">
      <c r="A3064" t="s">
        <v>2799</v>
      </c>
    </row>
    <row r="3065" spans="1:1" x14ac:dyDescent="0.25">
      <c r="A3065" t="s">
        <v>2800</v>
      </c>
    </row>
    <row r="3066" spans="1:1" x14ac:dyDescent="0.25">
      <c r="A3066" t="s">
        <v>2801</v>
      </c>
    </row>
    <row r="3067" spans="1:1" x14ac:dyDescent="0.25">
      <c r="A3067" t="s">
        <v>2802</v>
      </c>
    </row>
    <row r="3068" spans="1:1" x14ac:dyDescent="0.25">
      <c r="A3068" t="s">
        <v>2803</v>
      </c>
    </row>
    <row r="3069" spans="1:1" x14ac:dyDescent="0.25">
      <c r="A3069" t="s">
        <v>2804</v>
      </c>
    </row>
    <row r="3070" spans="1:1" x14ac:dyDescent="0.25">
      <c r="A3070" t="s">
        <v>2805</v>
      </c>
    </row>
    <row r="3071" spans="1:1" x14ac:dyDescent="0.25">
      <c r="A3071" t="s">
        <v>2806</v>
      </c>
    </row>
    <row r="3072" spans="1:1" x14ac:dyDescent="0.25">
      <c r="A3072" t="s">
        <v>2807</v>
      </c>
    </row>
    <row r="3073" spans="1:1" x14ac:dyDescent="0.25">
      <c r="A3073" t="s">
        <v>2808</v>
      </c>
    </row>
    <row r="3074" spans="1:1" x14ac:dyDescent="0.25">
      <c r="A3074" t="s">
        <v>2809</v>
      </c>
    </row>
    <row r="3075" spans="1:1" x14ac:dyDescent="0.25">
      <c r="A3075" t="s">
        <v>2810</v>
      </c>
    </row>
    <row r="3076" spans="1:1" x14ac:dyDescent="0.25">
      <c r="A3076" t="s">
        <v>2811</v>
      </c>
    </row>
    <row r="3077" spans="1:1" x14ac:dyDescent="0.25">
      <c r="A3077" t="s">
        <v>2812</v>
      </c>
    </row>
    <row r="3078" spans="1:1" x14ac:dyDescent="0.25">
      <c r="A3078" t="s">
        <v>2813</v>
      </c>
    </row>
    <row r="3079" spans="1:1" x14ac:dyDescent="0.25">
      <c r="A3079" t="s">
        <v>2814</v>
      </c>
    </row>
    <row r="3080" spans="1:1" x14ac:dyDescent="0.25">
      <c r="A3080" t="s">
        <v>2815</v>
      </c>
    </row>
    <row r="3081" spans="1:1" x14ac:dyDescent="0.25">
      <c r="A3081" t="s">
        <v>2816</v>
      </c>
    </row>
    <row r="3082" spans="1:1" x14ac:dyDescent="0.25">
      <c r="A3082" t="s">
        <v>2817</v>
      </c>
    </row>
    <row r="3083" spans="1:1" x14ac:dyDescent="0.25">
      <c r="A3083" t="s">
        <v>2818</v>
      </c>
    </row>
    <row r="3084" spans="1:1" x14ac:dyDescent="0.25">
      <c r="A3084" t="s">
        <v>2819</v>
      </c>
    </row>
    <row r="3085" spans="1:1" x14ac:dyDescent="0.25">
      <c r="A3085" t="s">
        <v>2820</v>
      </c>
    </row>
    <row r="3086" spans="1:1" x14ac:dyDescent="0.25">
      <c r="A3086" t="s">
        <v>2821</v>
      </c>
    </row>
    <row r="3087" spans="1:1" x14ac:dyDescent="0.25">
      <c r="A3087" t="s">
        <v>2822</v>
      </c>
    </row>
    <row r="3088" spans="1:1" x14ac:dyDescent="0.25">
      <c r="A3088" t="s">
        <v>2823</v>
      </c>
    </row>
    <row r="3089" spans="1:1" x14ac:dyDescent="0.25">
      <c r="A3089" t="s">
        <v>2824</v>
      </c>
    </row>
    <row r="3090" spans="1:1" x14ac:dyDescent="0.25">
      <c r="A3090" t="s">
        <v>2825</v>
      </c>
    </row>
    <row r="3091" spans="1:1" x14ac:dyDescent="0.25">
      <c r="A3091" t="s">
        <v>2826</v>
      </c>
    </row>
    <row r="3092" spans="1:1" x14ac:dyDescent="0.25">
      <c r="A3092" t="s">
        <v>2827</v>
      </c>
    </row>
    <row r="3093" spans="1:1" x14ac:dyDescent="0.25">
      <c r="A3093" t="s">
        <v>2828</v>
      </c>
    </row>
    <row r="3094" spans="1:1" x14ac:dyDescent="0.25">
      <c r="A3094" t="s">
        <v>2829</v>
      </c>
    </row>
    <row r="3095" spans="1:1" x14ac:dyDescent="0.25">
      <c r="A3095" t="s">
        <v>2830</v>
      </c>
    </row>
    <row r="3096" spans="1:1" x14ac:dyDescent="0.25">
      <c r="A3096" t="s">
        <v>2831</v>
      </c>
    </row>
    <row r="3097" spans="1:1" x14ac:dyDescent="0.25">
      <c r="A3097" t="s">
        <v>2832</v>
      </c>
    </row>
    <row r="3098" spans="1:1" x14ac:dyDescent="0.25">
      <c r="A3098" t="s">
        <v>2833</v>
      </c>
    </row>
    <row r="3099" spans="1:1" x14ac:dyDescent="0.25">
      <c r="A3099" t="s">
        <v>2834</v>
      </c>
    </row>
    <row r="3100" spans="1:1" x14ac:dyDescent="0.25">
      <c r="A3100" t="s">
        <v>2835</v>
      </c>
    </row>
    <row r="3101" spans="1:1" x14ac:dyDescent="0.25">
      <c r="A3101" t="s">
        <v>2836</v>
      </c>
    </row>
    <row r="3102" spans="1:1" x14ac:dyDescent="0.25">
      <c r="A3102" t="s">
        <v>2837</v>
      </c>
    </row>
    <row r="3103" spans="1:1" x14ac:dyDescent="0.25">
      <c r="A3103" t="s">
        <v>2838</v>
      </c>
    </row>
    <row r="3104" spans="1:1" x14ac:dyDescent="0.25">
      <c r="A3104" t="s">
        <v>2839</v>
      </c>
    </row>
    <row r="3105" spans="1:1" x14ac:dyDescent="0.25">
      <c r="A3105" t="s">
        <v>2840</v>
      </c>
    </row>
    <row r="3106" spans="1:1" x14ac:dyDescent="0.25">
      <c r="A3106" t="s">
        <v>2841</v>
      </c>
    </row>
    <row r="3107" spans="1:1" x14ac:dyDescent="0.25">
      <c r="A3107" t="s">
        <v>2842</v>
      </c>
    </row>
    <row r="3108" spans="1:1" x14ac:dyDescent="0.25">
      <c r="A3108" t="s">
        <v>2843</v>
      </c>
    </row>
    <row r="3109" spans="1:1" x14ac:dyDescent="0.25">
      <c r="A3109" t="s">
        <v>2844</v>
      </c>
    </row>
    <row r="3110" spans="1:1" x14ac:dyDescent="0.25">
      <c r="A3110" t="s">
        <v>2845</v>
      </c>
    </row>
    <row r="3111" spans="1:1" x14ac:dyDescent="0.25">
      <c r="A3111" t="s">
        <v>2846</v>
      </c>
    </row>
    <row r="3112" spans="1:1" x14ac:dyDescent="0.25">
      <c r="A3112" t="s">
        <v>2847</v>
      </c>
    </row>
    <row r="3113" spans="1:1" x14ac:dyDescent="0.25">
      <c r="A3113" t="s">
        <v>2848</v>
      </c>
    </row>
    <row r="3114" spans="1:1" x14ac:dyDescent="0.25">
      <c r="A3114" t="s">
        <v>2849</v>
      </c>
    </row>
    <row r="3115" spans="1:1" x14ac:dyDescent="0.25">
      <c r="A3115" t="s">
        <v>2850</v>
      </c>
    </row>
    <row r="3116" spans="1:1" x14ac:dyDescent="0.25">
      <c r="A3116" t="s">
        <v>2851</v>
      </c>
    </row>
    <row r="3117" spans="1:1" x14ac:dyDescent="0.25">
      <c r="A3117" t="s">
        <v>2852</v>
      </c>
    </row>
    <row r="3118" spans="1:1" x14ac:dyDescent="0.25">
      <c r="A3118" t="s">
        <v>2853</v>
      </c>
    </row>
    <row r="3119" spans="1:1" x14ac:dyDescent="0.25">
      <c r="A3119" t="s">
        <v>2854</v>
      </c>
    </row>
    <row r="3120" spans="1:1" x14ac:dyDescent="0.25">
      <c r="A3120" t="s">
        <v>2855</v>
      </c>
    </row>
    <row r="3121" spans="1:1" x14ac:dyDescent="0.25">
      <c r="A3121" t="s">
        <v>2856</v>
      </c>
    </row>
    <row r="3122" spans="1:1" x14ac:dyDescent="0.25">
      <c r="A3122" t="s">
        <v>2857</v>
      </c>
    </row>
    <row r="3123" spans="1:1" x14ac:dyDescent="0.25">
      <c r="A3123" t="s">
        <v>2858</v>
      </c>
    </row>
    <row r="3124" spans="1:1" x14ac:dyDescent="0.25">
      <c r="A3124" t="s">
        <v>2859</v>
      </c>
    </row>
    <row r="3125" spans="1:1" x14ac:dyDescent="0.25">
      <c r="A3125" t="s">
        <v>2860</v>
      </c>
    </row>
    <row r="3126" spans="1:1" x14ac:dyDescent="0.25">
      <c r="A3126" t="s">
        <v>2861</v>
      </c>
    </row>
    <row r="3127" spans="1:1" x14ac:dyDescent="0.25">
      <c r="A3127" t="s">
        <v>2862</v>
      </c>
    </row>
    <row r="3128" spans="1:1" x14ac:dyDescent="0.25">
      <c r="A3128" t="s">
        <v>2863</v>
      </c>
    </row>
    <row r="3129" spans="1:1" x14ac:dyDescent="0.25">
      <c r="A3129" t="s">
        <v>2864</v>
      </c>
    </row>
    <row r="3130" spans="1:1" x14ac:dyDescent="0.25">
      <c r="A3130" t="s">
        <v>2865</v>
      </c>
    </row>
    <row r="3131" spans="1:1" x14ac:dyDescent="0.25">
      <c r="A3131" t="s">
        <v>2866</v>
      </c>
    </row>
    <row r="3132" spans="1:1" x14ac:dyDescent="0.25">
      <c r="A3132" t="s">
        <v>2867</v>
      </c>
    </row>
    <row r="3133" spans="1:1" x14ac:dyDescent="0.25">
      <c r="A3133" t="s">
        <v>2868</v>
      </c>
    </row>
    <row r="3134" spans="1:1" x14ac:dyDescent="0.25">
      <c r="A3134" t="s">
        <v>2869</v>
      </c>
    </row>
    <row r="3135" spans="1:1" x14ac:dyDescent="0.25">
      <c r="A3135" t="s">
        <v>2870</v>
      </c>
    </row>
    <row r="3136" spans="1:1" x14ac:dyDescent="0.25">
      <c r="A3136" t="s">
        <v>2871</v>
      </c>
    </row>
    <row r="3137" spans="1:1" x14ac:dyDescent="0.25">
      <c r="A3137" t="s">
        <v>2872</v>
      </c>
    </row>
    <row r="3138" spans="1:1" x14ac:dyDescent="0.25">
      <c r="A3138" t="s">
        <v>2873</v>
      </c>
    </row>
    <row r="3139" spans="1:1" x14ac:dyDescent="0.25">
      <c r="A3139" t="s">
        <v>2874</v>
      </c>
    </row>
    <row r="3140" spans="1:1" x14ac:dyDescent="0.25">
      <c r="A3140" t="s">
        <v>2875</v>
      </c>
    </row>
    <row r="3141" spans="1:1" x14ac:dyDescent="0.25">
      <c r="A3141" t="s">
        <v>2876</v>
      </c>
    </row>
    <row r="3142" spans="1:1" x14ac:dyDescent="0.25">
      <c r="A3142" t="s">
        <v>2877</v>
      </c>
    </row>
    <row r="3143" spans="1:1" x14ac:dyDescent="0.25">
      <c r="A3143" t="s">
        <v>2878</v>
      </c>
    </row>
    <row r="3144" spans="1:1" x14ac:dyDescent="0.25">
      <c r="A3144" t="s">
        <v>2879</v>
      </c>
    </row>
    <row r="3145" spans="1:1" x14ac:dyDescent="0.25">
      <c r="A3145" t="s">
        <v>2880</v>
      </c>
    </row>
    <row r="3146" spans="1:1" x14ac:dyDescent="0.25">
      <c r="A3146" t="s">
        <v>2881</v>
      </c>
    </row>
    <row r="3147" spans="1:1" x14ac:dyDescent="0.25">
      <c r="A3147" t="s">
        <v>2882</v>
      </c>
    </row>
    <row r="3148" spans="1:1" x14ac:dyDescent="0.25">
      <c r="A3148" t="s">
        <v>2883</v>
      </c>
    </row>
    <row r="3149" spans="1:1" x14ac:dyDescent="0.25">
      <c r="A3149" t="s">
        <v>2884</v>
      </c>
    </row>
    <row r="3150" spans="1:1" x14ac:dyDescent="0.25">
      <c r="A3150" t="s">
        <v>2885</v>
      </c>
    </row>
    <row r="3151" spans="1:1" x14ac:dyDescent="0.25">
      <c r="A3151" t="s">
        <v>2886</v>
      </c>
    </row>
    <row r="3152" spans="1:1" x14ac:dyDescent="0.25">
      <c r="A3152" t="s">
        <v>2887</v>
      </c>
    </row>
    <row r="3153" spans="1:1" x14ac:dyDescent="0.25">
      <c r="A3153" t="s">
        <v>2888</v>
      </c>
    </row>
    <row r="3154" spans="1:1" x14ac:dyDescent="0.25">
      <c r="A3154" t="s">
        <v>2889</v>
      </c>
    </row>
    <row r="3155" spans="1:1" x14ac:dyDescent="0.25">
      <c r="A3155" t="s">
        <v>2890</v>
      </c>
    </row>
    <row r="3156" spans="1:1" x14ac:dyDescent="0.25">
      <c r="A3156" t="s">
        <v>2891</v>
      </c>
    </row>
    <row r="3157" spans="1:1" x14ac:dyDescent="0.25">
      <c r="A3157" t="s">
        <v>2892</v>
      </c>
    </row>
    <row r="3158" spans="1:1" x14ac:dyDescent="0.25">
      <c r="A3158" t="s">
        <v>2893</v>
      </c>
    </row>
    <row r="3159" spans="1:1" x14ac:dyDescent="0.25">
      <c r="A3159" t="s">
        <v>2894</v>
      </c>
    </row>
    <row r="3160" spans="1:1" x14ac:dyDescent="0.25">
      <c r="A3160" t="s">
        <v>2895</v>
      </c>
    </row>
    <row r="3161" spans="1:1" x14ac:dyDescent="0.25">
      <c r="A3161" t="s">
        <v>2896</v>
      </c>
    </row>
    <row r="3162" spans="1:1" x14ac:dyDescent="0.25">
      <c r="A3162" t="s">
        <v>2897</v>
      </c>
    </row>
    <row r="3163" spans="1:1" x14ac:dyDescent="0.25">
      <c r="A3163" t="s">
        <v>2898</v>
      </c>
    </row>
    <row r="3164" spans="1:1" x14ac:dyDescent="0.25">
      <c r="A3164" t="s">
        <v>2899</v>
      </c>
    </row>
    <row r="3165" spans="1:1" x14ac:dyDescent="0.25">
      <c r="A3165" t="s">
        <v>2900</v>
      </c>
    </row>
    <row r="3166" spans="1:1" x14ac:dyDescent="0.25">
      <c r="A3166" t="s">
        <v>2901</v>
      </c>
    </row>
    <row r="3167" spans="1:1" x14ac:dyDescent="0.25">
      <c r="A3167" t="s">
        <v>2902</v>
      </c>
    </row>
    <row r="3168" spans="1:1" x14ac:dyDescent="0.25">
      <c r="A3168" t="s">
        <v>2903</v>
      </c>
    </row>
    <row r="3169" spans="1:1" x14ac:dyDescent="0.25">
      <c r="A3169" t="s">
        <v>2904</v>
      </c>
    </row>
    <row r="3170" spans="1:1" x14ac:dyDescent="0.25">
      <c r="A3170" t="s">
        <v>2905</v>
      </c>
    </row>
    <row r="3171" spans="1:1" x14ac:dyDescent="0.25">
      <c r="A3171" t="s">
        <v>2906</v>
      </c>
    </row>
    <row r="3172" spans="1:1" x14ac:dyDescent="0.25">
      <c r="A3172" t="s">
        <v>2907</v>
      </c>
    </row>
    <row r="3173" spans="1:1" x14ac:dyDescent="0.25">
      <c r="A3173" t="s">
        <v>2908</v>
      </c>
    </row>
    <row r="3174" spans="1:1" x14ac:dyDescent="0.25">
      <c r="A3174" t="s">
        <v>2909</v>
      </c>
    </row>
    <row r="3175" spans="1:1" x14ac:dyDescent="0.25">
      <c r="A3175" t="s">
        <v>2910</v>
      </c>
    </row>
    <row r="3176" spans="1:1" x14ac:dyDescent="0.25">
      <c r="A3176" t="s">
        <v>2911</v>
      </c>
    </row>
    <row r="3177" spans="1:1" x14ac:dyDescent="0.25">
      <c r="A3177" t="s">
        <v>2912</v>
      </c>
    </row>
    <row r="3178" spans="1:1" x14ac:dyDescent="0.25">
      <c r="A3178" t="s">
        <v>2913</v>
      </c>
    </row>
    <row r="3179" spans="1:1" x14ac:dyDescent="0.25">
      <c r="A3179" t="s">
        <v>2914</v>
      </c>
    </row>
    <row r="3180" spans="1:1" x14ac:dyDescent="0.25">
      <c r="A3180" t="s">
        <v>2915</v>
      </c>
    </row>
    <row r="3181" spans="1:1" x14ac:dyDescent="0.25">
      <c r="A3181" t="s">
        <v>2916</v>
      </c>
    </row>
    <row r="3182" spans="1:1" x14ac:dyDescent="0.25">
      <c r="A3182" t="s">
        <v>2917</v>
      </c>
    </row>
    <row r="3183" spans="1:1" x14ac:dyDescent="0.25">
      <c r="A3183" t="s">
        <v>2918</v>
      </c>
    </row>
    <row r="3184" spans="1:1" x14ac:dyDescent="0.25">
      <c r="A3184" t="s">
        <v>2919</v>
      </c>
    </row>
    <row r="3185" spans="1:1" x14ac:dyDescent="0.25">
      <c r="A3185" t="s">
        <v>2920</v>
      </c>
    </row>
    <row r="3186" spans="1:1" x14ac:dyDescent="0.25">
      <c r="A3186" t="s">
        <v>2921</v>
      </c>
    </row>
    <row r="3187" spans="1:1" x14ac:dyDescent="0.25">
      <c r="A3187" t="s">
        <v>2922</v>
      </c>
    </row>
    <row r="3188" spans="1:1" x14ac:dyDescent="0.25">
      <c r="A3188" t="s">
        <v>2923</v>
      </c>
    </row>
    <row r="3189" spans="1:1" x14ac:dyDescent="0.25">
      <c r="A3189" t="s">
        <v>2924</v>
      </c>
    </row>
    <row r="3190" spans="1:1" x14ac:dyDescent="0.25">
      <c r="A3190" t="s">
        <v>2925</v>
      </c>
    </row>
    <row r="3191" spans="1:1" x14ac:dyDescent="0.25">
      <c r="A3191" t="s">
        <v>2926</v>
      </c>
    </row>
    <row r="3192" spans="1:1" x14ac:dyDescent="0.25">
      <c r="A3192" t="s">
        <v>2927</v>
      </c>
    </row>
    <row r="3193" spans="1:1" x14ac:dyDescent="0.25">
      <c r="A3193" t="s">
        <v>2928</v>
      </c>
    </row>
    <row r="3194" spans="1:1" x14ac:dyDescent="0.25">
      <c r="A3194" t="s">
        <v>2929</v>
      </c>
    </row>
    <row r="3195" spans="1:1" x14ac:dyDescent="0.25">
      <c r="A3195" t="s">
        <v>2930</v>
      </c>
    </row>
    <row r="3196" spans="1:1" x14ac:dyDescent="0.25">
      <c r="A3196" t="s">
        <v>2931</v>
      </c>
    </row>
    <row r="3197" spans="1:1" x14ac:dyDescent="0.25">
      <c r="A3197" t="s">
        <v>2932</v>
      </c>
    </row>
    <row r="3198" spans="1:1" x14ac:dyDescent="0.25">
      <c r="A3198" t="s">
        <v>2933</v>
      </c>
    </row>
    <row r="3199" spans="1:1" x14ac:dyDescent="0.25">
      <c r="A3199" t="s">
        <v>2934</v>
      </c>
    </row>
    <row r="3200" spans="1:1" x14ac:dyDescent="0.25">
      <c r="A3200" t="s">
        <v>2935</v>
      </c>
    </row>
    <row r="3201" spans="1:1" x14ac:dyDescent="0.25">
      <c r="A3201" t="s">
        <v>2936</v>
      </c>
    </row>
    <row r="3202" spans="1:1" x14ac:dyDescent="0.25">
      <c r="A3202" t="s">
        <v>2937</v>
      </c>
    </row>
    <row r="3203" spans="1:1" x14ac:dyDescent="0.25">
      <c r="A3203" t="s">
        <v>2938</v>
      </c>
    </row>
    <row r="3204" spans="1:1" x14ac:dyDescent="0.25">
      <c r="A3204" t="s">
        <v>2939</v>
      </c>
    </row>
    <row r="3205" spans="1:1" x14ac:dyDescent="0.25">
      <c r="A3205" t="s">
        <v>2940</v>
      </c>
    </row>
    <row r="3206" spans="1:1" x14ac:dyDescent="0.25">
      <c r="A3206" t="s">
        <v>2941</v>
      </c>
    </row>
    <row r="3207" spans="1:1" x14ac:dyDescent="0.25">
      <c r="A3207" t="s">
        <v>2942</v>
      </c>
    </row>
    <row r="3208" spans="1:1" x14ac:dyDescent="0.25">
      <c r="A3208" t="s">
        <v>2943</v>
      </c>
    </row>
    <row r="3209" spans="1:1" x14ac:dyDescent="0.25">
      <c r="A3209" t="s">
        <v>2944</v>
      </c>
    </row>
    <row r="3210" spans="1:1" x14ac:dyDescent="0.25">
      <c r="A3210" t="s">
        <v>2945</v>
      </c>
    </row>
    <row r="3211" spans="1:1" x14ac:dyDescent="0.25">
      <c r="A3211" t="s">
        <v>2946</v>
      </c>
    </row>
    <row r="3212" spans="1:1" x14ac:dyDescent="0.25">
      <c r="A3212" t="s">
        <v>2947</v>
      </c>
    </row>
    <row r="3213" spans="1:1" x14ac:dyDescent="0.25">
      <c r="A3213" t="s">
        <v>2948</v>
      </c>
    </row>
    <row r="3214" spans="1:1" x14ac:dyDescent="0.25">
      <c r="A3214" t="s">
        <v>2949</v>
      </c>
    </row>
    <row r="3215" spans="1:1" x14ac:dyDescent="0.25">
      <c r="A3215" t="s">
        <v>2950</v>
      </c>
    </row>
    <row r="3216" spans="1:1" x14ac:dyDescent="0.25">
      <c r="A3216" t="s">
        <v>2951</v>
      </c>
    </row>
    <row r="3217" spans="1:1" x14ac:dyDescent="0.25">
      <c r="A3217" t="s">
        <v>2952</v>
      </c>
    </row>
    <row r="3218" spans="1:1" x14ac:dyDescent="0.25">
      <c r="A3218" t="s">
        <v>2953</v>
      </c>
    </row>
    <row r="3219" spans="1:1" x14ac:dyDescent="0.25">
      <c r="A3219" t="s">
        <v>2954</v>
      </c>
    </row>
    <row r="3220" spans="1:1" x14ac:dyDescent="0.25">
      <c r="A3220" t="s">
        <v>2955</v>
      </c>
    </row>
    <row r="3221" spans="1:1" x14ac:dyDescent="0.25">
      <c r="A3221" t="s">
        <v>2956</v>
      </c>
    </row>
    <row r="3222" spans="1:1" x14ac:dyDescent="0.25">
      <c r="A3222" t="s">
        <v>2957</v>
      </c>
    </row>
    <row r="3223" spans="1:1" x14ac:dyDescent="0.25">
      <c r="A3223" t="s">
        <v>2958</v>
      </c>
    </row>
    <row r="3224" spans="1:1" x14ac:dyDescent="0.25">
      <c r="A3224" t="s">
        <v>2959</v>
      </c>
    </row>
    <row r="3225" spans="1:1" x14ac:dyDescent="0.25">
      <c r="A3225" t="s">
        <v>2960</v>
      </c>
    </row>
    <row r="3226" spans="1:1" x14ac:dyDescent="0.25">
      <c r="A3226" t="s">
        <v>2961</v>
      </c>
    </row>
    <row r="3227" spans="1:1" x14ac:dyDescent="0.25">
      <c r="A3227" t="s">
        <v>2962</v>
      </c>
    </row>
    <row r="3228" spans="1:1" x14ac:dyDescent="0.25">
      <c r="A3228" t="s">
        <v>2963</v>
      </c>
    </row>
    <row r="3229" spans="1:1" x14ac:dyDescent="0.25">
      <c r="A3229" t="s">
        <v>2964</v>
      </c>
    </row>
    <row r="3230" spans="1:1" x14ac:dyDescent="0.25">
      <c r="A3230" t="s">
        <v>2965</v>
      </c>
    </row>
    <row r="3231" spans="1:1" x14ac:dyDescent="0.25">
      <c r="A3231" t="s">
        <v>2966</v>
      </c>
    </row>
    <row r="3232" spans="1:1" x14ac:dyDescent="0.25">
      <c r="A3232" t="s">
        <v>2967</v>
      </c>
    </row>
    <row r="3233" spans="1:1" x14ac:dyDescent="0.25">
      <c r="A3233" t="s">
        <v>2968</v>
      </c>
    </row>
    <row r="3234" spans="1:1" x14ac:dyDescent="0.25">
      <c r="A3234" t="s">
        <v>2969</v>
      </c>
    </row>
    <row r="3235" spans="1:1" x14ac:dyDescent="0.25">
      <c r="A3235" t="s">
        <v>2970</v>
      </c>
    </row>
    <row r="3236" spans="1:1" x14ac:dyDescent="0.25">
      <c r="A3236" t="s">
        <v>2971</v>
      </c>
    </row>
    <row r="3237" spans="1:1" x14ac:dyDescent="0.25">
      <c r="A3237" t="s">
        <v>2972</v>
      </c>
    </row>
    <row r="3238" spans="1:1" x14ac:dyDescent="0.25">
      <c r="A3238" t="s">
        <v>2973</v>
      </c>
    </row>
    <row r="3239" spans="1:1" x14ac:dyDescent="0.25">
      <c r="A3239" t="s">
        <v>2974</v>
      </c>
    </row>
    <row r="3240" spans="1:1" x14ac:dyDescent="0.25">
      <c r="A3240" t="s">
        <v>2975</v>
      </c>
    </row>
    <row r="3241" spans="1:1" x14ac:dyDescent="0.25">
      <c r="A3241" t="s">
        <v>2976</v>
      </c>
    </row>
    <row r="3242" spans="1:1" x14ac:dyDescent="0.25">
      <c r="A3242" t="s">
        <v>2977</v>
      </c>
    </row>
    <row r="3243" spans="1:1" x14ac:dyDescent="0.25">
      <c r="A3243" t="s">
        <v>2978</v>
      </c>
    </row>
    <row r="3244" spans="1:1" x14ac:dyDescent="0.25">
      <c r="A3244" t="s">
        <v>2979</v>
      </c>
    </row>
    <row r="3245" spans="1:1" x14ac:dyDescent="0.25">
      <c r="A3245" t="s">
        <v>2980</v>
      </c>
    </row>
    <row r="3246" spans="1:1" x14ac:dyDescent="0.25">
      <c r="A3246" t="s">
        <v>2981</v>
      </c>
    </row>
    <row r="3247" spans="1:1" x14ac:dyDescent="0.25">
      <c r="A3247" t="s">
        <v>2982</v>
      </c>
    </row>
    <row r="3248" spans="1:1" x14ac:dyDescent="0.25">
      <c r="A3248" t="s">
        <v>2983</v>
      </c>
    </row>
    <row r="3249" spans="1:1" x14ac:dyDescent="0.25">
      <c r="A3249" t="s">
        <v>2984</v>
      </c>
    </row>
    <row r="3250" spans="1:1" x14ac:dyDescent="0.25">
      <c r="A3250" t="s">
        <v>2985</v>
      </c>
    </row>
    <row r="3251" spans="1:1" x14ac:dyDescent="0.25">
      <c r="A3251" t="s">
        <v>2986</v>
      </c>
    </row>
    <row r="3252" spans="1:1" x14ac:dyDescent="0.25">
      <c r="A3252" t="s">
        <v>2987</v>
      </c>
    </row>
    <row r="3253" spans="1:1" x14ac:dyDescent="0.25">
      <c r="A3253" t="s">
        <v>2988</v>
      </c>
    </row>
    <row r="3254" spans="1:1" x14ac:dyDescent="0.25">
      <c r="A3254" t="s">
        <v>2989</v>
      </c>
    </row>
    <row r="3255" spans="1:1" x14ac:dyDescent="0.25">
      <c r="A3255" t="s">
        <v>2990</v>
      </c>
    </row>
    <row r="3256" spans="1:1" x14ac:dyDescent="0.25">
      <c r="A3256" t="s">
        <v>2991</v>
      </c>
    </row>
    <row r="3257" spans="1:1" x14ac:dyDescent="0.25">
      <c r="A3257" t="s">
        <v>2992</v>
      </c>
    </row>
    <row r="3258" spans="1:1" x14ac:dyDescent="0.25">
      <c r="A3258" t="s">
        <v>2993</v>
      </c>
    </row>
    <row r="3259" spans="1:1" x14ac:dyDescent="0.25">
      <c r="A3259" t="s">
        <v>2994</v>
      </c>
    </row>
    <row r="3260" spans="1:1" x14ac:dyDescent="0.25">
      <c r="A3260" t="s">
        <v>2995</v>
      </c>
    </row>
    <row r="3261" spans="1:1" x14ac:dyDescent="0.25">
      <c r="A3261" t="s">
        <v>2996</v>
      </c>
    </row>
    <row r="3262" spans="1:1" x14ac:dyDescent="0.25">
      <c r="A3262" t="s">
        <v>2997</v>
      </c>
    </row>
    <row r="3263" spans="1:1" x14ac:dyDescent="0.25">
      <c r="A3263" t="s">
        <v>2998</v>
      </c>
    </row>
    <row r="3264" spans="1:1" x14ac:dyDescent="0.25">
      <c r="A3264" t="s">
        <v>2999</v>
      </c>
    </row>
    <row r="3265" spans="1:1" x14ac:dyDescent="0.25">
      <c r="A3265" t="s">
        <v>3000</v>
      </c>
    </row>
    <row r="3266" spans="1:1" x14ac:dyDescent="0.25">
      <c r="A3266" t="s">
        <v>3001</v>
      </c>
    </row>
    <row r="3267" spans="1:1" x14ac:dyDescent="0.25">
      <c r="A3267" t="s">
        <v>3002</v>
      </c>
    </row>
    <row r="3268" spans="1:1" x14ac:dyDescent="0.25">
      <c r="A3268" t="s">
        <v>3003</v>
      </c>
    </row>
    <row r="3269" spans="1:1" x14ac:dyDescent="0.25">
      <c r="A3269" t="s">
        <v>3004</v>
      </c>
    </row>
    <row r="3270" spans="1:1" x14ac:dyDescent="0.25">
      <c r="A3270" t="s">
        <v>3005</v>
      </c>
    </row>
    <row r="3271" spans="1:1" x14ac:dyDescent="0.25">
      <c r="A3271" t="s">
        <v>3006</v>
      </c>
    </row>
    <row r="3272" spans="1:1" x14ac:dyDescent="0.25">
      <c r="A3272" t="s">
        <v>3007</v>
      </c>
    </row>
    <row r="3273" spans="1:1" x14ac:dyDescent="0.25">
      <c r="A3273" t="s">
        <v>3008</v>
      </c>
    </row>
    <row r="3274" spans="1:1" x14ac:dyDescent="0.25">
      <c r="A3274" t="s">
        <v>3009</v>
      </c>
    </row>
    <row r="3275" spans="1:1" x14ac:dyDescent="0.25">
      <c r="A3275" t="s">
        <v>3010</v>
      </c>
    </row>
    <row r="3276" spans="1:1" x14ac:dyDescent="0.25">
      <c r="A3276" t="s">
        <v>3011</v>
      </c>
    </row>
    <row r="3277" spans="1:1" x14ac:dyDescent="0.25">
      <c r="A3277" t="s">
        <v>3012</v>
      </c>
    </row>
    <row r="3278" spans="1:1" x14ac:dyDescent="0.25">
      <c r="A3278" t="s">
        <v>3013</v>
      </c>
    </row>
    <row r="3279" spans="1:1" x14ac:dyDescent="0.25">
      <c r="A3279" t="s">
        <v>3014</v>
      </c>
    </row>
    <row r="3280" spans="1:1" x14ac:dyDescent="0.25">
      <c r="A3280" t="s">
        <v>3015</v>
      </c>
    </row>
    <row r="3281" spans="1:1" x14ac:dyDescent="0.25">
      <c r="A3281" t="s">
        <v>3016</v>
      </c>
    </row>
    <row r="3282" spans="1:1" x14ac:dyDescent="0.25">
      <c r="A3282" t="s">
        <v>3017</v>
      </c>
    </row>
    <row r="3283" spans="1:1" x14ac:dyDescent="0.25">
      <c r="A3283" t="s">
        <v>3018</v>
      </c>
    </row>
    <row r="3284" spans="1:1" x14ac:dyDescent="0.25">
      <c r="A3284" t="s">
        <v>3019</v>
      </c>
    </row>
    <row r="3285" spans="1:1" x14ac:dyDescent="0.25">
      <c r="A3285" t="s">
        <v>3020</v>
      </c>
    </row>
    <row r="3286" spans="1:1" x14ac:dyDescent="0.25">
      <c r="A3286" t="s">
        <v>3021</v>
      </c>
    </row>
    <row r="3287" spans="1:1" x14ac:dyDescent="0.25">
      <c r="A3287" t="s">
        <v>3022</v>
      </c>
    </row>
    <row r="3288" spans="1:1" x14ac:dyDescent="0.25">
      <c r="A3288" t="s">
        <v>3023</v>
      </c>
    </row>
    <row r="3289" spans="1:1" x14ac:dyDescent="0.25">
      <c r="A3289" t="s">
        <v>3024</v>
      </c>
    </row>
    <row r="3290" spans="1:1" x14ac:dyDescent="0.25">
      <c r="A3290" t="s">
        <v>3025</v>
      </c>
    </row>
    <row r="3291" spans="1:1" x14ac:dyDescent="0.25">
      <c r="A3291" t="s">
        <v>3026</v>
      </c>
    </row>
    <row r="3292" spans="1:1" x14ac:dyDescent="0.25">
      <c r="A3292" t="s">
        <v>3027</v>
      </c>
    </row>
    <row r="3293" spans="1:1" x14ac:dyDescent="0.25">
      <c r="A3293" t="s">
        <v>3028</v>
      </c>
    </row>
    <row r="3294" spans="1:1" x14ac:dyDescent="0.25">
      <c r="A3294" t="s">
        <v>3029</v>
      </c>
    </row>
    <row r="3295" spans="1:1" x14ac:dyDescent="0.25">
      <c r="A3295" t="s">
        <v>3030</v>
      </c>
    </row>
    <row r="3296" spans="1:1" x14ac:dyDescent="0.25">
      <c r="A3296" t="s">
        <v>3031</v>
      </c>
    </row>
    <row r="3297" spans="1:1" x14ac:dyDescent="0.25">
      <c r="A3297" t="s">
        <v>3032</v>
      </c>
    </row>
    <row r="3298" spans="1:1" x14ac:dyDescent="0.25">
      <c r="A3298" t="s">
        <v>3033</v>
      </c>
    </row>
    <row r="3299" spans="1:1" x14ac:dyDescent="0.25">
      <c r="A3299" t="s">
        <v>3034</v>
      </c>
    </row>
    <row r="3300" spans="1:1" x14ac:dyDescent="0.25">
      <c r="A3300" t="s">
        <v>3035</v>
      </c>
    </row>
    <row r="3301" spans="1:1" x14ac:dyDescent="0.25">
      <c r="A3301" t="s">
        <v>3036</v>
      </c>
    </row>
    <row r="3302" spans="1:1" x14ac:dyDescent="0.25">
      <c r="A3302" t="s">
        <v>3037</v>
      </c>
    </row>
    <row r="3303" spans="1:1" x14ac:dyDescent="0.25">
      <c r="A3303" t="s">
        <v>3038</v>
      </c>
    </row>
    <row r="3304" spans="1:1" x14ac:dyDescent="0.25">
      <c r="A3304" t="s">
        <v>3039</v>
      </c>
    </row>
    <row r="3305" spans="1:1" x14ac:dyDescent="0.25">
      <c r="A3305" t="s">
        <v>3040</v>
      </c>
    </row>
    <row r="3306" spans="1:1" x14ac:dyDescent="0.25">
      <c r="A3306" t="s">
        <v>3041</v>
      </c>
    </row>
    <row r="3307" spans="1:1" x14ac:dyDescent="0.25">
      <c r="A3307" t="s">
        <v>3042</v>
      </c>
    </row>
    <row r="3308" spans="1:1" x14ac:dyDescent="0.25">
      <c r="A3308" t="s">
        <v>3043</v>
      </c>
    </row>
    <row r="3309" spans="1:1" x14ac:dyDescent="0.25">
      <c r="A3309" t="s">
        <v>3044</v>
      </c>
    </row>
    <row r="3310" spans="1:1" x14ac:dyDescent="0.25">
      <c r="A3310" t="s">
        <v>3045</v>
      </c>
    </row>
    <row r="3311" spans="1:1" x14ac:dyDescent="0.25">
      <c r="A3311" t="s">
        <v>3046</v>
      </c>
    </row>
    <row r="3312" spans="1:1" x14ac:dyDescent="0.25">
      <c r="A3312" t="s">
        <v>3047</v>
      </c>
    </row>
    <row r="3313" spans="1:1" x14ac:dyDescent="0.25">
      <c r="A3313" t="s">
        <v>3048</v>
      </c>
    </row>
    <row r="3314" spans="1:1" x14ac:dyDescent="0.25">
      <c r="A3314" t="s">
        <v>3049</v>
      </c>
    </row>
    <row r="3315" spans="1:1" x14ac:dyDescent="0.25">
      <c r="A3315" t="s">
        <v>3050</v>
      </c>
    </row>
    <row r="3316" spans="1:1" x14ac:dyDescent="0.25">
      <c r="A3316" t="s">
        <v>3051</v>
      </c>
    </row>
    <row r="3317" spans="1:1" x14ac:dyDescent="0.25">
      <c r="A3317" t="s">
        <v>3052</v>
      </c>
    </row>
    <row r="3318" spans="1:1" x14ac:dyDescent="0.25">
      <c r="A3318" t="s">
        <v>3053</v>
      </c>
    </row>
    <row r="3319" spans="1:1" x14ac:dyDescent="0.25">
      <c r="A3319" t="s">
        <v>3054</v>
      </c>
    </row>
    <row r="3320" spans="1:1" x14ac:dyDescent="0.25">
      <c r="A3320" t="s">
        <v>3055</v>
      </c>
    </row>
    <row r="3321" spans="1:1" x14ac:dyDescent="0.25">
      <c r="A3321" t="s">
        <v>3056</v>
      </c>
    </row>
    <row r="3322" spans="1:1" x14ac:dyDescent="0.25">
      <c r="A3322" t="s">
        <v>3057</v>
      </c>
    </row>
    <row r="3323" spans="1:1" x14ac:dyDescent="0.25">
      <c r="A3323" t="s">
        <v>3058</v>
      </c>
    </row>
    <row r="3324" spans="1:1" x14ac:dyDescent="0.25">
      <c r="A3324" t="s">
        <v>3059</v>
      </c>
    </row>
    <row r="3325" spans="1:1" x14ac:dyDescent="0.25">
      <c r="A3325" t="s">
        <v>3060</v>
      </c>
    </row>
    <row r="3326" spans="1:1" x14ac:dyDescent="0.25">
      <c r="A3326" t="s">
        <v>3061</v>
      </c>
    </row>
    <row r="3327" spans="1:1" x14ac:dyDescent="0.25">
      <c r="A3327" t="s">
        <v>3062</v>
      </c>
    </row>
    <row r="3328" spans="1:1" x14ac:dyDescent="0.25">
      <c r="A3328" t="s">
        <v>3063</v>
      </c>
    </row>
    <row r="3329" spans="1:1" x14ac:dyDescent="0.25">
      <c r="A3329" t="s">
        <v>3064</v>
      </c>
    </row>
    <row r="3330" spans="1:1" x14ac:dyDescent="0.25">
      <c r="A3330" t="s">
        <v>3065</v>
      </c>
    </row>
    <row r="3331" spans="1:1" x14ac:dyDescent="0.25">
      <c r="A3331" t="s">
        <v>3066</v>
      </c>
    </row>
    <row r="3332" spans="1:1" x14ac:dyDescent="0.25">
      <c r="A3332" t="s">
        <v>3067</v>
      </c>
    </row>
    <row r="3333" spans="1:1" x14ac:dyDescent="0.25">
      <c r="A3333" t="s">
        <v>3068</v>
      </c>
    </row>
    <row r="3334" spans="1:1" x14ac:dyDescent="0.25">
      <c r="A3334" t="s">
        <v>3069</v>
      </c>
    </row>
    <row r="3335" spans="1:1" x14ac:dyDescent="0.25">
      <c r="A3335" t="s">
        <v>3070</v>
      </c>
    </row>
    <row r="3336" spans="1:1" x14ac:dyDescent="0.25">
      <c r="A3336" t="s">
        <v>3071</v>
      </c>
    </row>
    <row r="3337" spans="1:1" x14ac:dyDescent="0.25">
      <c r="A3337" t="s">
        <v>3072</v>
      </c>
    </row>
    <row r="3338" spans="1:1" x14ac:dyDescent="0.25">
      <c r="A3338" t="s">
        <v>3073</v>
      </c>
    </row>
    <row r="3339" spans="1:1" x14ac:dyDescent="0.25">
      <c r="A3339" t="s">
        <v>3074</v>
      </c>
    </row>
    <row r="3340" spans="1:1" x14ac:dyDescent="0.25">
      <c r="A3340" t="s">
        <v>3075</v>
      </c>
    </row>
    <row r="3341" spans="1:1" x14ac:dyDescent="0.25">
      <c r="A3341" t="s">
        <v>3076</v>
      </c>
    </row>
    <row r="3342" spans="1:1" x14ac:dyDescent="0.25">
      <c r="A3342" t="s">
        <v>3077</v>
      </c>
    </row>
    <row r="3343" spans="1:1" x14ac:dyDescent="0.25">
      <c r="A3343" t="s">
        <v>3078</v>
      </c>
    </row>
    <row r="3344" spans="1:1" x14ac:dyDescent="0.25">
      <c r="A3344" t="s">
        <v>3079</v>
      </c>
    </row>
    <row r="3345" spans="1:1" x14ac:dyDescent="0.25">
      <c r="A3345" t="s">
        <v>3080</v>
      </c>
    </row>
    <row r="3346" spans="1:1" x14ac:dyDescent="0.25">
      <c r="A3346" t="s">
        <v>3081</v>
      </c>
    </row>
    <row r="3347" spans="1:1" x14ac:dyDescent="0.25">
      <c r="A3347" t="s">
        <v>3082</v>
      </c>
    </row>
    <row r="3348" spans="1:1" x14ac:dyDescent="0.25">
      <c r="A3348" t="s">
        <v>3083</v>
      </c>
    </row>
    <row r="3349" spans="1:1" x14ac:dyDescent="0.25">
      <c r="A3349" t="s">
        <v>3084</v>
      </c>
    </row>
    <row r="3350" spans="1:1" x14ac:dyDescent="0.25">
      <c r="A3350" t="s">
        <v>3085</v>
      </c>
    </row>
    <row r="3351" spans="1:1" x14ac:dyDescent="0.25">
      <c r="A3351" t="s">
        <v>3086</v>
      </c>
    </row>
    <row r="3352" spans="1:1" x14ac:dyDescent="0.25">
      <c r="A3352" t="s">
        <v>3087</v>
      </c>
    </row>
    <row r="3353" spans="1:1" x14ac:dyDescent="0.25">
      <c r="A3353" t="s">
        <v>3088</v>
      </c>
    </row>
    <row r="3354" spans="1:1" x14ac:dyDescent="0.25">
      <c r="A3354" t="s">
        <v>3089</v>
      </c>
    </row>
    <row r="3355" spans="1:1" x14ac:dyDescent="0.25">
      <c r="A3355" t="s">
        <v>3090</v>
      </c>
    </row>
    <row r="3356" spans="1:1" x14ac:dyDescent="0.25">
      <c r="A3356" t="s">
        <v>3091</v>
      </c>
    </row>
    <row r="3357" spans="1:1" x14ac:dyDescent="0.25">
      <c r="A3357" t="s">
        <v>3092</v>
      </c>
    </row>
    <row r="3358" spans="1:1" x14ac:dyDescent="0.25">
      <c r="A3358" t="s">
        <v>3093</v>
      </c>
    </row>
    <row r="3359" spans="1:1" x14ac:dyDescent="0.25">
      <c r="A3359" t="s">
        <v>3094</v>
      </c>
    </row>
    <row r="3360" spans="1:1" x14ac:dyDescent="0.25">
      <c r="A3360" t="s">
        <v>3095</v>
      </c>
    </row>
    <row r="3361" spans="1:1" x14ac:dyDescent="0.25">
      <c r="A3361" t="s">
        <v>3096</v>
      </c>
    </row>
    <row r="3362" spans="1:1" x14ac:dyDescent="0.25">
      <c r="A3362" t="s">
        <v>3097</v>
      </c>
    </row>
    <row r="3363" spans="1:1" x14ac:dyDescent="0.25">
      <c r="A3363" t="s">
        <v>3098</v>
      </c>
    </row>
    <row r="3364" spans="1:1" x14ac:dyDescent="0.25">
      <c r="A3364" t="s">
        <v>3099</v>
      </c>
    </row>
    <row r="3365" spans="1:1" x14ac:dyDescent="0.25">
      <c r="A3365" t="s">
        <v>3100</v>
      </c>
    </row>
    <row r="3366" spans="1:1" x14ac:dyDescent="0.25">
      <c r="A3366" t="s">
        <v>3101</v>
      </c>
    </row>
    <row r="3367" spans="1:1" x14ac:dyDescent="0.25">
      <c r="A3367" t="s">
        <v>3102</v>
      </c>
    </row>
    <row r="3368" spans="1:1" x14ac:dyDescent="0.25">
      <c r="A3368" t="s">
        <v>3103</v>
      </c>
    </row>
    <row r="3369" spans="1:1" x14ac:dyDescent="0.25">
      <c r="A3369" t="s">
        <v>3104</v>
      </c>
    </row>
    <row r="3370" spans="1:1" x14ac:dyDescent="0.25">
      <c r="A3370" t="s">
        <v>3105</v>
      </c>
    </row>
    <row r="3371" spans="1:1" x14ac:dyDescent="0.25">
      <c r="A3371" t="s">
        <v>3106</v>
      </c>
    </row>
    <row r="3372" spans="1:1" x14ac:dyDescent="0.25">
      <c r="A3372" t="s">
        <v>3107</v>
      </c>
    </row>
    <row r="3373" spans="1:1" x14ac:dyDescent="0.25">
      <c r="A3373" t="s">
        <v>3108</v>
      </c>
    </row>
    <row r="3374" spans="1:1" x14ac:dyDescent="0.25">
      <c r="A3374" t="s">
        <v>3109</v>
      </c>
    </row>
    <row r="3375" spans="1:1" x14ac:dyDescent="0.25">
      <c r="A3375" t="s">
        <v>3110</v>
      </c>
    </row>
    <row r="3376" spans="1:1" x14ac:dyDescent="0.25">
      <c r="A3376" t="s">
        <v>3111</v>
      </c>
    </row>
    <row r="3377" spans="1:1" x14ac:dyDescent="0.25">
      <c r="A3377" t="s">
        <v>3112</v>
      </c>
    </row>
    <row r="3378" spans="1:1" x14ac:dyDescent="0.25">
      <c r="A3378" t="s">
        <v>3113</v>
      </c>
    </row>
    <row r="3379" spans="1:1" x14ac:dyDescent="0.25">
      <c r="A3379" t="s">
        <v>3114</v>
      </c>
    </row>
    <row r="3380" spans="1:1" x14ac:dyDescent="0.25">
      <c r="A3380" t="s">
        <v>3115</v>
      </c>
    </row>
    <row r="3381" spans="1:1" x14ac:dyDescent="0.25">
      <c r="A3381" t="s">
        <v>3116</v>
      </c>
    </row>
    <row r="3382" spans="1:1" x14ac:dyDescent="0.25">
      <c r="A3382" t="s">
        <v>3117</v>
      </c>
    </row>
    <row r="3383" spans="1:1" x14ac:dyDescent="0.25">
      <c r="A3383" t="s">
        <v>3118</v>
      </c>
    </row>
    <row r="3384" spans="1:1" x14ac:dyDescent="0.25">
      <c r="A3384" t="s">
        <v>3119</v>
      </c>
    </row>
    <row r="3385" spans="1:1" x14ac:dyDescent="0.25">
      <c r="A3385" t="s">
        <v>3120</v>
      </c>
    </row>
    <row r="3386" spans="1:1" x14ac:dyDescent="0.25">
      <c r="A3386" t="s">
        <v>3121</v>
      </c>
    </row>
    <row r="3387" spans="1:1" x14ac:dyDescent="0.25">
      <c r="A3387" t="s">
        <v>3122</v>
      </c>
    </row>
    <row r="3388" spans="1:1" x14ac:dyDescent="0.25">
      <c r="A3388" t="s">
        <v>3123</v>
      </c>
    </row>
    <row r="3389" spans="1:1" x14ac:dyDescent="0.25">
      <c r="A3389" t="s">
        <v>3124</v>
      </c>
    </row>
    <row r="3390" spans="1:1" x14ac:dyDescent="0.25">
      <c r="A3390" t="s">
        <v>3125</v>
      </c>
    </row>
    <row r="3391" spans="1:1" x14ac:dyDescent="0.25">
      <c r="A3391" t="s">
        <v>3126</v>
      </c>
    </row>
    <row r="3392" spans="1:1" x14ac:dyDescent="0.25">
      <c r="A3392" t="s">
        <v>3127</v>
      </c>
    </row>
    <row r="3393" spans="1:1" x14ac:dyDescent="0.25">
      <c r="A3393" t="s">
        <v>3128</v>
      </c>
    </row>
    <row r="3394" spans="1:1" x14ac:dyDescent="0.25">
      <c r="A3394" t="s">
        <v>3129</v>
      </c>
    </row>
    <row r="3395" spans="1:1" x14ac:dyDescent="0.25">
      <c r="A3395" t="s">
        <v>3130</v>
      </c>
    </row>
    <row r="3396" spans="1:1" x14ac:dyDescent="0.25">
      <c r="A3396" t="s">
        <v>3131</v>
      </c>
    </row>
    <row r="3397" spans="1:1" x14ac:dyDescent="0.25">
      <c r="A3397" t="s">
        <v>3132</v>
      </c>
    </row>
    <row r="3398" spans="1:1" x14ac:dyDescent="0.25">
      <c r="A3398" t="s">
        <v>3133</v>
      </c>
    </row>
    <row r="3399" spans="1:1" x14ac:dyDescent="0.25">
      <c r="A3399" t="s">
        <v>3134</v>
      </c>
    </row>
    <row r="3400" spans="1:1" x14ac:dyDescent="0.25">
      <c r="A3400" t="s">
        <v>3135</v>
      </c>
    </row>
    <row r="3401" spans="1:1" x14ac:dyDescent="0.25">
      <c r="A3401" t="s">
        <v>3136</v>
      </c>
    </row>
    <row r="3402" spans="1:1" x14ac:dyDescent="0.25">
      <c r="A3402" t="s">
        <v>3137</v>
      </c>
    </row>
    <row r="3403" spans="1:1" x14ac:dyDescent="0.25">
      <c r="A3403" t="s">
        <v>3138</v>
      </c>
    </row>
    <row r="3404" spans="1:1" x14ac:dyDescent="0.25">
      <c r="A3404" t="s">
        <v>3139</v>
      </c>
    </row>
    <row r="3405" spans="1:1" x14ac:dyDescent="0.25">
      <c r="A3405" t="s">
        <v>3140</v>
      </c>
    </row>
    <row r="3406" spans="1:1" x14ac:dyDescent="0.25">
      <c r="A3406" t="s">
        <v>3141</v>
      </c>
    </row>
    <row r="3407" spans="1:1" x14ac:dyDescent="0.25">
      <c r="A3407" t="s">
        <v>3142</v>
      </c>
    </row>
    <row r="3408" spans="1:1" x14ac:dyDescent="0.25">
      <c r="A3408" t="s">
        <v>3143</v>
      </c>
    </row>
    <row r="3409" spans="1:1" x14ac:dyDescent="0.25">
      <c r="A3409" t="s">
        <v>3144</v>
      </c>
    </row>
    <row r="3410" spans="1:1" x14ac:dyDescent="0.25">
      <c r="A3410" t="s">
        <v>3145</v>
      </c>
    </row>
    <row r="3411" spans="1:1" x14ac:dyDescent="0.25">
      <c r="A3411" t="s">
        <v>3146</v>
      </c>
    </row>
    <row r="3412" spans="1:1" x14ac:dyDescent="0.25">
      <c r="A3412" t="s">
        <v>3147</v>
      </c>
    </row>
    <row r="3413" spans="1:1" x14ac:dyDescent="0.25">
      <c r="A3413" t="s">
        <v>3148</v>
      </c>
    </row>
    <row r="3414" spans="1:1" x14ac:dyDescent="0.25">
      <c r="A3414" t="s">
        <v>3149</v>
      </c>
    </row>
    <row r="3415" spans="1:1" x14ac:dyDescent="0.25">
      <c r="A3415" t="s">
        <v>3150</v>
      </c>
    </row>
    <row r="3416" spans="1:1" x14ac:dyDescent="0.25">
      <c r="A3416" t="s">
        <v>3151</v>
      </c>
    </row>
    <row r="3417" spans="1:1" x14ac:dyDescent="0.25">
      <c r="A3417" t="s">
        <v>3152</v>
      </c>
    </row>
    <row r="3418" spans="1:1" x14ac:dyDescent="0.25">
      <c r="A3418" t="s">
        <v>3153</v>
      </c>
    </row>
    <row r="3419" spans="1:1" x14ac:dyDescent="0.25">
      <c r="A3419" t="s">
        <v>3154</v>
      </c>
    </row>
    <row r="3420" spans="1:1" x14ac:dyDescent="0.25">
      <c r="A3420" t="s">
        <v>3155</v>
      </c>
    </row>
    <row r="3421" spans="1:1" x14ac:dyDescent="0.25">
      <c r="A3421" t="s">
        <v>3156</v>
      </c>
    </row>
    <row r="3422" spans="1:1" x14ac:dyDescent="0.25">
      <c r="A3422" t="s">
        <v>3157</v>
      </c>
    </row>
    <row r="3423" spans="1:1" x14ac:dyDescent="0.25">
      <c r="A3423" t="s">
        <v>3158</v>
      </c>
    </row>
    <row r="3424" spans="1:1" x14ac:dyDescent="0.25">
      <c r="A3424" t="s">
        <v>3159</v>
      </c>
    </row>
    <row r="3425" spans="1:1" x14ac:dyDescent="0.25">
      <c r="A3425" t="s">
        <v>3160</v>
      </c>
    </row>
    <row r="3426" spans="1:1" x14ac:dyDescent="0.25">
      <c r="A3426" t="s">
        <v>3161</v>
      </c>
    </row>
    <row r="3427" spans="1:1" x14ac:dyDescent="0.25">
      <c r="A3427" t="s">
        <v>3162</v>
      </c>
    </row>
    <row r="3428" spans="1:1" x14ac:dyDescent="0.25">
      <c r="A3428" t="s">
        <v>3163</v>
      </c>
    </row>
    <row r="3429" spans="1:1" x14ac:dyDescent="0.25">
      <c r="A3429" t="s">
        <v>3164</v>
      </c>
    </row>
    <row r="3430" spans="1:1" x14ac:dyDescent="0.25">
      <c r="A3430" t="s">
        <v>3165</v>
      </c>
    </row>
    <row r="3431" spans="1:1" x14ac:dyDescent="0.25">
      <c r="A3431" t="s">
        <v>3166</v>
      </c>
    </row>
    <row r="3432" spans="1:1" x14ac:dyDescent="0.25">
      <c r="A3432" t="s">
        <v>3167</v>
      </c>
    </row>
    <row r="3433" spans="1:1" x14ac:dyDescent="0.25">
      <c r="A3433" t="s">
        <v>3168</v>
      </c>
    </row>
    <row r="3434" spans="1:1" x14ac:dyDescent="0.25">
      <c r="A3434" t="s">
        <v>3169</v>
      </c>
    </row>
    <row r="3435" spans="1:1" x14ac:dyDescent="0.25">
      <c r="A3435" t="s">
        <v>3170</v>
      </c>
    </row>
    <row r="3436" spans="1:1" x14ac:dyDescent="0.25">
      <c r="A3436" t="s">
        <v>3171</v>
      </c>
    </row>
    <row r="3437" spans="1:1" x14ac:dyDescent="0.25">
      <c r="A3437" t="s">
        <v>3172</v>
      </c>
    </row>
    <row r="3438" spans="1:1" x14ac:dyDescent="0.25">
      <c r="A3438" t="s">
        <v>3173</v>
      </c>
    </row>
    <row r="3439" spans="1:1" x14ac:dyDescent="0.25">
      <c r="A3439" t="s">
        <v>3174</v>
      </c>
    </row>
    <row r="3440" spans="1:1" x14ac:dyDescent="0.25">
      <c r="A3440" t="s">
        <v>3175</v>
      </c>
    </row>
    <row r="3441" spans="1:1" x14ac:dyDescent="0.25">
      <c r="A3441" t="s">
        <v>3176</v>
      </c>
    </row>
    <row r="3442" spans="1:1" x14ac:dyDescent="0.25">
      <c r="A3442" t="s">
        <v>3177</v>
      </c>
    </row>
    <row r="3443" spans="1:1" x14ac:dyDescent="0.25">
      <c r="A3443" t="s">
        <v>3178</v>
      </c>
    </row>
    <row r="3444" spans="1:1" x14ac:dyDescent="0.25">
      <c r="A3444" t="s">
        <v>3179</v>
      </c>
    </row>
    <row r="3445" spans="1:1" x14ac:dyDescent="0.25">
      <c r="A3445" t="s">
        <v>3180</v>
      </c>
    </row>
    <row r="3446" spans="1:1" x14ac:dyDescent="0.25">
      <c r="A3446" t="s">
        <v>3181</v>
      </c>
    </row>
    <row r="3447" spans="1:1" x14ac:dyDescent="0.25">
      <c r="A3447" t="s">
        <v>3182</v>
      </c>
    </row>
    <row r="3448" spans="1:1" x14ac:dyDescent="0.25">
      <c r="A3448" t="s">
        <v>3183</v>
      </c>
    </row>
    <row r="3449" spans="1:1" x14ac:dyDescent="0.25">
      <c r="A3449" t="s">
        <v>3184</v>
      </c>
    </row>
    <row r="3450" spans="1:1" x14ac:dyDescent="0.25">
      <c r="A3450" t="s">
        <v>3185</v>
      </c>
    </row>
    <row r="3451" spans="1:1" x14ac:dyDescent="0.25">
      <c r="A3451" t="s">
        <v>3186</v>
      </c>
    </row>
    <row r="3452" spans="1:1" x14ac:dyDescent="0.25">
      <c r="A3452" t="s">
        <v>3187</v>
      </c>
    </row>
    <row r="3453" spans="1:1" x14ac:dyDescent="0.25">
      <c r="A3453" t="s">
        <v>3188</v>
      </c>
    </row>
    <row r="3454" spans="1:1" x14ac:dyDescent="0.25">
      <c r="A3454" t="s">
        <v>3189</v>
      </c>
    </row>
    <row r="3455" spans="1:1" x14ac:dyDescent="0.25">
      <c r="A3455" t="s">
        <v>3190</v>
      </c>
    </row>
    <row r="3456" spans="1:1" x14ac:dyDescent="0.25">
      <c r="A3456" t="s">
        <v>3191</v>
      </c>
    </row>
    <row r="3457" spans="1:1" x14ac:dyDescent="0.25">
      <c r="A3457" t="s">
        <v>3192</v>
      </c>
    </row>
    <row r="3458" spans="1:1" x14ac:dyDescent="0.25">
      <c r="A3458" t="s">
        <v>3193</v>
      </c>
    </row>
    <row r="3459" spans="1:1" x14ac:dyDescent="0.25">
      <c r="A3459" t="s">
        <v>3194</v>
      </c>
    </row>
    <row r="3460" spans="1:1" x14ac:dyDescent="0.25">
      <c r="A3460" t="s">
        <v>3195</v>
      </c>
    </row>
    <row r="3461" spans="1:1" x14ac:dyDescent="0.25">
      <c r="A3461" t="s">
        <v>3196</v>
      </c>
    </row>
    <row r="3462" spans="1:1" x14ac:dyDescent="0.25">
      <c r="A3462" t="s">
        <v>3197</v>
      </c>
    </row>
    <row r="3463" spans="1:1" x14ac:dyDescent="0.25">
      <c r="A3463" t="s">
        <v>3198</v>
      </c>
    </row>
    <row r="3464" spans="1:1" x14ac:dyDescent="0.25">
      <c r="A3464" t="s">
        <v>3199</v>
      </c>
    </row>
    <row r="3465" spans="1:1" x14ac:dyDescent="0.25">
      <c r="A3465" t="s">
        <v>3200</v>
      </c>
    </row>
    <row r="3466" spans="1:1" x14ac:dyDescent="0.25">
      <c r="A3466" t="s">
        <v>3201</v>
      </c>
    </row>
    <row r="3467" spans="1:1" x14ac:dyDescent="0.25">
      <c r="A3467" t="s">
        <v>3202</v>
      </c>
    </row>
    <row r="3468" spans="1:1" x14ac:dyDescent="0.25">
      <c r="A3468" t="s">
        <v>3203</v>
      </c>
    </row>
    <row r="3469" spans="1:1" x14ac:dyDescent="0.25">
      <c r="A3469" t="s">
        <v>3204</v>
      </c>
    </row>
    <row r="3470" spans="1:1" x14ac:dyDescent="0.25">
      <c r="A3470" t="s">
        <v>3205</v>
      </c>
    </row>
    <row r="3471" spans="1:1" x14ac:dyDescent="0.25">
      <c r="A3471" t="s">
        <v>3206</v>
      </c>
    </row>
    <row r="3472" spans="1:1" x14ac:dyDescent="0.25">
      <c r="A3472" t="s">
        <v>3207</v>
      </c>
    </row>
    <row r="3473" spans="1:1" x14ac:dyDescent="0.25">
      <c r="A3473" t="s">
        <v>3208</v>
      </c>
    </row>
    <row r="3474" spans="1:1" x14ac:dyDescent="0.25">
      <c r="A3474" t="s">
        <v>3209</v>
      </c>
    </row>
    <row r="3475" spans="1:1" x14ac:dyDescent="0.25">
      <c r="A3475" t="s">
        <v>3210</v>
      </c>
    </row>
    <row r="3476" spans="1:1" x14ac:dyDescent="0.25">
      <c r="A3476" t="s">
        <v>3211</v>
      </c>
    </row>
    <row r="3477" spans="1:1" x14ac:dyDescent="0.25">
      <c r="A3477" t="s">
        <v>3212</v>
      </c>
    </row>
    <row r="3478" spans="1:1" x14ac:dyDescent="0.25">
      <c r="A3478" t="s">
        <v>3213</v>
      </c>
    </row>
    <row r="3479" spans="1:1" x14ac:dyDescent="0.25">
      <c r="A3479" t="s">
        <v>3214</v>
      </c>
    </row>
    <row r="3480" spans="1:1" x14ac:dyDescent="0.25">
      <c r="A3480" t="s">
        <v>3215</v>
      </c>
    </row>
    <row r="3481" spans="1:1" x14ac:dyDescent="0.25">
      <c r="A3481" t="s">
        <v>3216</v>
      </c>
    </row>
    <row r="3482" spans="1:1" x14ac:dyDescent="0.25">
      <c r="A3482" t="s">
        <v>3217</v>
      </c>
    </row>
    <row r="3483" spans="1:1" x14ac:dyDescent="0.25">
      <c r="A3483" t="s">
        <v>3218</v>
      </c>
    </row>
    <row r="3484" spans="1:1" x14ac:dyDescent="0.25">
      <c r="A3484" t="s">
        <v>3219</v>
      </c>
    </row>
    <row r="3485" spans="1:1" x14ac:dyDescent="0.25">
      <c r="A3485" t="s">
        <v>3220</v>
      </c>
    </row>
    <row r="3486" spans="1:1" x14ac:dyDescent="0.25">
      <c r="A3486" t="s">
        <v>3221</v>
      </c>
    </row>
    <row r="3487" spans="1:1" x14ac:dyDescent="0.25">
      <c r="A3487" t="s">
        <v>3222</v>
      </c>
    </row>
    <row r="3488" spans="1:1" x14ac:dyDescent="0.25">
      <c r="A3488" t="s">
        <v>3223</v>
      </c>
    </row>
    <row r="3489" spans="1:1" x14ac:dyDescent="0.25">
      <c r="A3489" t="s">
        <v>3224</v>
      </c>
    </row>
    <row r="3490" spans="1:1" x14ac:dyDescent="0.25">
      <c r="A3490" t="s">
        <v>3225</v>
      </c>
    </row>
    <row r="3491" spans="1:1" x14ac:dyDescent="0.25">
      <c r="A3491" t="s">
        <v>3226</v>
      </c>
    </row>
    <row r="3492" spans="1:1" x14ac:dyDescent="0.25">
      <c r="A3492" t="s">
        <v>3227</v>
      </c>
    </row>
    <row r="3493" spans="1:1" x14ac:dyDescent="0.25">
      <c r="A3493" t="s">
        <v>3228</v>
      </c>
    </row>
    <row r="3494" spans="1:1" x14ac:dyDescent="0.25">
      <c r="A3494" t="s">
        <v>3229</v>
      </c>
    </row>
    <row r="3495" spans="1:1" x14ac:dyDescent="0.25">
      <c r="A3495" t="s">
        <v>3230</v>
      </c>
    </row>
    <row r="3496" spans="1:1" x14ac:dyDescent="0.25">
      <c r="A3496" t="s">
        <v>3231</v>
      </c>
    </row>
    <row r="3497" spans="1:1" x14ac:dyDescent="0.25">
      <c r="A3497" t="s">
        <v>3232</v>
      </c>
    </row>
    <row r="3498" spans="1:1" x14ac:dyDescent="0.25">
      <c r="A3498" t="s">
        <v>3233</v>
      </c>
    </row>
    <row r="3499" spans="1:1" x14ac:dyDescent="0.25">
      <c r="A3499" t="s">
        <v>3234</v>
      </c>
    </row>
    <row r="3500" spans="1:1" x14ac:dyDescent="0.25">
      <c r="A3500" t="s">
        <v>3235</v>
      </c>
    </row>
    <row r="3501" spans="1:1" x14ac:dyDescent="0.25">
      <c r="A3501" t="s">
        <v>3236</v>
      </c>
    </row>
    <row r="3502" spans="1:1" x14ac:dyDescent="0.25">
      <c r="A3502" t="s">
        <v>3237</v>
      </c>
    </row>
    <row r="3503" spans="1:1" x14ac:dyDescent="0.25">
      <c r="A3503" t="s">
        <v>3238</v>
      </c>
    </row>
    <row r="3504" spans="1:1" x14ac:dyDescent="0.25">
      <c r="A3504" t="s">
        <v>3239</v>
      </c>
    </row>
    <row r="3505" spans="1:1" x14ac:dyDescent="0.25">
      <c r="A3505" t="s">
        <v>3240</v>
      </c>
    </row>
    <row r="3506" spans="1:1" x14ac:dyDescent="0.25">
      <c r="A3506" t="s">
        <v>3241</v>
      </c>
    </row>
    <row r="3507" spans="1:1" x14ac:dyDescent="0.25">
      <c r="A3507" t="s">
        <v>3242</v>
      </c>
    </row>
    <row r="3508" spans="1:1" x14ac:dyDescent="0.25">
      <c r="A3508" t="s">
        <v>3243</v>
      </c>
    </row>
    <row r="3509" spans="1:1" x14ac:dyDescent="0.25">
      <c r="A3509" t="s">
        <v>3244</v>
      </c>
    </row>
    <row r="3510" spans="1:1" x14ac:dyDescent="0.25">
      <c r="A3510" t="s">
        <v>3245</v>
      </c>
    </row>
    <row r="3511" spans="1:1" x14ac:dyDescent="0.25">
      <c r="A3511" t="s">
        <v>3246</v>
      </c>
    </row>
    <row r="3512" spans="1:1" x14ac:dyDescent="0.25">
      <c r="A3512" t="s">
        <v>3247</v>
      </c>
    </row>
    <row r="3513" spans="1:1" x14ac:dyDescent="0.25">
      <c r="A3513" t="s">
        <v>3248</v>
      </c>
    </row>
    <row r="3514" spans="1:1" x14ac:dyDescent="0.25">
      <c r="A3514" t="s">
        <v>3249</v>
      </c>
    </row>
    <row r="3515" spans="1:1" x14ac:dyDescent="0.25">
      <c r="A3515" t="s">
        <v>3250</v>
      </c>
    </row>
    <row r="3516" spans="1:1" x14ac:dyDescent="0.25">
      <c r="A3516" t="s">
        <v>3251</v>
      </c>
    </row>
    <row r="3517" spans="1:1" x14ac:dyDescent="0.25">
      <c r="A3517" t="s">
        <v>3252</v>
      </c>
    </row>
    <row r="3518" spans="1:1" x14ac:dyDescent="0.25">
      <c r="A3518" t="s">
        <v>3253</v>
      </c>
    </row>
    <row r="3519" spans="1:1" x14ac:dyDescent="0.25">
      <c r="A3519" t="s">
        <v>3254</v>
      </c>
    </row>
    <row r="3520" spans="1:1" x14ac:dyDescent="0.25">
      <c r="A3520" t="s">
        <v>3255</v>
      </c>
    </row>
    <row r="3521" spans="1:1" x14ac:dyDescent="0.25">
      <c r="A3521" t="s">
        <v>3256</v>
      </c>
    </row>
    <row r="3522" spans="1:1" x14ac:dyDescent="0.25">
      <c r="A3522" t="s">
        <v>3257</v>
      </c>
    </row>
    <row r="3523" spans="1:1" x14ac:dyDescent="0.25">
      <c r="A3523" t="s">
        <v>3258</v>
      </c>
    </row>
    <row r="3524" spans="1:1" x14ac:dyDescent="0.25">
      <c r="A3524" t="s">
        <v>3259</v>
      </c>
    </row>
    <row r="3525" spans="1:1" x14ac:dyDescent="0.25">
      <c r="A3525" t="s">
        <v>3260</v>
      </c>
    </row>
    <row r="3526" spans="1:1" x14ac:dyDescent="0.25">
      <c r="A3526" t="s">
        <v>3261</v>
      </c>
    </row>
    <row r="3527" spans="1:1" x14ac:dyDescent="0.25">
      <c r="A3527" t="s">
        <v>3262</v>
      </c>
    </row>
    <row r="3528" spans="1:1" x14ac:dyDescent="0.25">
      <c r="A3528" t="s">
        <v>3263</v>
      </c>
    </row>
    <row r="3529" spans="1:1" x14ac:dyDescent="0.25">
      <c r="A3529" t="s">
        <v>3264</v>
      </c>
    </row>
    <row r="3530" spans="1:1" x14ac:dyDescent="0.25">
      <c r="A3530" t="s">
        <v>3265</v>
      </c>
    </row>
    <row r="3531" spans="1:1" x14ac:dyDescent="0.25">
      <c r="A3531" t="s">
        <v>3266</v>
      </c>
    </row>
    <row r="3532" spans="1:1" x14ac:dyDescent="0.25">
      <c r="A3532" t="s">
        <v>3267</v>
      </c>
    </row>
    <row r="3533" spans="1:1" x14ac:dyDescent="0.25">
      <c r="A3533" t="s">
        <v>3268</v>
      </c>
    </row>
    <row r="3534" spans="1:1" x14ac:dyDescent="0.25">
      <c r="A3534" t="s">
        <v>3269</v>
      </c>
    </row>
    <row r="3535" spans="1:1" x14ac:dyDescent="0.25">
      <c r="A3535" t="s">
        <v>3270</v>
      </c>
    </row>
    <row r="3536" spans="1:1" x14ac:dyDescent="0.25">
      <c r="A3536" t="s">
        <v>3271</v>
      </c>
    </row>
    <row r="3537" spans="1:1" x14ac:dyDescent="0.25">
      <c r="A3537" t="s">
        <v>3272</v>
      </c>
    </row>
    <row r="3538" spans="1:1" x14ac:dyDescent="0.25">
      <c r="A3538" t="s">
        <v>3273</v>
      </c>
    </row>
    <row r="3539" spans="1:1" x14ac:dyDescent="0.25">
      <c r="A3539" t="s">
        <v>3274</v>
      </c>
    </row>
    <row r="3540" spans="1:1" x14ac:dyDescent="0.25">
      <c r="A3540" t="s">
        <v>3275</v>
      </c>
    </row>
    <row r="3541" spans="1:1" x14ac:dyDescent="0.25">
      <c r="A3541" t="s">
        <v>3276</v>
      </c>
    </row>
    <row r="3542" spans="1:1" x14ac:dyDescent="0.25">
      <c r="A3542" t="s">
        <v>3277</v>
      </c>
    </row>
    <row r="3543" spans="1:1" x14ac:dyDescent="0.25">
      <c r="A3543" t="s">
        <v>3278</v>
      </c>
    </row>
    <row r="3544" spans="1:1" x14ac:dyDescent="0.25">
      <c r="A3544" t="s">
        <v>3279</v>
      </c>
    </row>
    <row r="3545" spans="1:1" x14ac:dyDescent="0.25">
      <c r="A3545" t="s">
        <v>3280</v>
      </c>
    </row>
    <row r="3546" spans="1:1" x14ac:dyDescent="0.25">
      <c r="A3546" t="s">
        <v>3281</v>
      </c>
    </row>
    <row r="3547" spans="1:1" x14ac:dyDescent="0.25">
      <c r="A3547" t="s">
        <v>3282</v>
      </c>
    </row>
    <row r="3548" spans="1:1" x14ac:dyDescent="0.25">
      <c r="A3548" t="s">
        <v>3283</v>
      </c>
    </row>
    <row r="3549" spans="1:1" x14ac:dyDescent="0.25">
      <c r="A3549" t="s">
        <v>3284</v>
      </c>
    </row>
    <row r="3550" spans="1:1" x14ac:dyDescent="0.25">
      <c r="A3550" t="s">
        <v>3285</v>
      </c>
    </row>
    <row r="3551" spans="1:1" x14ac:dyDescent="0.25">
      <c r="A3551" t="s">
        <v>3286</v>
      </c>
    </row>
    <row r="3552" spans="1:1" x14ac:dyDescent="0.25">
      <c r="A3552" t="s">
        <v>3287</v>
      </c>
    </row>
    <row r="3553" spans="1:1" x14ac:dyDescent="0.25">
      <c r="A3553" t="s">
        <v>3288</v>
      </c>
    </row>
    <row r="3554" spans="1:1" x14ac:dyDescent="0.25">
      <c r="A3554" t="s">
        <v>3289</v>
      </c>
    </row>
    <row r="3555" spans="1:1" x14ac:dyDescent="0.25">
      <c r="A3555" t="s">
        <v>3290</v>
      </c>
    </row>
    <row r="3556" spans="1:1" x14ac:dyDescent="0.25">
      <c r="A3556" t="s">
        <v>3291</v>
      </c>
    </row>
    <row r="3557" spans="1:1" x14ac:dyDescent="0.25">
      <c r="A3557" t="s">
        <v>3292</v>
      </c>
    </row>
    <row r="3558" spans="1:1" x14ac:dyDescent="0.25">
      <c r="A3558" t="s">
        <v>3293</v>
      </c>
    </row>
    <row r="3559" spans="1:1" x14ac:dyDescent="0.25">
      <c r="A3559" t="s">
        <v>3294</v>
      </c>
    </row>
    <row r="3560" spans="1:1" x14ac:dyDescent="0.25">
      <c r="A3560" t="s">
        <v>3295</v>
      </c>
    </row>
    <row r="3561" spans="1:1" x14ac:dyDescent="0.25">
      <c r="A3561" t="s">
        <v>3296</v>
      </c>
    </row>
    <row r="3562" spans="1:1" x14ac:dyDescent="0.25">
      <c r="A3562" t="s">
        <v>3297</v>
      </c>
    </row>
    <row r="3563" spans="1:1" x14ac:dyDescent="0.25">
      <c r="A3563" t="s">
        <v>3298</v>
      </c>
    </row>
    <row r="3564" spans="1:1" x14ac:dyDescent="0.25">
      <c r="A3564" t="s">
        <v>3299</v>
      </c>
    </row>
    <row r="3565" spans="1:1" x14ac:dyDescent="0.25">
      <c r="A3565" t="s">
        <v>3300</v>
      </c>
    </row>
    <row r="3566" spans="1:1" x14ac:dyDescent="0.25">
      <c r="A3566" t="s">
        <v>3301</v>
      </c>
    </row>
    <row r="3567" spans="1:1" x14ac:dyDescent="0.25">
      <c r="A3567" t="s">
        <v>3302</v>
      </c>
    </row>
    <row r="3568" spans="1:1" x14ac:dyDescent="0.25">
      <c r="A3568" t="s">
        <v>3303</v>
      </c>
    </row>
    <row r="3569" spans="1:1" x14ac:dyDescent="0.25">
      <c r="A3569" t="s">
        <v>3304</v>
      </c>
    </row>
    <row r="3570" spans="1:1" x14ac:dyDescent="0.25">
      <c r="A3570" t="s">
        <v>3305</v>
      </c>
    </row>
    <row r="3571" spans="1:1" x14ac:dyDescent="0.25">
      <c r="A3571" t="s">
        <v>3306</v>
      </c>
    </row>
    <row r="3572" spans="1:1" x14ac:dyDescent="0.25">
      <c r="A3572" t="s">
        <v>3307</v>
      </c>
    </row>
    <row r="3573" spans="1:1" x14ac:dyDescent="0.25">
      <c r="A3573" t="s">
        <v>3308</v>
      </c>
    </row>
    <row r="3574" spans="1:1" x14ac:dyDescent="0.25">
      <c r="A3574" t="s">
        <v>3309</v>
      </c>
    </row>
    <row r="3575" spans="1:1" x14ac:dyDescent="0.25">
      <c r="A3575" t="s">
        <v>3310</v>
      </c>
    </row>
    <row r="3576" spans="1:1" x14ac:dyDescent="0.25">
      <c r="A3576" t="s">
        <v>3311</v>
      </c>
    </row>
    <row r="3577" spans="1:1" x14ac:dyDescent="0.25">
      <c r="A3577" t="s">
        <v>3312</v>
      </c>
    </row>
    <row r="3578" spans="1:1" x14ac:dyDescent="0.25">
      <c r="A3578" t="s">
        <v>3313</v>
      </c>
    </row>
    <row r="3579" spans="1:1" x14ac:dyDescent="0.25">
      <c r="A3579" t="s">
        <v>3314</v>
      </c>
    </row>
    <row r="3580" spans="1:1" x14ac:dyDescent="0.25">
      <c r="A3580" t="s">
        <v>3315</v>
      </c>
    </row>
    <row r="3581" spans="1:1" x14ac:dyDescent="0.25">
      <c r="A3581" t="s">
        <v>3316</v>
      </c>
    </row>
    <row r="3582" spans="1:1" x14ac:dyDescent="0.25">
      <c r="A3582" t="s">
        <v>3317</v>
      </c>
    </row>
    <row r="3583" spans="1:1" x14ac:dyDescent="0.25">
      <c r="A3583" t="s">
        <v>3318</v>
      </c>
    </row>
    <row r="3584" spans="1:1" x14ac:dyDescent="0.25">
      <c r="A3584" t="s">
        <v>3319</v>
      </c>
    </row>
    <row r="3585" spans="1:1" x14ac:dyDescent="0.25">
      <c r="A3585" t="s">
        <v>3320</v>
      </c>
    </row>
    <row r="3586" spans="1:1" x14ac:dyDescent="0.25">
      <c r="A3586" t="s">
        <v>3321</v>
      </c>
    </row>
    <row r="3587" spans="1:1" x14ac:dyDescent="0.25">
      <c r="A3587" t="s">
        <v>3322</v>
      </c>
    </row>
    <row r="3588" spans="1:1" x14ac:dyDescent="0.25">
      <c r="A3588" t="s">
        <v>3323</v>
      </c>
    </row>
    <row r="3589" spans="1:1" x14ac:dyDescent="0.25">
      <c r="A3589" t="s">
        <v>3324</v>
      </c>
    </row>
    <row r="3590" spans="1:1" x14ac:dyDescent="0.25">
      <c r="A3590" t="s">
        <v>3325</v>
      </c>
    </row>
    <row r="3591" spans="1:1" x14ac:dyDescent="0.25">
      <c r="A3591" t="s">
        <v>3326</v>
      </c>
    </row>
    <row r="3592" spans="1:1" x14ac:dyDescent="0.25">
      <c r="A3592" t="s">
        <v>3327</v>
      </c>
    </row>
    <row r="3593" spans="1:1" x14ac:dyDescent="0.25">
      <c r="A3593" t="s">
        <v>3328</v>
      </c>
    </row>
    <row r="3594" spans="1:1" x14ac:dyDescent="0.25">
      <c r="A3594" t="s">
        <v>3329</v>
      </c>
    </row>
    <row r="3595" spans="1:1" x14ac:dyDescent="0.25">
      <c r="A3595" t="s">
        <v>3330</v>
      </c>
    </row>
    <row r="3596" spans="1:1" x14ac:dyDescent="0.25">
      <c r="A3596" t="s">
        <v>3331</v>
      </c>
    </row>
    <row r="3597" spans="1:1" x14ac:dyDescent="0.25">
      <c r="A3597" t="s">
        <v>3332</v>
      </c>
    </row>
    <row r="3598" spans="1:1" x14ac:dyDescent="0.25">
      <c r="A3598" t="s">
        <v>3333</v>
      </c>
    </row>
    <row r="3599" spans="1:1" x14ac:dyDescent="0.25">
      <c r="A3599" t="s">
        <v>3334</v>
      </c>
    </row>
    <row r="3600" spans="1:1" x14ac:dyDescent="0.25">
      <c r="A3600" t="s">
        <v>3335</v>
      </c>
    </row>
    <row r="3601" spans="1:1" x14ac:dyDescent="0.25">
      <c r="A3601" t="s">
        <v>3336</v>
      </c>
    </row>
    <row r="3602" spans="1:1" x14ac:dyDescent="0.25">
      <c r="A3602" t="s">
        <v>3337</v>
      </c>
    </row>
    <row r="3603" spans="1:1" x14ac:dyDescent="0.25">
      <c r="A3603" t="s">
        <v>3338</v>
      </c>
    </row>
    <row r="3604" spans="1:1" x14ac:dyDescent="0.25">
      <c r="A3604" t="s">
        <v>3339</v>
      </c>
    </row>
    <row r="3605" spans="1:1" x14ac:dyDescent="0.25">
      <c r="A3605" t="s">
        <v>3340</v>
      </c>
    </row>
    <row r="3606" spans="1:1" x14ac:dyDescent="0.25">
      <c r="A3606" t="s">
        <v>3341</v>
      </c>
    </row>
    <row r="3607" spans="1:1" x14ac:dyDescent="0.25">
      <c r="A3607" t="s">
        <v>3342</v>
      </c>
    </row>
    <row r="3608" spans="1:1" x14ac:dyDescent="0.25">
      <c r="A3608" t="s">
        <v>3343</v>
      </c>
    </row>
    <row r="3609" spans="1:1" x14ac:dyDescent="0.25">
      <c r="A3609" t="s">
        <v>3344</v>
      </c>
    </row>
    <row r="3610" spans="1:1" x14ac:dyDescent="0.25">
      <c r="A3610" t="s">
        <v>3345</v>
      </c>
    </row>
    <row r="3611" spans="1:1" x14ac:dyDescent="0.25">
      <c r="A3611" t="s">
        <v>3346</v>
      </c>
    </row>
    <row r="3612" spans="1:1" x14ac:dyDescent="0.25">
      <c r="A3612" t="s">
        <v>3347</v>
      </c>
    </row>
    <row r="3613" spans="1:1" x14ac:dyDescent="0.25">
      <c r="A3613" t="s">
        <v>3348</v>
      </c>
    </row>
    <row r="3614" spans="1:1" x14ac:dyDescent="0.25">
      <c r="A3614" t="s">
        <v>3349</v>
      </c>
    </row>
    <row r="3615" spans="1:1" x14ac:dyDescent="0.25">
      <c r="A3615" t="s">
        <v>3350</v>
      </c>
    </row>
    <row r="3616" spans="1:1" x14ac:dyDescent="0.25">
      <c r="A3616" t="s">
        <v>3351</v>
      </c>
    </row>
    <row r="3617" spans="1:1" x14ac:dyDescent="0.25">
      <c r="A3617" t="s">
        <v>3352</v>
      </c>
    </row>
    <row r="3618" spans="1:1" x14ac:dyDescent="0.25">
      <c r="A3618" t="s">
        <v>3353</v>
      </c>
    </row>
    <row r="3619" spans="1:1" x14ac:dyDescent="0.25">
      <c r="A3619" t="s">
        <v>3354</v>
      </c>
    </row>
    <row r="3620" spans="1:1" x14ac:dyDescent="0.25">
      <c r="A3620" t="s">
        <v>3355</v>
      </c>
    </row>
    <row r="3621" spans="1:1" x14ac:dyDescent="0.25">
      <c r="A3621" t="s">
        <v>3356</v>
      </c>
    </row>
    <row r="3622" spans="1:1" x14ac:dyDescent="0.25">
      <c r="A3622" t="s">
        <v>3357</v>
      </c>
    </row>
    <row r="3623" spans="1:1" x14ac:dyDescent="0.25">
      <c r="A3623" t="s">
        <v>3358</v>
      </c>
    </row>
    <row r="3624" spans="1:1" x14ac:dyDescent="0.25">
      <c r="A3624" t="s">
        <v>3359</v>
      </c>
    </row>
    <row r="3625" spans="1:1" x14ac:dyDescent="0.25">
      <c r="A3625" t="s">
        <v>3360</v>
      </c>
    </row>
    <row r="3626" spans="1:1" x14ac:dyDescent="0.25">
      <c r="A3626" t="s">
        <v>3361</v>
      </c>
    </row>
    <row r="3627" spans="1:1" x14ac:dyDescent="0.25">
      <c r="A3627" t="s">
        <v>3362</v>
      </c>
    </row>
    <row r="3628" spans="1:1" x14ac:dyDescent="0.25">
      <c r="A3628" t="s">
        <v>3363</v>
      </c>
    </row>
    <row r="3629" spans="1:1" x14ac:dyDescent="0.25">
      <c r="A3629" t="s">
        <v>3364</v>
      </c>
    </row>
    <row r="3630" spans="1:1" x14ac:dyDescent="0.25">
      <c r="A3630" t="s">
        <v>3365</v>
      </c>
    </row>
    <row r="3631" spans="1:1" x14ac:dyDescent="0.25">
      <c r="A3631" t="s">
        <v>3366</v>
      </c>
    </row>
    <row r="3632" spans="1:1" x14ac:dyDescent="0.25">
      <c r="A3632" t="s">
        <v>3367</v>
      </c>
    </row>
    <row r="3633" spans="1:1" x14ac:dyDescent="0.25">
      <c r="A3633" t="s">
        <v>3368</v>
      </c>
    </row>
    <row r="3634" spans="1:1" x14ac:dyDescent="0.25">
      <c r="A3634" t="s">
        <v>3369</v>
      </c>
    </row>
    <row r="3635" spans="1:1" x14ac:dyDescent="0.25">
      <c r="A3635" t="s">
        <v>3370</v>
      </c>
    </row>
    <row r="3636" spans="1:1" x14ac:dyDescent="0.25">
      <c r="A3636" t="s">
        <v>3371</v>
      </c>
    </row>
    <row r="3637" spans="1:1" x14ac:dyDescent="0.25">
      <c r="A3637" t="s">
        <v>3372</v>
      </c>
    </row>
    <row r="3638" spans="1:1" x14ac:dyDescent="0.25">
      <c r="A3638" t="s">
        <v>3373</v>
      </c>
    </row>
    <row r="3639" spans="1:1" x14ac:dyDescent="0.25">
      <c r="A3639" t="s">
        <v>3374</v>
      </c>
    </row>
    <row r="3640" spans="1:1" x14ac:dyDescent="0.25">
      <c r="A3640" t="s">
        <v>3375</v>
      </c>
    </row>
    <row r="3641" spans="1:1" x14ac:dyDescent="0.25">
      <c r="A3641" t="s">
        <v>3376</v>
      </c>
    </row>
    <row r="3642" spans="1:1" x14ac:dyDescent="0.25">
      <c r="A3642" t="s">
        <v>3377</v>
      </c>
    </row>
    <row r="3643" spans="1:1" x14ac:dyDescent="0.25">
      <c r="A3643" t="s">
        <v>3378</v>
      </c>
    </row>
    <row r="3644" spans="1:1" x14ac:dyDescent="0.25">
      <c r="A3644" t="s">
        <v>3379</v>
      </c>
    </row>
    <row r="3645" spans="1:1" x14ac:dyDescent="0.25">
      <c r="A3645" t="s">
        <v>3380</v>
      </c>
    </row>
    <row r="3646" spans="1:1" x14ac:dyDescent="0.25">
      <c r="A3646" t="s">
        <v>3381</v>
      </c>
    </row>
    <row r="3647" spans="1:1" x14ac:dyDescent="0.25">
      <c r="A3647" t="s">
        <v>3382</v>
      </c>
    </row>
    <row r="3648" spans="1:1" x14ac:dyDescent="0.25">
      <c r="A3648" t="s">
        <v>3383</v>
      </c>
    </row>
    <row r="3649" spans="1:1" x14ac:dyDescent="0.25">
      <c r="A3649" t="s">
        <v>3384</v>
      </c>
    </row>
    <row r="3650" spans="1:1" x14ac:dyDescent="0.25">
      <c r="A3650" t="s">
        <v>3385</v>
      </c>
    </row>
    <row r="3651" spans="1:1" x14ac:dyDescent="0.25">
      <c r="A3651" t="s">
        <v>3386</v>
      </c>
    </row>
    <row r="3652" spans="1:1" x14ac:dyDescent="0.25">
      <c r="A3652" t="s">
        <v>3387</v>
      </c>
    </row>
    <row r="3653" spans="1:1" x14ac:dyDescent="0.25">
      <c r="A3653" t="s">
        <v>3388</v>
      </c>
    </row>
    <row r="3654" spans="1:1" x14ac:dyDescent="0.25">
      <c r="A3654" t="s">
        <v>3389</v>
      </c>
    </row>
    <row r="3655" spans="1:1" x14ac:dyDescent="0.25">
      <c r="A3655" t="s">
        <v>3390</v>
      </c>
    </row>
    <row r="3656" spans="1:1" x14ac:dyDescent="0.25">
      <c r="A3656" t="s">
        <v>3391</v>
      </c>
    </row>
    <row r="3657" spans="1:1" x14ac:dyDescent="0.25">
      <c r="A3657" t="s">
        <v>3392</v>
      </c>
    </row>
    <row r="3658" spans="1:1" x14ac:dyDescent="0.25">
      <c r="A3658" t="s">
        <v>3393</v>
      </c>
    </row>
    <row r="3659" spans="1:1" x14ac:dyDescent="0.25">
      <c r="A3659" t="s">
        <v>3394</v>
      </c>
    </row>
    <row r="3660" spans="1:1" x14ac:dyDescent="0.25">
      <c r="A3660" t="s">
        <v>3395</v>
      </c>
    </row>
    <row r="3661" spans="1:1" x14ac:dyDescent="0.25">
      <c r="A3661" t="s">
        <v>3396</v>
      </c>
    </row>
    <row r="3662" spans="1:1" x14ac:dyDescent="0.25">
      <c r="A3662" t="s">
        <v>3397</v>
      </c>
    </row>
    <row r="3663" spans="1:1" x14ac:dyDescent="0.25">
      <c r="A3663" t="s">
        <v>3398</v>
      </c>
    </row>
    <row r="3664" spans="1:1" x14ac:dyDescent="0.25">
      <c r="A3664" t="s">
        <v>3399</v>
      </c>
    </row>
    <row r="3665" spans="1:1" x14ac:dyDescent="0.25">
      <c r="A3665" t="s">
        <v>3400</v>
      </c>
    </row>
    <row r="3666" spans="1:1" x14ac:dyDescent="0.25">
      <c r="A3666" t="s">
        <v>3401</v>
      </c>
    </row>
    <row r="3667" spans="1:1" x14ac:dyDescent="0.25">
      <c r="A3667" t="s">
        <v>3402</v>
      </c>
    </row>
    <row r="3668" spans="1:1" x14ac:dyDescent="0.25">
      <c r="A3668" t="s">
        <v>3403</v>
      </c>
    </row>
    <row r="3669" spans="1:1" x14ac:dyDescent="0.25">
      <c r="A3669" t="s">
        <v>3404</v>
      </c>
    </row>
    <row r="3670" spans="1:1" x14ac:dyDescent="0.25">
      <c r="A3670" t="s">
        <v>3405</v>
      </c>
    </row>
    <row r="3671" spans="1:1" x14ac:dyDescent="0.25">
      <c r="A3671" t="s">
        <v>3406</v>
      </c>
    </row>
    <row r="3672" spans="1:1" x14ac:dyDescent="0.25">
      <c r="A3672" t="s">
        <v>3407</v>
      </c>
    </row>
    <row r="3673" spans="1:1" x14ac:dyDescent="0.25">
      <c r="A3673" t="s">
        <v>3408</v>
      </c>
    </row>
    <row r="3674" spans="1:1" x14ac:dyDescent="0.25">
      <c r="A3674" t="s">
        <v>3409</v>
      </c>
    </row>
    <row r="3675" spans="1:1" x14ac:dyDescent="0.25">
      <c r="A3675" t="s">
        <v>3410</v>
      </c>
    </row>
    <row r="3676" spans="1:1" x14ac:dyDescent="0.25">
      <c r="A3676" t="s">
        <v>3411</v>
      </c>
    </row>
    <row r="3677" spans="1:1" x14ac:dyDescent="0.25">
      <c r="A3677" t="s">
        <v>3412</v>
      </c>
    </row>
    <row r="3678" spans="1:1" x14ac:dyDescent="0.25">
      <c r="A3678" t="s">
        <v>3413</v>
      </c>
    </row>
    <row r="3679" spans="1:1" x14ac:dyDescent="0.25">
      <c r="A3679" t="s">
        <v>3414</v>
      </c>
    </row>
    <row r="3680" spans="1:1" x14ac:dyDescent="0.25">
      <c r="A3680" t="s">
        <v>3415</v>
      </c>
    </row>
    <row r="3681" spans="1:1" x14ac:dyDescent="0.25">
      <c r="A3681" t="s">
        <v>3416</v>
      </c>
    </row>
    <row r="3682" spans="1:1" x14ac:dyDescent="0.25">
      <c r="A3682" t="s">
        <v>3417</v>
      </c>
    </row>
    <row r="3683" spans="1:1" x14ac:dyDescent="0.25">
      <c r="A3683" t="s">
        <v>3418</v>
      </c>
    </row>
    <row r="3684" spans="1:1" x14ac:dyDescent="0.25">
      <c r="A3684" t="s">
        <v>3419</v>
      </c>
    </row>
    <row r="3685" spans="1:1" x14ac:dyDescent="0.25">
      <c r="A3685" t="s">
        <v>3420</v>
      </c>
    </row>
    <row r="3686" spans="1:1" x14ac:dyDescent="0.25">
      <c r="A3686" t="s">
        <v>3421</v>
      </c>
    </row>
    <row r="3687" spans="1:1" x14ac:dyDescent="0.25">
      <c r="A3687" t="s">
        <v>3422</v>
      </c>
    </row>
    <row r="3688" spans="1:1" x14ac:dyDescent="0.25">
      <c r="A3688" t="s">
        <v>3423</v>
      </c>
    </row>
    <row r="3689" spans="1:1" x14ac:dyDescent="0.25">
      <c r="A3689" t="s">
        <v>3424</v>
      </c>
    </row>
    <row r="3690" spans="1:1" x14ac:dyDescent="0.25">
      <c r="A3690" t="s">
        <v>3425</v>
      </c>
    </row>
    <row r="3691" spans="1:1" x14ac:dyDescent="0.25">
      <c r="A3691" t="s">
        <v>3426</v>
      </c>
    </row>
    <row r="3692" spans="1:1" x14ac:dyDescent="0.25">
      <c r="A3692" t="s">
        <v>3427</v>
      </c>
    </row>
    <row r="3693" spans="1:1" x14ac:dyDescent="0.25">
      <c r="A3693" t="s">
        <v>3428</v>
      </c>
    </row>
    <row r="3694" spans="1:1" x14ac:dyDescent="0.25">
      <c r="A3694" t="s">
        <v>3429</v>
      </c>
    </row>
    <row r="3695" spans="1:1" x14ac:dyDescent="0.25">
      <c r="A3695" t="s">
        <v>3430</v>
      </c>
    </row>
    <row r="3696" spans="1:1" x14ac:dyDescent="0.25">
      <c r="A3696" t="s">
        <v>3431</v>
      </c>
    </row>
    <row r="3697" spans="1:1" x14ac:dyDescent="0.25">
      <c r="A3697" t="s">
        <v>3432</v>
      </c>
    </row>
    <row r="3698" spans="1:1" x14ac:dyDescent="0.25">
      <c r="A3698" t="s">
        <v>3433</v>
      </c>
    </row>
    <row r="3699" spans="1:1" x14ac:dyDescent="0.25">
      <c r="A3699" t="s">
        <v>3434</v>
      </c>
    </row>
    <row r="3700" spans="1:1" x14ac:dyDescent="0.25">
      <c r="A3700" t="s">
        <v>3435</v>
      </c>
    </row>
    <row r="3701" spans="1:1" x14ac:dyDescent="0.25">
      <c r="A3701" t="s">
        <v>3436</v>
      </c>
    </row>
    <row r="3702" spans="1:1" x14ac:dyDescent="0.25">
      <c r="A3702" t="s">
        <v>3437</v>
      </c>
    </row>
    <row r="3703" spans="1:1" x14ac:dyDescent="0.25">
      <c r="A3703" t="s">
        <v>3438</v>
      </c>
    </row>
    <row r="3704" spans="1:1" x14ac:dyDescent="0.25">
      <c r="A3704" t="s">
        <v>3439</v>
      </c>
    </row>
    <row r="3705" spans="1:1" x14ac:dyDescent="0.25">
      <c r="A3705" t="s">
        <v>3440</v>
      </c>
    </row>
    <row r="3706" spans="1:1" x14ac:dyDescent="0.25">
      <c r="A3706" t="s">
        <v>3441</v>
      </c>
    </row>
    <row r="3707" spans="1:1" x14ac:dyDescent="0.25">
      <c r="A3707" t="s">
        <v>3442</v>
      </c>
    </row>
    <row r="3708" spans="1:1" x14ac:dyDescent="0.25">
      <c r="A3708" t="s">
        <v>3443</v>
      </c>
    </row>
    <row r="3709" spans="1:1" x14ac:dyDescent="0.25">
      <c r="A3709" t="s">
        <v>3444</v>
      </c>
    </row>
    <row r="3710" spans="1:1" x14ac:dyDescent="0.25">
      <c r="A3710" t="s">
        <v>3445</v>
      </c>
    </row>
    <row r="3711" spans="1:1" x14ac:dyDescent="0.25">
      <c r="A3711" t="s">
        <v>3446</v>
      </c>
    </row>
    <row r="3712" spans="1:1" x14ac:dyDescent="0.25">
      <c r="A3712" t="s">
        <v>3447</v>
      </c>
    </row>
    <row r="3713" spans="1:1" x14ac:dyDescent="0.25">
      <c r="A3713" t="s">
        <v>3448</v>
      </c>
    </row>
    <row r="3714" spans="1:1" x14ac:dyDescent="0.25">
      <c r="A3714" t="s">
        <v>3449</v>
      </c>
    </row>
    <row r="3715" spans="1:1" x14ac:dyDescent="0.25">
      <c r="A3715" t="s">
        <v>3450</v>
      </c>
    </row>
    <row r="3716" spans="1:1" x14ac:dyDescent="0.25">
      <c r="A3716" t="s">
        <v>3451</v>
      </c>
    </row>
    <row r="3717" spans="1:1" x14ac:dyDescent="0.25">
      <c r="A3717" t="s">
        <v>3452</v>
      </c>
    </row>
    <row r="3718" spans="1:1" x14ac:dyDescent="0.25">
      <c r="A3718" t="s">
        <v>3453</v>
      </c>
    </row>
    <row r="3719" spans="1:1" x14ac:dyDescent="0.25">
      <c r="A3719" t="s">
        <v>3454</v>
      </c>
    </row>
    <row r="3720" spans="1:1" x14ac:dyDescent="0.25">
      <c r="A3720" t="s">
        <v>3455</v>
      </c>
    </row>
    <row r="3721" spans="1:1" x14ac:dyDescent="0.25">
      <c r="A3721" t="s">
        <v>3456</v>
      </c>
    </row>
    <row r="3722" spans="1:1" x14ac:dyDescent="0.25">
      <c r="A3722" t="s">
        <v>3457</v>
      </c>
    </row>
    <row r="3723" spans="1:1" x14ac:dyDescent="0.25">
      <c r="A3723" t="s">
        <v>3458</v>
      </c>
    </row>
    <row r="3724" spans="1:1" x14ac:dyDescent="0.25">
      <c r="A3724" t="s">
        <v>3459</v>
      </c>
    </row>
    <row r="3725" spans="1:1" x14ac:dyDescent="0.25">
      <c r="A3725" t="s">
        <v>3460</v>
      </c>
    </row>
    <row r="3726" spans="1:1" x14ac:dyDescent="0.25">
      <c r="A3726" t="s">
        <v>3461</v>
      </c>
    </row>
    <row r="3727" spans="1:1" x14ac:dyDescent="0.25">
      <c r="A3727" t="s">
        <v>3462</v>
      </c>
    </row>
    <row r="3728" spans="1:1" x14ac:dyDescent="0.25">
      <c r="A3728" t="s">
        <v>3463</v>
      </c>
    </row>
    <row r="3729" spans="1:1" x14ac:dyDescent="0.25">
      <c r="A3729" t="s">
        <v>3464</v>
      </c>
    </row>
    <row r="3730" spans="1:1" x14ac:dyDescent="0.25">
      <c r="A3730" t="s">
        <v>3465</v>
      </c>
    </row>
    <row r="3731" spans="1:1" x14ac:dyDescent="0.25">
      <c r="A3731" t="s">
        <v>3466</v>
      </c>
    </row>
    <row r="3732" spans="1:1" x14ac:dyDescent="0.25">
      <c r="A3732" t="s">
        <v>3467</v>
      </c>
    </row>
    <row r="3733" spans="1:1" x14ac:dyDescent="0.25">
      <c r="A3733" t="s">
        <v>3468</v>
      </c>
    </row>
    <row r="3734" spans="1:1" x14ac:dyDescent="0.25">
      <c r="A3734" t="s">
        <v>3469</v>
      </c>
    </row>
    <row r="3735" spans="1:1" x14ac:dyDescent="0.25">
      <c r="A3735" t="s">
        <v>3470</v>
      </c>
    </row>
    <row r="3736" spans="1:1" x14ac:dyDescent="0.25">
      <c r="A3736" t="s">
        <v>3471</v>
      </c>
    </row>
    <row r="3737" spans="1:1" x14ac:dyDescent="0.25">
      <c r="A3737" t="s">
        <v>3472</v>
      </c>
    </row>
    <row r="3738" spans="1:1" x14ac:dyDescent="0.25">
      <c r="A3738" t="s">
        <v>3473</v>
      </c>
    </row>
    <row r="3739" spans="1:1" x14ac:dyDescent="0.25">
      <c r="A3739" t="s">
        <v>3474</v>
      </c>
    </row>
    <row r="3740" spans="1:1" x14ac:dyDescent="0.25">
      <c r="A3740" t="s">
        <v>3475</v>
      </c>
    </row>
    <row r="3741" spans="1:1" x14ac:dyDescent="0.25">
      <c r="A3741" t="s">
        <v>3476</v>
      </c>
    </row>
    <row r="3742" spans="1:1" x14ac:dyDescent="0.25">
      <c r="A3742" t="s">
        <v>3477</v>
      </c>
    </row>
    <row r="3743" spans="1:1" x14ac:dyDescent="0.25">
      <c r="A3743" t="s">
        <v>3478</v>
      </c>
    </row>
    <row r="3744" spans="1:1" x14ac:dyDescent="0.25">
      <c r="A3744" t="s">
        <v>3479</v>
      </c>
    </row>
    <row r="3745" spans="1:1" x14ac:dyDescent="0.25">
      <c r="A3745" t="s">
        <v>3480</v>
      </c>
    </row>
    <row r="3746" spans="1:1" x14ac:dyDescent="0.25">
      <c r="A3746" t="s">
        <v>3481</v>
      </c>
    </row>
    <row r="3747" spans="1:1" x14ac:dyDescent="0.25">
      <c r="A3747" t="s">
        <v>3482</v>
      </c>
    </row>
    <row r="3748" spans="1:1" x14ac:dyDescent="0.25">
      <c r="A3748" t="s">
        <v>3483</v>
      </c>
    </row>
    <row r="3749" spans="1:1" x14ac:dyDescent="0.25">
      <c r="A3749" t="s">
        <v>3484</v>
      </c>
    </row>
    <row r="3750" spans="1:1" x14ac:dyDescent="0.25">
      <c r="A3750" t="s">
        <v>3485</v>
      </c>
    </row>
    <row r="3751" spans="1:1" x14ac:dyDescent="0.25">
      <c r="A3751" t="s">
        <v>3486</v>
      </c>
    </row>
    <row r="3752" spans="1:1" x14ac:dyDescent="0.25">
      <c r="A3752" t="s">
        <v>3487</v>
      </c>
    </row>
    <row r="3753" spans="1:1" x14ac:dyDescent="0.25">
      <c r="A3753" t="s">
        <v>3488</v>
      </c>
    </row>
    <row r="3754" spans="1:1" x14ac:dyDescent="0.25">
      <c r="A3754" t="s">
        <v>3489</v>
      </c>
    </row>
    <row r="3755" spans="1:1" x14ac:dyDescent="0.25">
      <c r="A3755" t="s">
        <v>3490</v>
      </c>
    </row>
    <row r="3756" spans="1:1" x14ac:dyDescent="0.25">
      <c r="A3756" t="s">
        <v>3491</v>
      </c>
    </row>
    <row r="3757" spans="1:1" x14ac:dyDescent="0.25">
      <c r="A3757" t="s">
        <v>3492</v>
      </c>
    </row>
    <row r="3758" spans="1:1" x14ac:dyDescent="0.25">
      <c r="A3758" t="s">
        <v>3493</v>
      </c>
    </row>
    <row r="3759" spans="1:1" x14ac:dyDescent="0.25">
      <c r="A3759" t="s">
        <v>3494</v>
      </c>
    </row>
    <row r="3760" spans="1:1" x14ac:dyDescent="0.25">
      <c r="A3760" t="s">
        <v>3495</v>
      </c>
    </row>
    <row r="3761" spans="1:1" x14ac:dyDescent="0.25">
      <c r="A3761" t="s">
        <v>3496</v>
      </c>
    </row>
    <row r="3762" spans="1:1" x14ac:dyDescent="0.25">
      <c r="A3762" t="s">
        <v>3497</v>
      </c>
    </row>
    <row r="3763" spans="1:1" x14ac:dyDescent="0.25">
      <c r="A3763" t="s">
        <v>3498</v>
      </c>
    </row>
    <row r="3764" spans="1:1" x14ac:dyDescent="0.25">
      <c r="A3764" t="s">
        <v>3499</v>
      </c>
    </row>
    <row r="3765" spans="1:1" x14ac:dyDescent="0.25">
      <c r="A3765" t="s">
        <v>3500</v>
      </c>
    </row>
    <row r="3766" spans="1:1" x14ac:dyDescent="0.25">
      <c r="A3766" t="s">
        <v>3501</v>
      </c>
    </row>
    <row r="3767" spans="1:1" x14ac:dyDescent="0.25">
      <c r="A3767" t="s">
        <v>3502</v>
      </c>
    </row>
    <row r="3768" spans="1:1" x14ac:dyDescent="0.25">
      <c r="A3768" t="s">
        <v>3503</v>
      </c>
    </row>
    <row r="3769" spans="1:1" x14ac:dyDescent="0.25">
      <c r="A3769" t="s">
        <v>3504</v>
      </c>
    </row>
    <row r="3770" spans="1:1" x14ac:dyDescent="0.25">
      <c r="A3770" t="s">
        <v>3505</v>
      </c>
    </row>
    <row r="3771" spans="1:1" x14ac:dyDescent="0.25">
      <c r="A3771" t="s">
        <v>3506</v>
      </c>
    </row>
    <row r="3772" spans="1:1" x14ac:dyDescent="0.25">
      <c r="A3772" t="s">
        <v>3507</v>
      </c>
    </row>
    <row r="3773" spans="1:1" x14ac:dyDescent="0.25">
      <c r="A3773" t="s">
        <v>3508</v>
      </c>
    </row>
    <row r="3774" spans="1:1" x14ac:dyDescent="0.25">
      <c r="A3774" t="s">
        <v>3509</v>
      </c>
    </row>
    <row r="3775" spans="1:1" x14ac:dyDescent="0.25">
      <c r="A3775" t="s">
        <v>3510</v>
      </c>
    </row>
    <row r="3776" spans="1:1" x14ac:dyDescent="0.25">
      <c r="A3776" t="s">
        <v>3511</v>
      </c>
    </row>
    <row r="3777" spans="1:1" x14ac:dyDescent="0.25">
      <c r="A3777" t="s">
        <v>3512</v>
      </c>
    </row>
    <row r="3778" spans="1:1" x14ac:dyDescent="0.25">
      <c r="A3778" t="s">
        <v>3513</v>
      </c>
    </row>
    <row r="3779" spans="1:1" x14ac:dyDescent="0.25">
      <c r="A3779" t="s">
        <v>3514</v>
      </c>
    </row>
    <row r="3780" spans="1:1" x14ac:dyDescent="0.25">
      <c r="A3780" t="s">
        <v>3515</v>
      </c>
    </row>
    <row r="3781" spans="1:1" x14ac:dyDescent="0.25">
      <c r="A3781" t="s">
        <v>3516</v>
      </c>
    </row>
    <row r="3782" spans="1:1" x14ac:dyDescent="0.25">
      <c r="A3782" t="s">
        <v>3517</v>
      </c>
    </row>
    <row r="3783" spans="1:1" x14ac:dyDescent="0.25">
      <c r="A3783" t="s">
        <v>3518</v>
      </c>
    </row>
    <row r="3784" spans="1:1" x14ac:dyDescent="0.25">
      <c r="A3784" t="s">
        <v>3519</v>
      </c>
    </row>
    <row r="3785" spans="1:1" x14ac:dyDescent="0.25">
      <c r="A3785" t="s">
        <v>3520</v>
      </c>
    </row>
    <row r="3786" spans="1:1" x14ac:dyDescent="0.25">
      <c r="A3786" t="s">
        <v>3521</v>
      </c>
    </row>
    <row r="3787" spans="1:1" x14ac:dyDescent="0.25">
      <c r="A3787" t="s">
        <v>3522</v>
      </c>
    </row>
    <row r="3788" spans="1:1" x14ac:dyDescent="0.25">
      <c r="A3788" t="s">
        <v>3523</v>
      </c>
    </row>
    <row r="3789" spans="1:1" x14ac:dyDescent="0.25">
      <c r="A3789" t="s">
        <v>3524</v>
      </c>
    </row>
    <row r="3790" spans="1:1" x14ac:dyDescent="0.25">
      <c r="A3790" t="s">
        <v>3525</v>
      </c>
    </row>
    <row r="3791" spans="1:1" x14ac:dyDescent="0.25">
      <c r="A3791" t="s">
        <v>3526</v>
      </c>
    </row>
    <row r="3792" spans="1:1" x14ac:dyDescent="0.25">
      <c r="A3792" t="s">
        <v>3527</v>
      </c>
    </row>
    <row r="3793" spans="1:1" x14ac:dyDescent="0.25">
      <c r="A3793" t="s">
        <v>3528</v>
      </c>
    </row>
    <row r="3794" spans="1:1" x14ac:dyDescent="0.25">
      <c r="A3794" t="s">
        <v>3529</v>
      </c>
    </row>
    <row r="3795" spans="1:1" x14ac:dyDescent="0.25">
      <c r="A3795" t="s">
        <v>3530</v>
      </c>
    </row>
    <row r="3796" spans="1:1" x14ac:dyDescent="0.25">
      <c r="A3796" t="s">
        <v>3531</v>
      </c>
    </row>
    <row r="3797" spans="1:1" x14ac:dyDescent="0.25">
      <c r="A3797" t="s">
        <v>3532</v>
      </c>
    </row>
    <row r="3798" spans="1:1" x14ac:dyDescent="0.25">
      <c r="A3798" t="s">
        <v>3533</v>
      </c>
    </row>
    <row r="3799" spans="1:1" x14ac:dyDescent="0.25">
      <c r="A3799" t="s">
        <v>3534</v>
      </c>
    </row>
    <row r="3800" spans="1:1" x14ac:dyDescent="0.25">
      <c r="A3800" t="s">
        <v>3535</v>
      </c>
    </row>
    <row r="3801" spans="1:1" x14ac:dyDescent="0.25">
      <c r="A3801" t="s">
        <v>3536</v>
      </c>
    </row>
    <row r="3802" spans="1:1" x14ac:dyDescent="0.25">
      <c r="A3802" t="s">
        <v>3537</v>
      </c>
    </row>
    <row r="3803" spans="1:1" x14ac:dyDescent="0.25">
      <c r="A3803" t="s">
        <v>3538</v>
      </c>
    </row>
    <row r="3804" spans="1:1" x14ac:dyDescent="0.25">
      <c r="A3804" t="s">
        <v>3539</v>
      </c>
    </row>
    <row r="3805" spans="1:1" x14ac:dyDescent="0.25">
      <c r="A3805" t="s">
        <v>3540</v>
      </c>
    </row>
    <row r="3806" spans="1:1" x14ac:dyDescent="0.25">
      <c r="A3806" t="s">
        <v>3541</v>
      </c>
    </row>
    <row r="3807" spans="1:1" x14ac:dyDescent="0.25">
      <c r="A3807" t="s">
        <v>3542</v>
      </c>
    </row>
    <row r="3808" spans="1:1" x14ac:dyDescent="0.25">
      <c r="A3808" t="s">
        <v>3543</v>
      </c>
    </row>
    <row r="3809" spans="1:1" x14ac:dyDescent="0.25">
      <c r="A3809" t="s">
        <v>3544</v>
      </c>
    </row>
    <row r="3810" spans="1:1" x14ac:dyDescent="0.25">
      <c r="A3810" t="s">
        <v>3545</v>
      </c>
    </row>
    <row r="3811" spans="1:1" x14ac:dyDescent="0.25">
      <c r="A3811" t="s">
        <v>3546</v>
      </c>
    </row>
    <row r="3812" spans="1:1" x14ac:dyDescent="0.25">
      <c r="A3812" t="s">
        <v>3547</v>
      </c>
    </row>
    <row r="3813" spans="1:1" x14ac:dyDescent="0.25">
      <c r="A3813" t="s">
        <v>3548</v>
      </c>
    </row>
    <row r="3814" spans="1:1" x14ac:dyDescent="0.25">
      <c r="A3814" t="s">
        <v>3549</v>
      </c>
    </row>
    <row r="3815" spans="1:1" x14ac:dyDescent="0.25">
      <c r="A3815" t="s">
        <v>3550</v>
      </c>
    </row>
    <row r="3816" spans="1:1" x14ac:dyDescent="0.25">
      <c r="A3816" t="s">
        <v>3551</v>
      </c>
    </row>
    <row r="3817" spans="1:1" x14ac:dyDescent="0.25">
      <c r="A3817" t="s">
        <v>3552</v>
      </c>
    </row>
    <row r="3818" spans="1:1" x14ac:dyDescent="0.25">
      <c r="A3818" t="s">
        <v>3553</v>
      </c>
    </row>
    <row r="3819" spans="1:1" x14ac:dyDescent="0.25">
      <c r="A3819" t="s">
        <v>3554</v>
      </c>
    </row>
    <row r="3820" spans="1:1" x14ac:dyDescent="0.25">
      <c r="A3820" t="s">
        <v>3555</v>
      </c>
    </row>
    <row r="3821" spans="1:1" x14ac:dyDescent="0.25">
      <c r="A3821" t="s">
        <v>3556</v>
      </c>
    </row>
    <row r="3822" spans="1:1" x14ac:dyDescent="0.25">
      <c r="A3822" t="s">
        <v>3557</v>
      </c>
    </row>
    <row r="3823" spans="1:1" x14ac:dyDescent="0.25">
      <c r="A3823" t="s">
        <v>3558</v>
      </c>
    </row>
    <row r="3824" spans="1:1" x14ac:dyDescent="0.25">
      <c r="A3824" t="s">
        <v>3559</v>
      </c>
    </row>
    <row r="3825" spans="1:1" x14ac:dyDescent="0.25">
      <c r="A3825" t="s">
        <v>3560</v>
      </c>
    </row>
    <row r="3826" spans="1:1" x14ac:dyDescent="0.25">
      <c r="A3826" t="s">
        <v>3561</v>
      </c>
    </row>
    <row r="3827" spans="1:1" x14ac:dyDescent="0.25">
      <c r="A3827" t="s">
        <v>3562</v>
      </c>
    </row>
    <row r="3828" spans="1:1" x14ac:dyDescent="0.25">
      <c r="A3828" t="s">
        <v>3563</v>
      </c>
    </row>
    <row r="3829" spans="1:1" x14ac:dyDescent="0.25">
      <c r="A3829" t="s">
        <v>3564</v>
      </c>
    </row>
    <row r="3830" spans="1:1" x14ac:dyDescent="0.25">
      <c r="A3830" t="s">
        <v>3565</v>
      </c>
    </row>
    <row r="3831" spans="1:1" x14ac:dyDescent="0.25">
      <c r="A3831" t="s">
        <v>3566</v>
      </c>
    </row>
    <row r="3832" spans="1:1" x14ac:dyDescent="0.25">
      <c r="A3832" t="s">
        <v>3567</v>
      </c>
    </row>
    <row r="3833" spans="1:1" x14ac:dyDescent="0.25">
      <c r="A3833" t="s">
        <v>3568</v>
      </c>
    </row>
    <row r="3834" spans="1:1" x14ac:dyDescent="0.25">
      <c r="A3834" t="s">
        <v>3569</v>
      </c>
    </row>
    <row r="3835" spans="1:1" x14ac:dyDescent="0.25">
      <c r="A3835" t="s">
        <v>3570</v>
      </c>
    </row>
    <row r="3836" spans="1:1" x14ac:dyDescent="0.25">
      <c r="A3836" t="s">
        <v>3571</v>
      </c>
    </row>
    <row r="3837" spans="1:1" x14ac:dyDescent="0.25">
      <c r="A3837" t="s">
        <v>3572</v>
      </c>
    </row>
    <row r="3838" spans="1:1" x14ac:dyDescent="0.25">
      <c r="A3838" t="s">
        <v>3573</v>
      </c>
    </row>
    <row r="3839" spans="1:1" x14ac:dyDescent="0.25">
      <c r="A3839" t="s">
        <v>3574</v>
      </c>
    </row>
    <row r="3840" spans="1:1" x14ac:dyDescent="0.25">
      <c r="A3840" t="s">
        <v>3575</v>
      </c>
    </row>
    <row r="3841" spans="1:1" x14ac:dyDescent="0.25">
      <c r="A3841" t="s">
        <v>3576</v>
      </c>
    </row>
    <row r="3842" spans="1:1" x14ac:dyDescent="0.25">
      <c r="A3842" t="s">
        <v>3577</v>
      </c>
    </row>
    <row r="3843" spans="1:1" x14ac:dyDescent="0.25">
      <c r="A3843" t="s">
        <v>3578</v>
      </c>
    </row>
    <row r="3844" spans="1:1" x14ac:dyDescent="0.25">
      <c r="A3844" t="s">
        <v>3579</v>
      </c>
    </row>
    <row r="3845" spans="1:1" x14ac:dyDescent="0.25">
      <c r="A3845" t="s">
        <v>3580</v>
      </c>
    </row>
    <row r="3846" spans="1:1" x14ac:dyDescent="0.25">
      <c r="A3846" t="s">
        <v>3581</v>
      </c>
    </row>
    <row r="3847" spans="1:1" x14ac:dyDescent="0.25">
      <c r="A3847" t="s">
        <v>3582</v>
      </c>
    </row>
    <row r="3848" spans="1:1" x14ac:dyDescent="0.25">
      <c r="A3848" t="s">
        <v>3583</v>
      </c>
    </row>
    <row r="3849" spans="1:1" x14ac:dyDescent="0.25">
      <c r="A3849" t="s">
        <v>3584</v>
      </c>
    </row>
    <row r="3850" spans="1:1" x14ac:dyDescent="0.25">
      <c r="A3850" t="s">
        <v>3585</v>
      </c>
    </row>
    <row r="3851" spans="1:1" x14ac:dyDescent="0.25">
      <c r="A3851" t="s">
        <v>3586</v>
      </c>
    </row>
    <row r="3852" spans="1:1" x14ac:dyDescent="0.25">
      <c r="A3852" t="s">
        <v>3587</v>
      </c>
    </row>
    <row r="3853" spans="1:1" x14ac:dyDescent="0.25">
      <c r="A3853" t="s">
        <v>3588</v>
      </c>
    </row>
    <row r="3854" spans="1:1" x14ac:dyDescent="0.25">
      <c r="A3854" t="s">
        <v>3589</v>
      </c>
    </row>
    <row r="3855" spans="1:1" x14ac:dyDescent="0.25">
      <c r="A3855" t="s">
        <v>3590</v>
      </c>
    </row>
    <row r="3856" spans="1:1" x14ac:dyDescent="0.25">
      <c r="A3856" t="s">
        <v>3591</v>
      </c>
    </row>
    <row r="3857" spans="1:1" x14ac:dyDescent="0.25">
      <c r="A3857" t="s">
        <v>3592</v>
      </c>
    </row>
    <row r="3858" spans="1:1" x14ac:dyDescent="0.25">
      <c r="A3858" t="s">
        <v>3593</v>
      </c>
    </row>
    <row r="3859" spans="1:1" x14ac:dyDescent="0.25">
      <c r="A3859" t="s">
        <v>3594</v>
      </c>
    </row>
    <row r="3860" spans="1:1" x14ac:dyDescent="0.25">
      <c r="A3860" t="s">
        <v>3595</v>
      </c>
    </row>
    <row r="3861" spans="1:1" x14ac:dyDescent="0.25">
      <c r="A3861" t="s">
        <v>3596</v>
      </c>
    </row>
    <row r="3862" spans="1:1" x14ac:dyDescent="0.25">
      <c r="A3862" t="s">
        <v>3597</v>
      </c>
    </row>
    <row r="3863" spans="1:1" x14ac:dyDescent="0.25">
      <c r="A3863" t="s">
        <v>3598</v>
      </c>
    </row>
    <row r="3864" spans="1:1" x14ac:dyDescent="0.25">
      <c r="A3864" t="s">
        <v>3599</v>
      </c>
    </row>
    <row r="3865" spans="1:1" x14ac:dyDescent="0.25">
      <c r="A3865" t="s">
        <v>3600</v>
      </c>
    </row>
    <row r="3866" spans="1:1" x14ac:dyDescent="0.25">
      <c r="A3866" t="s">
        <v>3601</v>
      </c>
    </row>
    <row r="3867" spans="1:1" x14ac:dyDescent="0.25">
      <c r="A3867" t="s">
        <v>3602</v>
      </c>
    </row>
    <row r="3868" spans="1:1" x14ac:dyDescent="0.25">
      <c r="A3868" t="s">
        <v>3603</v>
      </c>
    </row>
    <row r="3869" spans="1:1" x14ac:dyDescent="0.25">
      <c r="A3869" t="s">
        <v>3604</v>
      </c>
    </row>
    <row r="3870" spans="1:1" x14ac:dyDescent="0.25">
      <c r="A3870" t="s">
        <v>3605</v>
      </c>
    </row>
    <row r="3871" spans="1:1" x14ac:dyDescent="0.25">
      <c r="A3871" t="s">
        <v>3606</v>
      </c>
    </row>
    <row r="3872" spans="1:1" x14ac:dyDescent="0.25">
      <c r="A3872" t="s">
        <v>3607</v>
      </c>
    </row>
    <row r="3873" spans="1:1" x14ac:dyDescent="0.25">
      <c r="A3873" t="s">
        <v>3608</v>
      </c>
    </row>
    <row r="3874" spans="1:1" x14ac:dyDescent="0.25">
      <c r="A3874" t="s">
        <v>3609</v>
      </c>
    </row>
    <row r="3875" spans="1:1" x14ac:dyDescent="0.25">
      <c r="A3875" t="s">
        <v>3610</v>
      </c>
    </row>
    <row r="3876" spans="1:1" x14ac:dyDescent="0.25">
      <c r="A3876" t="s">
        <v>3611</v>
      </c>
    </row>
    <row r="3877" spans="1:1" x14ac:dyDescent="0.25">
      <c r="A3877" t="s">
        <v>3612</v>
      </c>
    </row>
    <row r="3878" spans="1:1" x14ac:dyDescent="0.25">
      <c r="A3878" t="s">
        <v>3613</v>
      </c>
    </row>
    <row r="3879" spans="1:1" x14ac:dyDescent="0.25">
      <c r="A3879" t="s">
        <v>3614</v>
      </c>
    </row>
    <row r="3880" spans="1:1" x14ac:dyDescent="0.25">
      <c r="A3880" t="s">
        <v>3615</v>
      </c>
    </row>
    <row r="3881" spans="1:1" x14ac:dyDescent="0.25">
      <c r="A3881" t="s">
        <v>3616</v>
      </c>
    </row>
    <row r="3882" spans="1:1" x14ac:dyDescent="0.25">
      <c r="A3882" t="s">
        <v>3617</v>
      </c>
    </row>
    <row r="3883" spans="1:1" x14ac:dyDescent="0.25">
      <c r="A3883" t="s">
        <v>3618</v>
      </c>
    </row>
    <row r="3884" spans="1:1" x14ac:dyDescent="0.25">
      <c r="A3884" t="s">
        <v>3619</v>
      </c>
    </row>
    <row r="3885" spans="1:1" x14ac:dyDescent="0.25">
      <c r="A3885" t="s">
        <v>3620</v>
      </c>
    </row>
    <row r="3886" spans="1:1" x14ac:dyDescent="0.25">
      <c r="A3886" t="s">
        <v>3621</v>
      </c>
    </row>
    <row r="3887" spans="1:1" x14ac:dyDescent="0.25">
      <c r="A3887" t="s">
        <v>3622</v>
      </c>
    </row>
    <row r="3888" spans="1:1" x14ac:dyDescent="0.25">
      <c r="A3888" t="s">
        <v>3623</v>
      </c>
    </row>
    <row r="3889" spans="1:1" x14ac:dyDescent="0.25">
      <c r="A3889" t="s">
        <v>3624</v>
      </c>
    </row>
    <row r="3890" spans="1:1" x14ac:dyDescent="0.25">
      <c r="A3890" t="s">
        <v>3625</v>
      </c>
    </row>
    <row r="3891" spans="1:1" x14ac:dyDescent="0.25">
      <c r="A3891" t="s">
        <v>3626</v>
      </c>
    </row>
    <row r="3892" spans="1:1" x14ac:dyDescent="0.25">
      <c r="A3892" t="s">
        <v>3627</v>
      </c>
    </row>
    <row r="3893" spans="1:1" x14ac:dyDescent="0.25">
      <c r="A3893" t="s">
        <v>3628</v>
      </c>
    </row>
    <row r="3894" spans="1:1" x14ac:dyDescent="0.25">
      <c r="A3894" t="s">
        <v>3629</v>
      </c>
    </row>
    <row r="3895" spans="1:1" x14ac:dyDescent="0.25">
      <c r="A3895" t="s">
        <v>3630</v>
      </c>
    </row>
    <row r="3896" spans="1:1" x14ac:dyDescent="0.25">
      <c r="A3896" t="s">
        <v>3631</v>
      </c>
    </row>
    <row r="3897" spans="1:1" x14ac:dyDescent="0.25">
      <c r="A3897" t="s">
        <v>3632</v>
      </c>
    </row>
    <row r="3898" spans="1:1" x14ac:dyDescent="0.25">
      <c r="A3898" t="s">
        <v>3633</v>
      </c>
    </row>
    <row r="3899" spans="1:1" x14ac:dyDescent="0.25">
      <c r="A3899" t="s">
        <v>3634</v>
      </c>
    </row>
    <row r="3900" spans="1:1" x14ac:dyDescent="0.25">
      <c r="A3900" t="s">
        <v>3635</v>
      </c>
    </row>
    <row r="3901" spans="1:1" x14ac:dyDescent="0.25">
      <c r="A3901" t="s">
        <v>3636</v>
      </c>
    </row>
    <row r="3902" spans="1:1" x14ac:dyDescent="0.25">
      <c r="A3902" t="s">
        <v>3637</v>
      </c>
    </row>
    <row r="3903" spans="1:1" x14ac:dyDescent="0.25">
      <c r="A3903" t="s">
        <v>3638</v>
      </c>
    </row>
    <row r="3904" spans="1:1" x14ac:dyDescent="0.25">
      <c r="A3904" t="s">
        <v>3639</v>
      </c>
    </row>
    <row r="3905" spans="1:1" x14ac:dyDescent="0.25">
      <c r="A3905" t="s">
        <v>3640</v>
      </c>
    </row>
    <row r="3906" spans="1:1" x14ac:dyDescent="0.25">
      <c r="A3906" t="s">
        <v>3641</v>
      </c>
    </row>
    <row r="3907" spans="1:1" x14ac:dyDescent="0.25">
      <c r="A3907" t="s">
        <v>3642</v>
      </c>
    </row>
    <row r="3908" spans="1:1" x14ac:dyDescent="0.25">
      <c r="A3908" t="s">
        <v>3643</v>
      </c>
    </row>
    <row r="3909" spans="1:1" x14ac:dyDescent="0.25">
      <c r="A3909" t="s">
        <v>3644</v>
      </c>
    </row>
    <row r="3910" spans="1:1" x14ac:dyDescent="0.25">
      <c r="A3910" t="s">
        <v>3645</v>
      </c>
    </row>
    <row r="3911" spans="1:1" x14ac:dyDescent="0.25">
      <c r="A3911" t="s">
        <v>3646</v>
      </c>
    </row>
    <row r="3912" spans="1:1" x14ac:dyDescent="0.25">
      <c r="A3912" t="s">
        <v>3647</v>
      </c>
    </row>
    <row r="3913" spans="1:1" x14ac:dyDescent="0.25">
      <c r="A3913" t="s">
        <v>3648</v>
      </c>
    </row>
    <row r="3914" spans="1:1" x14ac:dyDescent="0.25">
      <c r="A3914" t="s">
        <v>3649</v>
      </c>
    </row>
    <row r="3915" spans="1:1" x14ac:dyDescent="0.25">
      <c r="A3915" t="s">
        <v>3650</v>
      </c>
    </row>
    <row r="3916" spans="1:1" x14ac:dyDescent="0.25">
      <c r="A3916" t="s">
        <v>1298</v>
      </c>
    </row>
    <row r="3917" spans="1:1" x14ac:dyDescent="0.25">
      <c r="A3917" t="s">
        <v>7878</v>
      </c>
    </row>
    <row r="3918" spans="1:1" x14ac:dyDescent="0.25">
      <c r="A3918" t="s">
        <v>7879</v>
      </c>
    </row>
    <row r="3919" spans="1:1" x14ac:dyDescent="0.25">
      <c r="A3919" t="s">
        <v>7880</v>
      </c>
    </row>
    <row r="3920" spans="1:1" x14ac:dyDescent="0.25">
      <c r="A3920" t="s">
        <v>7881</v>
      </c>
    </row>
    <row r="3921" spans="1:1" x14ac:dyDescent="0.25">
      <c r="A3921" t="s">
        <v>7882</v>
      </c>
    </row>
    <row r="3922" spans="1:1" x14ac:dyDescent="0.25">
      <c r="A3922" t="s">
        <v>7883</v>
      </c>
    </row>
    <row r="3923" spans="1:1" x14ac:dyDescent="0.25">
      <c r="A3923" t="s">
        <v>7884</v>
      </c>
    </row>
    <row r="3924" spans="1:1" x14ac:dyDescent="0.25">
      <c r="A3924" t="s">
        <v>7885</v>
      </c>
    </row>
    <row r="3925" spans="1:1" x14ac:dyDescent="0.25">
      <c r="A3925" t="s">
        <v>7886</v>
      </c>
    </row>
    <row r="3926" spans="1:1" x14ac:dyDescent="0.25">
      <c r="A3926" t="s">
        <v>7887</v>
      </c>
    </row>
    <row r="3927" spans="1:1" x14ac:dyDescent="0.25">
      <c r="A3927" t="s">
        <v>7888</v>
      </c>
    </row>
    <row r="3928" spans="1:1" x14ac:dyDescent="0.25">
      <c r="A3928" t="s">
        <v>7889</v>
      </c>
    </row>
    <row r="3929" spans="1:1" x14ac:dyDescent="0.25">
      <c r="A3929" t="s">
        <v>7890</v>
      </c>
    </row>
    <row r="3930" spans="1:1" x14ac:dyDescent="0.25">
      <c r="A3930" t="s">
        <v>7891</v>
      </c>
    </row>
    <row r="3931" spans="1:1" x14ac:dyDescent="0.25">
      <c r="A3931" t="s">
        <v>7892</v>
      </c>
    </row>
    <row r="3932" spans="1:1" x14ac:dyDescent="0.25">
      <c r="A3932" t="s">
        <v>7893</v>
      </c>
    </row>
    <row r="3933" spans="1:1" x14ac:dyDescent="0.25">
      <c r="A3933" t="s">
        <v>7894</v>
      </c>
    </row>
    <row r="3934" spans="1:1" x14ac:dyDescent="0.25">
      <c r="A3934" t="s">
        <v>7895</v>
      </c>
    </row>
    <row r="3935" spans="1:1" x14ac:dyDescent="0.25">
      <c r="A3935" t="s">
        <v>7896</v>
      </c>
    </row>
    <row r="3936" spans="1:1" x14ac:dyDescent="0.25">
      <c r="A3936" t="s">
        <v>7897</v>
      </c>
    </row>
    <row r="3937" spans="1:1" x14ac:dyDescent="0.25">
      <c r="A3937" t="s">
        <v>7898</v>
      </c>
    </row>
    <row r="3938" spans="1:1" x14ac:dyDescent="0.25">
      <c r="A3938" t="s">
        <v>7899</v>
      </c>
    </row>
    <row r="3939" spans="1:1" x14ac:dyDescent="0.25">
      <c r="A3939" t="s">
        <v>7900</v>
      </c>
    </row>
    <row r="3940" spans="1:1" x14ac:dyDescent="0.25">
      <c r="A3940" t="s">
        <v>7901</v>
      </c>
    </row>
    <row r="3941" spans="1:1" x14ac:dyDescent="0.25">
      <c r="A3941" t="s">
        <v>7902</v>
      </c>
    </row>
    <row r="3942" spans="1:1" x14ac:dyDescent="0.25">
      <c r="A3942" t="s">
        <v>7903</v>
      </c>
    </row>
    <row r="3943" spans="1:1" x14ac:dyDescent="0.25">
      <c r="A3943" t="s">
        <v>7904</v>
      </c>
    </row>
    <row r="3944" spans="1:1" x14ac:dyDescent="0.25">
      <c r="A3944" t="s">
        <v>7905</v>
      </c>
    </row>
    <row r="3945" spans="1:1" x14ac:dyDescent="0.25">
      <c r="A3945" t="s">
        <v>7906</v>
      </c>
    </row>
    <row r="3946" spans="1:1" x14ac:dyDescent="0.25">
      <c r="A3946" t="s">
        <v>7907</v>
      </c>
    </row>
    <row r="3947" spans="1:1" x14ac:dyDescent="0.25">
      <c r="A3947" t="s">
        <v>7908</v>
      </c>
    </row>
    <row r="3948" spans="1:1" x14ac:dyDescent="0.25">
      <c r="A3948" t="s">
        <v>7909</v>
      </c>
    </row>
    <row r="3949" spans="1:1" x14ac:dyDescent="0.25">
      <c r="A3949" t="s">
        <v>7910</v>
      </c>
    </row>
    <row r="3950" spans="1:1" x14ac:dyDescent="0.25">
      <c r="A3950" t="s">
        <v>7911</v>
      </c>
    </row>
    <row r="3951" spans="1:1" x14ac:dyDescent="0.25">
      <c r="A3951" t="s">
        <v>7912</v>
      </c>
    </row>
    <row r="3952" spans="1:1" x14ac:dyDescent="0.25">
      <c r="A3952" t="s">
        <v>7913</v>
      </c>
    </row>
    <row r="3953" spans="1:1" x14ac:dyDescent="0.25">
      <c r="A3953" t="s">
        <v>7914</v>
      </c>
    </row>
    <row r="3954" spans="1:1" x14ac:dyDescent="0.25">
      <c r="A3954" t="s">
        <v>7915</v>
      </c>
    </row>
    <row r="3955" spans="1:1" x14ac:dyDescent="0.25">
      <c r="A3955" t="s">
        <v>7916</v>
      </c>
    </row>
    <row r="3956" spans="1:1" x14ac:dyDescent="0.25">
      <c r="A3956" t="s">
        <v>7917</v>
      </c>
    </row>
    <row r="3957" spans="1:1" x14ac:dyDescent="0.25">
      <c r="A3957" t="s">
        <v>7918</v>
      </c>
    </row>
    <row r="3958" spans="1:1" x14ac:dyDescent="0.25">
      <c r="A3958" t="s">
        <v>7919</v>
      </c>
    </row>
    <row r="3959" spans="1:1" x14ac:dyDescent="0.25">
      <c r="A3959" t="s">
        <v>7920</v>
      </c>
    </row>
    <row r="3960" spans="1:1" x14ac:dyDescent="0.25">
      <c r="A3960" t="s">
        <v>7921</v>
      </c>
    </row>
    <row r="3961" spans="1:1" x14ac:dyDescent="0.25">
      <c r="A3961" t="s">
        <v>7922</v>
      </c>
    </row>
    <row r="3962" spans="1:1" x14ac:dyDescent="0.25">
      <c r="A3962" t="s">
        <v>7923</v>
      </c>
    </row>
    <row r="3963" spans="1:1" x14ac:dyDescent="0.25">
      <c r="A3963" t="s">
        <v>7924</v>
      </c>
    </row>
    <row r="3964" spans="1:1" x14ac:dyDescent="0.25">
      <c r="A3964" t="s">
        <v>7925</v>
      </c>
    </row>
    <row r="3965" spans="1:1" x14ac:dyDescent="0.25">
      <c r="A3965" t="s">
        <v>7926</v>
      </c>
    </row>
    <row r="3966" spans="1:1" x14ac:dyDescent="0.25">
      <c r="A3966" t="s">
        <v>7927</v>
      </c>
    </row>
    <row r="3967" spans="1:1" x14ac:dyDescent="0.25">
      <c r="A3967" t="s">
        <v>7928</v>
      </c>
    </row>
    <row r="3968" spans="1:1" x14ac:dyDescent="0.25">
      <c r="A3968" t="s">
        <v>7929</v>
      </c>
    </row>
    <row r="3969" spans="1:1" x14ac:dyDescent="0.25">
      <c r="A3969" t="s">
        <v>7930</v>
      </c>
    </row>
    <row r="3970" spans="1:1" x14ac:dyDescent="0.25">
      <c r="A3970" t="s">
        <v>7931</v>
      </c>
    </row>
    <row r="3971" spans="1:1" x14ac:dyDescent="0.25">
      <c r="A3971" t="s">
        <v>7932</v>
      </c>
    </row>
    <row r="3972" spans="1:1" x14ac:dyDescent="0.25">
      <c r="A3972" t="s">
        <v>7933</v>
      </c>
    </row>
    <row r="3973" spans="1:1" x14ac:dyDescent="0.25">
      <c r="A3973" t="s">
        <v>7934</v>
      </c>
    </row>
    <row r="3974" spans="1:1" x14ac:dyDescent="0.25">
      <c r="A3974" t="s">
        <v>7935</v>
      </c>
    </row>
    <row r="3975" spans="1:1" x14ac:dyDescent="0.25">
      <c r="A3975" t="s">
        <v>7936</v>
      </c>
    </row>
    <row r="3976" spans="1:1" x14ac:dyDescent="0.25">
      <c r="A3976" t="s">
        <v>7937</v>
      </c>
    </row>
    <row r="3977" spans="1:1" x14ac:dyDescent="0.25">
      <c r="A3977" t="s">
        <v>7938</v>
      </c>
    </row>
    <row r="3978" spans="1:1" x14ac:dyDescent="0.25">
      <c r="A3978" t="s">
        <v>7939</v>
      </c>
    </row>
    <row r="3979" spans="1:1" x14ac:dyDescent="0.25">
      <c r="A3979" t="s">
        <v>7940</v>
      </c>
    </row>
    <row r="3980" spans="1:1" x14ac:dyDescent="0.25">
      <c r="A3980" t="s">
        <v>7941</v>
      </c>
    </row>
    <row r="3981" spans="1:1" x14ac:dyDescent="0.25">
      <c r="A3981" t="s">
        <v>7942</v>
      </c>
    </row>
    <row r="3982" spans="1:1" x14ac:dyDescent="0.25">
      <c r="A3982" t="s">
        <v>7943</v>
      </c>
    </row>
    <row r="3983" spans="1:1" x14ac:dyDescent="0.25">
      <c r="A3983" t="s">
        <v>7944</v>
      </c>
    </row>
    <row r="3984" spans="1:1" x14ac:dyDescent="0.25">
      <c r="A3984" t="s">
        <v>7945</v>
      </c>
    </row>
    <row r="3985" spans="1:1" x14ac:dyDescent="0.25">
      <c r="A3985" t="s">
        <v>7946</v>
      </c>
    </row>
    <row r="3986" spans="1:1" x14ac:dyDescent="0.25">
      <c r="A3986" t="s">
        <v>7947</v>
      </c>
    </row>
    <row r="3987" spans="1:1" x14ac:dyDescent="0.25">
      <c r="A3987" t="s">
        <v>7948</v>
      </c>
    </row>
    <row r="3988" spans="1:1" x14ac:dyDescent="0.25">
      <c r="A3988" t="s">
        <v>7949</v>
      </c>
    </row>
    <row r="3989" spans="1:1" x14ac:dyDescent="0.25">
      <c r="A3989" t="s">
        <v>7950</v>
      </c>
    </row>
    <row r="3990" spans="1:1" x14ac:dyDescent="0.25">
      <c r="A3990" t="s">
        <v>7951</v>
      </c>
    </row>
    <row r="3991" spans="1:1" x14ac:dyDescent="0.25">
      <c r="A3991" t="s">
        <v>7952</v>
      </c>
    </row>
    <row r="3992" spans="1:1" x14ac:dyDescent="0.25">
      <c r="A3992" t="s">
        <v>7953</v>
      </c>
    </row>
    <row r="3993" spans="1:1" x14ac:dyDescent="0.25">
      <c r="A3993" t="s">
        <v>7954</v>
      </c>
    </row>
    <row r="3994" spans="1:1" x14ac:dyDescent="0.25">
      <c r="A3994" t="s">
        <v>7955</v>
      </c>
    </row>
    <row r="3995" spans="1:1" x14ac:dyDescent="0.25">
      <c r="A3995" t="s">
        <v>7956</v>
      </c>
    </row>
    <row r="3996" spans="1:1" x14ac:dyDescent="0.25">
      <c r="A3996" t="s">
        <v>7957</v>
      </c>
    </row>
    <row r="3997" spans="1:1" x14ac:dyDescent="0.25">
      <c r="A3997" t="s">
        <v>7958</v>
      </c>
    </row>
    <row r="3998" spans="1:1" x14ac:dyDescent="0.25">
      <c r="A3998" t="s">
        <v>7959</v>
      </c>
    </row>
    <row r="3999" spans="1:1" x14ac:dyDescent="0.25">
      <c r="A3999" t="s">
        <v>7960</v>
      </c>
    </row>
    <row r="4000" spans="1:1" x14ac:dyDescent="0.25">
      <c r="A4000" t="s">
        <v>7961</v>
      </c>
    </row>
    <row r="4001" spans="1:1" x14ac:dyDescent="0.25">
      <c r="A4001" t="s">
        <v>7962</v>
      </c>
    </row>
    <row r="4002" spans="1:1" x14ac:dyDescent="0.25">
      <c r="A4002" t="s">
        <v>7963</v>
      </c>
    </row>
    <row r="4003" spans="1:1" x14ac:dyDescent="0.25">
      <c r="A4003" t="s">
        <v>7964</v>
      </c>
    </row>
    <row r="4004" spans="1:1" x14ac:dyDescent="0.25">
      <c r="A4004" t="s">
        <v>7965</v>
      </c>
    </row>
    <row r="4005" spans="1:1" x14ac:dyDescent="0.25">
      <c r="A4005" t="s">
        <v>7966</v>
      </c>
    </row>
    <row r="4006" spans="1:1" x14ac:dyDescent="0.25">
      <c r="A4006" t="s">
        <v>7967</v>
      </c>
    </row>
    <row r="4007" spans="1:1" x14ac:dyDescent="0.25">
      <c r="A4007" t="s">
        <v>7968</v>
      </c>
    </row>
    <row r="4008" spans="1:1" x14ac:dyDescent="0.25">
      <c r="A4008" t="s">
        <v>7969</v>
      </c>
    </row>
    <row r="4009" spans="1:1" x14ac:dyDescent="0.25">
      <c r="A4009" t="s">
        <v>7970</v>
      </c>
    </row>
    <row r="4010" spans="1:1" x14ac:dyDescent="0.25">
      <c r="A4010" t="s">
        <v>7971</v>
      </c>
    </row>
    <row r="4011" spans="1:1" x14ac:dyDescent="0.25">
      <c r="A4011" t="s">
        <v>7972</v>
      </c>
    </row>
    <row r="4012" spans="1:1" x14ac:dyDescent="0.25">
      <c r="A4012" t="s">
        <v>7973</v>
      </c>
    </row>
    <row r="4013" spans="1:1" x14ac:dyDescent="0.25">
      <c r="A4013" t="s">
        <v>7974</v>
      </c>
    </row>
    <row r="4014" spans="1:1" x14ac:dyDescent="0.25">
      <c r="A4014" t="s">
        <v>7975</v>
      </c>
    </row>
    <row r="4015" spans="1:1" x14ac:dyDescent="0.25">
      <c r="A4015" t="s">
        <v>7976</v>
      </c>
    </row>
    <row r="4016" spans="1:1" x14ac:dyDescent="0.25">
      <c r="A4016" t="s">
        <v>7977</v>
      </c>
    </row>
    <row r="4017" spans="1:1" x14ac:dyDescent="0.25">
      <c r="A4017" t="s">
        <v>7978</v>
      </c>
    </row>
    <row r="4018" spans="1:1" x14ac:dyDescent="0.25">
      <c r="A4018" t="s">
        <v>7979</v>
      </c>
    </row>
    <row r="4019" spans="1:1" x14ac:dyDescent="0.25">
      <c r="A4019" t="s">
        <v>7980</v>
      </c>
    </row>
    <row r="4020" spans="1:1" x14ac:dyDescent="0.25">
      <c r="A4020" t="s">
        <v>7981</v>
      </c>
    </row>
    <row r="4021" spans="1:1" x14ac:dyDescent="0.25">
      <c r="A4021" t="s">
        <v>7982</v>
      </c>
    </row>
    <row r="4022" spans="1:1" x14ac:dyDescent="0.25">
      <c r="A4022" t="s">
        <v>7983</v>
      </c>
    </row>
    <row r="4023" spans="1:1" x14ac:dyDescent="0.25">
      <c r="A4023" t="s">
        <v>7984</v>
      </c>
    </row>
    <row r="4024" spans="1:1" x14ac:dyDescent="0.25">
      <c r="A4024" t="s">
        <v>7985</v>
      </c>
    </row>
    <row r="4025" spans="1:1" x14ac:dyDescent="0.25">
      <c r="A4025" t="s">
        <v>7986</v>
      </c>
    </row>
    <row r="4026" spans="1:1" x14ac:dyDescent="0.25">
      <c r="A4026" t="s">
        <v>7987</v>
      </c>
    </row>
    <row r="4027" spans="1:1" x14ac:dyDescent="0.25">
      <c r="A4027" t="s">
        <v>7988</v>
      </c>
    </row>
    <row r="4028" spans="1:1" x14ac:dyDescent="0.25">
      <c r="A4028" t="s">
        <v>7989</v>
      </c>
    </row>
    <row r="4029" spans="1:1" x14ac:dyDescent="0.25">
      <c r="A4029" t="s">
        <v>7990</v>
      </c>
    </row>
    <row r="4030" spans="1:1" x14ac:dyDescent="0.25">
      <c r="A4030" t="s">
        <v>7991</v>
      </c>
    </row>
    <row r="4031" spans="1:1" x14ac:dyDescent="0.25">
      <c r="A4031" t="s">
        <v>7992</v>
      </c>
    </row>
    <row r="4032" spans="1:1" x14ac:dyDescent="0.25">
      <c r="A4032" t="s">
        <v>7993</v>
      </c>
    </row>
    <row r="4033" spans="1:1" x14ac:dyDescent="0.25">
      <c r="A4033" t="s">
        <v>7994</v>
      </c>
    </row>
    <row r="4034" spans="1:1" x14ac:dyDescent="0.25">
      <c r="A4034" t="s">
        <v>7995</v>
      </c>
    </row>
    <row r="4035" spans="1:1" x14ac:dyDescent="0.25">
      <c r="A4035" t="s">
        <v>7996</v>
      </c>
    </row>
    <row r="4036" spans="1:1" x14ac:dyDescent="0.25">
      <c r="A4036" t="s">
        <v>7997</v>
      </c>
    </row>
    <row r="4037" spans="1:1" x14ac:dyDescent="0.25">
      <c r="A4037" t="s">
        <v>7998</v>
      </c>
    </row>
    <row r="4038" spans="1:1" x14ac:dyDescent="0.25">
      <c r="A4038" t="s">
        <v>7999</v>
      </c>
    </row>
    <row r="4039" spans="1:1" x14ac:dyDescent="0.25">
      <c r="A4039" t="s">
        <v>8000</v>
      </c>
    </row>
    <row r="4040" spans="1:1" x14ac:dyDescent="0.25">
      <c r="A4040" t="s">
        <v>8001</v>
      </c>
    </row>
    <row r="4041" spans="1:1" x14ac:dyDescent="0.25">
      <c r="A4041" t="s">
        <v>8002</v>
      </c>
    </row>
    <row r="4042" spans="1:1" x14ac:dyDescent="0.25">
      <c r="A4042" t="s">
        <v>8003</v>
      </c>
    </row>
    <row r="4043" spans="1:1" x14ac:dyDescent="0.25">
      <c r="A4043" t="s">
        <v>8004</v>
      </c>
    </row>
    <row r="4044" spans="1:1" x14ac:dyDescent="0.25">
      <c r="A4044" t="s">
        <v>8005</v>
      </c>
    </row>
    <row r="4045" spans="1:1" x14ac:dyDescent="0.25">
      <c r="A4045" t="s">
        <v>8006</v>
      </c>
    </row>
    <row r="4046" spans="1:1" x14ac:dyDescent="0.25">
      <c r="A4046" t="s">
        <v>8007</v>
      </c>
    </row>
    <row r="4047" spans="1:1" x14ac:dyDescent="0.25">
      <c r="A4047" t="s">
        <v>8008</v>
      </c>
    </row>
    <row r="4048" spans="1:1" x14ac:dyDescent="0.25">
      <c r="A4048" t="s">
        <v>8009</v>
      </c>
    </row>
    <row r="4049" spans="1:1" x14ac:dyDescent="0.25">
      <c r="A4049" t="s">
        <v>8010</v>
      </c>
    </row>
    <row r="4050" spans="1:1" x14ac:dyDescent="0.25">
      <c r="A4050" t="s">
        <v>8011</v>
      </c>
    </row>
    <row r="4051" spans="1:1" x14ac:dyDescent="0.25">
      <c r="A4051" t="s">
        <v>8012</v>
      </c>
    </row>
    <row r="4052" spans="1:1" x14ac:dyDescent="0.25">
      <c r="A4052" t="s">
        <v>8013</v>
      </c>
    </row>
    <row r="4053" spans="1:1" x14ac:dyDescent="0.25">
      <c r="A4053" t="s">
        <v>8014</v>
      </c>
    </row>
    <row r="4054" spans="1:1" x14ac:dyDescent="0.25">
      <c r="A4054" t="s">
        <v>8015</v>
      </c>
    </row>
    <row r="4055" spans="1:1" x14ac:dyDescent="0.25">
      <c r="A4055" t="s">
        <v>8016</v>
      </c>
    </row>
    <row r="4056" spans="1:1" x14ac:dyDescent="0.25">
      <c r="A4056" t="s">
        <v>8017</v>
      </c>
    </row>
    <row r="4057" spans="1:1" x14ac:dyDescent="0.25">
      <c r="A4057" t="s">
        <v>8018</v>
      </c>
    </row>
    <row r="4058" spans="1:1" x14ac:dyDescent="0.25">
      <c r="A4058" t="s">
        <v>8019</v>
      </c>
    </row>
    <row r="4059" spans="1:1" x14ac:dyDescent="0.25">
      <c r="A4059" t="s">
        <v>8020</v>
      </c>
    </row>
    <row r="4060" spans="1:1" x14ac:dyDescent="0.25">
      <c r="A4060" t="s">
        <v>8021</v>
      </c>
    </row>
    <row r="4061" spans="1:1" x14ac:dyDescent="0.25">
      <c r="A4061" t="s">
        <v>8022</v>
      </c>
    </row>
    <row r="4062" spans="1:1" x14ac:dyDescent="0.25">
      <c r="A4062" t="s">
        <v>8023</v>
      </c>
    </row>
    <row r="4063" spans="1:1" x14ac:dyDescent="0.25">
      <c r="A4063" t="s">
        <v>8024</v>
      </c>
    </row>
    <row r="4064" spans="1:1" x14ac:dyDescent="0.25">
      <c r="A4064" t="s">
        <v>8025</v>
      </c>
    </row>
    <row r="4065" spans="1:1" x14ac:dyDescent="0.25">
      <c r="A4065" t="s">
        <v>8026</v>
      </c>
    </row>
    <row r="4066" spans="1:1" x14ac:dyDescent="0.25">
      <c r="A4066" t="s">
        <v>8027</v>
      </c>
    </row>
    <row r="4067" spans="1:1" x14ac:dyDescent="0.25">
      <c r="A4067" t="s">
        <v>8028</v>
      </c>
    </row>
    <row r="4068" spans="1:1" x14ac:dyDescent="0.25">
      <c r="A4068" t="s">
        <v>8029</v>
      </c>
    </row>
    <row r="4069" spans="1:1" x14ac:dyDescent="0.25">
      <c r="A4069" t="s">
        <v>8030</v>
      </c>
    </row>
    <row r="4070" spans="1:1" x14ac:dyDescent="0.25">
      <c r="A4070" t="s">
        <v>8031</v>
      </c>
    </row>
    <row r="4071" spans="1:1" x14ac:dyDescent="0.25">
      <c r="A4071" t="s">
        <v>8032</v>
      </c>
    </row>
    <row r="4072" spans="1:1" x14ac:dyDescent="0.25">
      <c r="A4072" t="s">
        <v>8033</v>
      </c>
    </row>
    <row r="4073" spans="1:1" x14ac:dyDescent="0.25">
      <c r="A4073" t="s">
        <v>8034</v>
      </c>
    </row>
    <row r="4074" spans="1:1" x14ac:dyDescent="0.25">
      <c r="A4074" t="s">
        <v>8035</v>
      </c>
    </row>
    <row r="4075" spans="1:1" x14ac:dyDescent="0.25">
      <c r="A4075" t="s">
        <v>8036</v>
      </c>
    </row>
    <row r="4076" spans="1:1" x14ac:dyDescent="0.25">
      <c r="A4076" t="s">
        <v>8037</v>
      </c>
    </row>
    <row r="4077" spans="1:1" x14ac:dyDescent="0.25">
      <c r="A4077" t="s">
        <v>8038</v>
      </c>
    </row>
    <row r="4078" spans="1:1" x14ac:dyDescent="0.25">
      <c r="A4078" t="s">
        <v>8039</v>
      </c>
    </row>
    <row r="4079" spans="1:1" x14ac:dyDescent="0.25">
      <c r="A4079" t="s">
        <v>8040</v>
      </c>
    </row>
    <row r="4080" spans="1:1" x14ac:dyDescent="0.25">
      <c r="A4080" t="s">
        <v>8041</v>
      </c>
    </row>
    <row r="4081" spans="1:1" x14ac:dyDescent="0.25">
      <c r="A4081" t="s">
        <v>8042</v>
      </c>
    </row>
    <row r="4082" spans="1:1" x14ac:dyDescent="0.25">
      <c r="A4082" t="s">
        <v>8043</v>
      </c>
    </row>
    <row r="4083" spans="1:1" x14ac:dyDescent="0.25">
      <c r="A4083" t="s">
        <v>8044</v>
      </c>
    </row>
    <row r="4084" spans="1:1" x14ac:dyDescent="0.25">
      <c r="A4084" t="s">
        <v>8045</v>
      </c>
    </row>
    <row r="4085" spans="1:1" x14ac:dyDescent="0.25">
      <c r="A4085" t="s">
        <v>8046</v>
      </c>
    </row>
    <row r="4086" spans="1:1" x14ac:dyDescent="0.25">
      <c r="A4086" t="s">
        <v>8047</v>
      </c>
    </row>
    <row r="4087" spans="1:1" x14ac:dyDescent="0.25">
      <c r="A4087" t="s">
        <v>8048</v>
      </c>
    </row>
    <row r="4088" spans="1:1" x14ac:dyDescent="0.25">
      <c r="A4088" t="s">
        <v>8049</v>
      </c>
    </row>
    <row r="4089" spans="1:1" x14ac:dyDescent="0.25">
      <c r="A4089" t="s">
        <v>8050</v>
      </c>
    </row>
    <row r="4090" spans="1:1" x14ac:dyDescent="0.25">
      <c r="A4090" t="s">
        <v>8051</v>
      </c>
    </row>
    <row r="4091" spans="1:1" x14ac:dyDescent="0.25">
      <c r="A4091" t="s">
        <v>8052</v>
      </c>
    </row>
    <row r="4092" spans="1:1" x14ac:dyDescent="0.25">
      <c r="A4092" t="s">
        <v>8053</v>
      </c>
    </row>
    <row r="4093" spans="1:1" x14ac:dyDescent="0.25">
      <c r="A4093" t="s">
        <v>8054</v>
      </c>
    </row>
    <row r="4094" spans="1:1" x14ac:dyDescent="0.25">
      <c r="A4094" t="s">
        <v>8055</v>
      </c>
    </row>
    <row r="4095" spans="1:1" x14ac:dyDescent="0.25">
      <c r="A4095" t="s">
        <v>8056</v>
      </c>
    </row>
    <row r="4096" spans="1:1" x14ac:dyDescent="0.25">
      <c r="A4096" t="s">
        <v>8057</v>
      </c>
    </row>
    <row r="4097" spans="1:1" x14ac:dyDescent="0.25">
      <c r="A4097" t="s">
        <v>8058</v>
      </c>
    </row>
    <row r="4098" spans="1:1" x14ac:dyDescent="0.25">
      <c r="A4098" t="s">
        <v>8059</v>
      </c>
    </row>
    <row r="4099" spans="1:1" x14ac:dyDescent="0.25">
      <c r="A4099" t="s">
        <v>8060</v>
      </c>
    </row>
    <row r="4100" spans="1:1" x14ac:dyDescent="0.25">
      <c r="A4100" t="s">
        <v>8061</v>
      </c>
    </row>
    <row r="4101" spans="1:1" x14ac:dyDescent="0.25">
      <c r="A4101" t="s">
        <v>8062</v>
      </c>
    </row>
    <row r="4102" spans="1:1" x14ac:dyDescent="0.25">
      <c r="A4102" t="s">
        <v>8063</v>
      </c>
    </row>
    <row r="4103" spans="1:1" x14ac:dyDescent="0.25">
      <c r="A4103" t="s">
        <v>8064</v>
      </c>
    </row>
    <row r="4104" spans="1:1" x14ac:dyDescent="0.25">
      <c r="A4104" t="s">
        <v>8065</v>
      </c>
    </row>
    <row r="4105" spans="1:1" x14ac:dyDescent="0.25">
      <c r="A4105" t="s">
        <v>8066</v>
      </c>
    </row>
    <row r="4106" spans="1:1" x14ac:dyDescent="0.25">
      <c r="A4106" t="s">
        <v>8067</v>
      </c>
    </row>
    <row r="4107" spans="1:1" x14ac:dyDescent="0.25">
      <c r="A4107" t="s">
        <v>8068</v>
      </c>
    </row>
    <row r="4108" spans="1:1" x14ac:dyDescent="0.25">
      <c r="A4108" t="s">
        <v>8069</v>
      </c>
    </row>
    <row r="4109" spans="1:1" x14ac:dyDescent="0.25">
      <c r="A4109" t="s">
        <v>8070</v>
      </c>
    </row>
    <row r="4110" spans="1:1" x14ac:dyDescent="0.25">
      <c r="A4110" t="s">
        <v>8071</v>
      </c>
    </row>
    <row r="4111" spans="1:1" x14ac:dyDescent="0.25">
      <c r="A4111" t="s">
        <v>8072</v>
      </c>
    </row>
    <row r="4112" spans="1:1" x14ac:dyDescent="0.25">
      <c r="A4112" t="s">
        <v>8073</v>
      </c>
    </row>
    <row r="4113" spans="1:1" x14ac:dyDescent="0.25">
      <c r="A4113" t="s">
        <v>8074</v>
      </c>
    </row>
    <row r="4114" spans="1:1" x14ac:dyDescent="0.25">
      <c r="A4114" t="s">
        <v>8075</v>
      </c>
    </row>
    <row r="4115" spans="1:1" x14ac:dyDescent="0.25">
      <c r="A4115" t="s">
        <v>8076</v>
      </c>
    </row>
    <row r="4116" spans="1:1" x14ac:dyDescent="0.25">
      <c r="A4116" t="s">
        <v>8077</v>
      </c>
    </row>
    <row r="4117" spans="1:1" x14ac:dyDescent="0.25">
      <c r="A4117" t="s">
        <v>8078</v>
      </c>
    </row>
    <row r="4118" spans="1:1" x14ac:dyDescent="0.25">
      <c r="A4118" t="s">
        <v>8079</v>
      </c>
    </row>
    <row r="4119" spans="1:1" x14ac:dyDescent="0.25">
      <c r="A4119" t="s">
        <v>8080</v>
      </c>
    </row>
    <row r="4120" spans="1:1" x14ac:dyDescent="0.25">
      <c r="A4120" t="s">
        <v>8081</v>
      </c>
    </row>
    <row r="4121" spans="1:1" x14ac:dyDescent="0.25">
      <c r="A4121" t="s">
        <v>8082</v>
      </c>
    </row>
    <row r="4122" spans="1:1" x14ac:dyDescent="0.25">
      <c r="A4122" t="s">
        <v>8083</v>
      </c>
    </row>
    <row r="4123" spans="1:1" x14ac:dyDescent="0.25">
      <c r="A4123" t="s">
        <v>8084</v>
      </c>
    </row>
    <row r="4124" spans="1:1" x14ac:dyDescent="0.25">
      <c r="A4124" t="s">
        <v>8085</v>
      </c>
    </row>
    <row r="4125" spans="1:1" x14ac:dyDescent="0.25">
      <c r="A4125" t="s">
        <v>8086</v>
      </c>
    </row>
    <row r="4126" spans="1:1" x14ac:dyDescent="0.25">
      <c r="A4126" t="s">
        <v>8087</v>
      </c>
    </row>
    <row r="4127" spans="1:1" x14ac:dyDescent="0.25">
      <c r="A4127" t="s">
        <v>8088</v>
      </c>
    </row>
    <row r="4128" spans="1:1" x14ac:dyDescent="0.25">
      <c r="A4128" t="s">
        <v>8089</v>
      </c>
    </row>
    <row r="4129" spans="1:1" x14ac:dyDescent="0.25">
      <c r="A4129" t="s">
        <v>8090</v>
      </c>
    </row>
    <row r="4130" spans="1:1" x14ac:dyDescent="0.25">
      <c r="A4130" t="s">
        <v>8091</v>
      </c>
    </row>
    <row r="4131" spans="1:1" x14ac:dyDescent="0.25">
      <c r="A4131" t="s">
        <v>8092</v>
      </c>
    </row>
    <row r="4132" spans="1:1" x14ac:dyDescent="0.25">
      <c r="A4132" t="s">
        <v>8093</v>
      </c>
    </row>
    <row r="4133" spans="1:1" x14ac:dyDescent="0.25">
      <c r="A4133" t="s">
        <v>8094</v>
      </c>
    </row>
    <row r="4134" spans="1:1" x14ac:dyDescent="0.25">
      <c r="A4134" t="s">
        <v>8095</v>
      </c>
    </row>
    <row r="4135" spans="1:1" x14ac:dyDescent="0.25">
      <c r="A4135" t="s">
        <v>8096</v>
      </c>
    </row>
    <row r="4136" spans="1:1" x14ac:dyDescent="0.25">
      <c r="A4136" t="s">
        <v>8097</v>
      </c>
    </row>
    <row r="4137" spans="1:1" x14ac:dyDescent="0.25">
      <c r="A4137" t="s">
        <v>8098</v>
      </c>
    </row>
    <row r="4138" spans="1:1" x14ac:dyDescent="0.25">
      <c r="A4138" t="s">
        <v>8099</v>
      </c>
    </row>
    <row r="4139" spans="1:1" x14ac:dyDescent="0.25">
      <c r="A4139" t="s">
        <v>8100</v>
      </c>
    </row>
    <row r="4140" spans="1:1" x14ac:dyDescent="0.25">
      <c r="A4140" t="s">
        <v>8101</v>
      </c>
    </row>
    <row r="4141" spans="1:1" x14ac:dyDescent="0.25">
      <c r="A4141" t="s">
        <v>8102</v>
      </c>
    </row>
    <row r="4142" spans="1:1" x14ac:dyDescent="0.25">
      <c r="A4142" t="s">
        <v>8103</v>
      </c>
    </row>
    <row r="4143" spans="1:1" x14ac:dyDescent="0.25">
      <c r="A4143" t="s">
        <v>8104</v>
      </c>
    </row>
    <row r="4144" spans="1:1" x14ac:dyDescent="0.25">
      <c r="A4144" t="s">
        <v>8105</v>
      </c>
    </row>
    <row r="4145" spans="1:1" x14ac:dyDescent="0.25">
      <c r="A4145" t="s">
        <v>8106</v>
      </c>
    </row>
    <row r="4146" spans="1:1" x14ac:dyDescent="0.25">
      <c r="A4146" t="s">
        <v>8107</v>
      </c>
    </row>
    <row r="4147" spans="1:1" x14ac:dyDescent="0.25">
      <c r="A4147" t="s">
        <v>8108</v>
      </c>
    </row>
    <row r="4148" spans="1:1" x14ac:dyDescent="0.25">
      <c r="A4148" t="s">
        <v>8109</v>
      </c>
    </row>
    <row r="4149" spans="1:1" x14ac:dyDescent="0.25">
      <c r="A4149" t="s">
        <v>8110</v>
      </c>
    </row>
    <row r="4150" spans="1:1" x14ac:dyDescent="0.25">
      <c r="A4150" t="s">
        <v>8111</v>
      </c>
    </row>
    <row r="4151" spans="1:1" x14ac:dyDescent="0.25">
      <c r="A4151" t="s">
        <v>8112</v>
      </c>
    </row>
    <row r="4152" spans="1:1" x14ac:dyDescent="0.25">
      <c r="A4152" t="s">
        <v>8113</v>
      </c>
    </row>
    <row r="4153" spans="1:1" x14ac:dyDescent="0.25">
      <c r="A4153" t="s">
        <v>8114</v>
      </c>
    </row>
    <row r="4154" spans="1:1" x14ac:dyDescent="0.25">
      <c r="A4154" t="s">
        <v>8115</v>
      </c>
    </row>
    <row r="4155" spans="1:1" x14ac:dyDescent="0.25">
      <c r="A4155" t="s">
        <v>8116</v>
      </c>
    </row>
    <row r="4156" spans="1:1" x14ac:dyDescent="0.25">
      <c r="A4156" t="s">
        <v>8117</v>
      </c>
    </row>
    <row r="4157" spans="1:1" x14ac:dyDescent="0.25">
      <c r="A4157" t="s">
        <v>8118</v>
      </c>
    </row>
    <row r="4158" spans="1:1" x14ac:dyDescent="0.25">
      <c r="A4158" t="s">
        <v>8119</v>
      </c>
    </row>
    <row r="4159" spans="1:1" x14ac:dyDescent="0.25">
      <c r="A4159" t="s">
        <v>8120</v>
      </c>
    </row>
    <row r="4160" spans="1:1" x14ac:dyDescent="0.25">
      <c r="A4160" t="s">
        <v>8121</v>
      </c>
    </row>
    <row r="4161" spans="1:1" x14ac:dyDescent="0.25">
      <c r="A4161" t="s">
        <v>8122</v>
      </c>
    </row>
    <row r="4162" spans="1:1" x14ac:dyDescent="0.25">
      <c r="A4162" t="s">
        <v>8123</v>
      </c>
    </row>
    <row r="4163" spans="1:1" x14ac:dyDescent="0.25">
      <c r="A4163" t="s">
        <v>8124</v>
      </c>
    </row>
    <row r="4164" spans="1:1" x14ac:dyDescent="0.25">
      <c r="A4164" t="s">
        <v>8125</v>
      </c>
    </row>
    <row r="4165" spans="1:1" x14ac:dyDescent="0.25">
      <c r="A4165" t="s">
        <v>8126</v>
      </c>
    </row>
    <row r="4166" spans="1:1" x14ac:dyDescent="0.25">
      <c r="A4166" t="s">
        <v>8127</v>
      </c>
    </row>
    <row r="4167" spans="1:1" x14ac:dyDescent="0.25">
      <c r="A4167" t="s">
        <v>8128</v>
      </c>
    </row>
    <row r="4168" spans="1:1" x14ac:dyDescent="0.25">
      <c r="A4168" t="s">
        <v>8129</v>
      </c>
    </row>
    <row r="4169" spans="1:1" x14ac:dyDescent="0.25">
      <c r="A4169" t="s">
        <v>8130</v>
      </c>
    </row>
    <row r="4170" spans="1:1" x14ac:dyDescent="0.25">
      <c r="A4170" t="s">
        <v>8131</v>
      </c>
    </row>
    <row r="4171" spans="1:1" x14ac:dyDescent="0.25">
      <c r="A4171" t="s">
        <v>8132</v>
      </c>
    </row>
    <row r="4172" spans="1:1" x14ac:dyDescent="0.25">
      <c r="A4172" t="s">
        <v>8133</v>
      </c>
    </row>
    <row r="4173" spans="1:1" x14ac:dyDescent="0.25">
      <c r="A4173" t="s">
        <v>8134</v>
      </c>
    </row>
    <row r="4174" spans="1:1" x14ac:dyDescent="0.25">
      <c r="A4174" t="s">
        <v>8135</v>
      </c>
    </row>
    <row r="4175" spans="1:1" x14ac:dyDescent="0.25">
      <c r="A4175" t="s">
        <v>8136</v>
      </c>
    </row>
    <row r="4176" spans="1:1" x14ac:dyDescent="0.25">
      <c r="A4176" t="s">
        <v>8137</v>
      </c>
    </row>
    <row r="4177" spans="1:1" x14ac:dyDescent="0.25">
      <c r="A4177" t="s">
        <v>8138</v>
      </c>
    </row>
    <row r="4178" spans="1:1" x14ac:dyDescent="0.25">
      <c r="A4178" t="s">
        <v>8139</v>
      </c>
    </row>
    <row r="4179" spans="1:1" x14ac:dyDescent="0.25">
      <c r="A4179" t="s">
        <v>8140</v>
      </c>
    </row>
    <row r="4180" spans="1:1" x14ac:dyDescent="0.25">
      <c r="A4180" t="s">
        <v>8141</v>
      </c>
    </row>
    <row r="4181" spans="1:1" x14ac:dyDescent="0.25">
      <c r="A4181" t="s">
        <v>8142</v>
      </c>
    </row>
    <row r="4182" spans="1:1" x14ac:dyDescent="0.25">
      <c r="A4182" t="s">
        <v>8143</v>
      </c>
    </row>
    <row r="4183" spans="1:1" x14ac:dyDescent="0.25">
      <c r="A4183" t="s">
        <v>8144</v>
      </c>
    </row>
    <row r="4184" spans="1:1" x14ac:dyDescent="0.25">
      <c r="A4184" t="s">
        <v>8145</v>
      </c>
    </row>
    <row r="4185" spans="1:1" x14ac:dyDescent="0.25">
      <c r="A4185" t="s">
        <v>8146</v>
      </c>
    </row>
    <row r="4186" spans="1:1" x14ac:dyDescent="0.25">
      <c r="A4186" t="s">
        <v>8147</v>
      </c>
    </row>
    <row r="4187" spans="1:1" x14ac:dyDescent="0.25">
      <c r="A4187" t="s">
        <v>8148</v>
      </c>
    </row>
    <row r="4188" spans="1:1" x14ac:dyDescent="0.25">
      <c r="A4188" t="s">
        <v>8149</v>
      </c>
    </row>
    <row r="4189" spans="1:1" x14ac:dyDescent="0.25">
      <c r="A4189" t="s">
        <v>8150</v>
      </c>
    </row>
    <row r="4190" spans="1:1" x14ac:dyDescent="0.25">
      <c r="A4190" t="s">
        <v>8151</v>
      </c>
    </row>
    <row r="4191" spans="1:1" x14ac:dyDescent="0.25">
      <c r="A4191" t="s">
        <v>8152</v>
      </c>
    </row>
    <row r="4192" spans="1:1" x14ac:dyDescent="0.25">
      <c r="A4192" t="s">
        <v>8153</v>
      </c>
    </row>
    <row r="4193" spans="1:1" x14ac:dyDescent="0.25">
      <c r="A4193" t="s">
        <v>8154</v>
      </c>
    </row>
    <row r="4194" spans="1:1" x14ac:dyDescent="0.25">
      <c r="A4194" t="s">
        <v>1186</v>
      </c>
    </row>
    <row r="4195" spans="1:1" x14ac:dyDescent="0.25">
      <c r="A4195" t="s">
        <v>6129</v>
      </c>
    </row>
    <row r="4196" spans="1:1" x14ac:dyDescent="0.25">
      <c r="A4196" t="s">
        <v>6130</v>
      </c>
    </row>
    <row r="4197" spans="1:1" x14ac:dyDescent="0.25">
      <c r="A4197" t="s">
        <v>6131</v>
      </c>
    </row>
    <row r="4198" spans="1:1" x14ac:dyDescent="0.25">
      <c r="A4198" t="s">
        <v>6132</v>
      </c>
    </row>
    <row r="4199" spans="1:1" x14ac:dyDescent="0.25">
      <c r="A4199" t="s">
        <v>6133</v>
      </c>
    </row>
    <row r="4200" spans="1:1" x14ac:dyDescent="0.25">
      <c r="A4200" t="s">
        <v>6134</v>
      </c>
    </row>
    <row r="4201" spans="1:1" x14ac:dyDescent="0.25">
      <c r="A4201" t="s">
        <v>6135</v>
      </c>
    </row>
    <row r="4202" spans="1:1" x14ac:dyDescent="0.25">
      <c r="A4202" t="s">
        <v>6136</v>
      </c>
    </row>
    <row r="4203" spans="1:1" x14ac:dyDescent="0.25">
      <c r="A4203" t="s">
        <v>6137</v>
      </c>
    </row>
    <row r="4204" spans="1:1" x14ac:dyDescent="0.25">
      <c r="A4204" t="s">
        <v>6138</v>
      </c>
    </row>
    <row r="4205" spans="1:1" x14ac:dyDescent="0.25">
      <c r="A4205" t="s">
        <v>6139</v>
      </c>
    </row>
    <row r="4206" spans="1:1" x14ac:dyDescent="0.25">
      <c r="A4206" t="s">
        <v>6140</v>
      </c>
    </row>
    <row r="4207" spans="1:1" x14ac:dyDescent="0.25">
      <c r="A4207" t="s">
        <v>6141</v>
      </c>
    </row>
    <row r="4208" spans="1:1" x14ac:dyDescent="0.25">
      <c r="A4208" t="s">
        <v>6142</v>
      </c>
    </row>
    <row r="4209" spans="1:1" x14ac:dyDescent="0.25">
      <c r="A4209" t="s">
        <v>6143</v>
      </c>
    </row>
    <row r="4210" spans="1:1" x14ac:dyDescent="0.25">
      <c r="A4210" t="s">
        <v>6144</v>
      </c>
    </row>
    <row r="4211" spans="1:1" x14ac:dyDescent="0.25">
      <c r="A4211" t="s">
        <v>6145</v>
      </c>
    </row>
    <row r="4212" spans="1:1" x14ac:dyDescent="0.25">
      <c r="A4212" t="s">
        <v>6146</v>
      </c>
    </row>
    <row r="4213" spans="1:1" x14ac:dyDescent="0.25">
      <c r="A4213" t="s">
        <v>6147</v>
      </c>
    </row>
    <row r="4214" spans="1:1" x14ac:dyDescent="0.25">
      <c r="A4214" t="s">
        <v>6148</v>
      </c>
    </row>
    <row r="4215" spans="1:1" x14ac:dyDescent="0.25">
      <c r="A4215" t="s">
        <v>6149</v>
      </c>
    </row>
    <row r="4216" spans="1:1" x14ac:dyDescent="0.25">
      <c r="A4216" t="s">
        <v>6150</v>
      </c>
    </row>
    <row r="4217" spans="1:1" x14ac:dyDescent="0.25">
      <c r="A4217" t="s">
        <v>6151</v>
      </c>
    </row>
    <row r="4218" spans="1:1" x14ac:dyDescent="0.25">
      <c r="A4218" t="s">
        <v>6152</v>
      </c>
    </row>
    <row r="4219" spans="1:1" x14ac:dyDescent="0.25">
      <c r="A4219" t="s">
        <v>6153</v>
      </c>
    </row>
    <row r="4220" spans="1:1" x14ac:dyDescent="0.25">
      <c r="A4220" t="s">
        <v>6154</v>
      </c>
    </row>
    <row r="4221" spans="1:1" x14ac:dyDescent="0.25">
      <c r="A4221" t="s">
        <v>6155</v>
      </c>
    </row>
    <row r="4222" spans="1:1" x14ac:dyDescent="0.25">
      <c r="A4222" t="s">
        <v>6156</v>
      </c>
    </row>
    <row r="4223" spans="1:1" x14ac:dyDescent="0.25">
      <c r="A4223" t="s">
        <v>6157</v>
      </c>
    </row>
    <row r="4224" spans="1:1" x14ac:dyDescent="0.25">
      <c r="A4224" t="s">
        <v>6158</v>
      </c>
    </row>
    <row r="4225" spans="1:1" x14ac:dyDescent="0.25">
      <c r="A4225" t="s">
        <v>6159</v>
      </c>
    </row>
    <row r="4226" spans="1:1" x14ac:dyDescent="0.25">
      <c r="A4226" t="s">
        <v>6160</v>
      </c>
    </row>
    <row r="4227" spans="1:1" x14ac:dyDescent="0.25">
      <c r="A4227" t="s">
        <v>6161</v>
      </c>
    </row>
    <row r="4228" spans="1:1" x14ac:dyDescent="0.25">
      <c r="A4228" t="s">
        <v>6162</v>
      </c>
    </row>
    <row r="4229" spans="1:1" x14ac:dyDescent="0.25">
      <c r="A4229" t="s">
        <v>6163</v>
      </c>
    </row>
    <row r="4230" spans="1:1" x14ac:dyDescent="0.25">
      <c r="A4230" t="s">
        <v>6164</v>
      </c>
    </row>
    <row r="4231" spans="1:1" x14ac:dyDescent="0.25">
      <c r="A4231" t="s">
        <v>6165</v>
      </c>
    </row>
    <row r="4232" spans="1:1" x14ac:dyDescent="0.25">
      <c r="A4232" t="s">
        <v>6166</v>
      </c>
    </row>
    <row r="4233" spans="1:1" x14ac:dyDescent="0.25">
      <c r="A4233" t="s">
        <v>6167</v>
      </c>
    </row>
    <row r="4234" spans="1:1" x14ac:dyDescent="0.25">
      <c r="A4234" t="s">
        <v>6168</v>
      </c>
    </row>
    <row r="4235" spans="1:1" x14ac:dyDescent="0.25">
      <c r="A4235" t="s">
        <v>6169</v>
      </c>
    </row>
    <row r="4236" spans="1:1" x14ac:dyDescent="0.25">
      <c r="A4236" t="s">
        <v>6170</v>
      </c>
    </row>
    <row r="4237" spans="1:1" x14ac:dyDescent="0.25">
      <c r="A4237" t="s">
        <v>6171</v>
      </c>
    </row>
    <row r="4238" spans="1:1" x14ac:dyDescent="0.25">
      <c r="A4238" t="s">
        <v>6172</v>
      </c>
    </row>
    <row r="4239" spans="1:1" x14ac:dyDescent="0.25">
      <c r="A4239" t="s">
        <v>6173</v>
      </c>
    </row>
    <row r="4240" spans="1:1" x14ac:dyDescent="0.25">
      <c r="A4240" t="s">
        <v>6174</v>
      </c>
    </row>
    <row r="4241" spans="1:1" x14ac:dyDescent="0.25">
      <c r="A4241" t="s">
        <v>6175</v>
      </c>
    </row>
    <row r="4242" spans="1:1" x14ac:dyDescent="0.25">
      <c r="A4242" t="s">
        <v>6176</v>
      </c>
    </row>
    <row r="4243" spans="1:1" x14ac:dyDescent="0.25">
      <c r="A4243" t="s">
        <v>6177</v>
      </c>
    </row>
    <row r="4244" spans="1:1" x14ac:dyDescent="0.25">
      <c r="A4244" t="s">
        <v>6178</v>
      </c>
    </row>
    <row r="4245" spans="1:1" x14ac:dyDescent="0.25">
      <c r="A4245" t="s">
        <v>6179</v>
      </c>
    </row>
    <row r="4246" spans="1:1" x14ac:dyDescent="0.25">
      <c r="A4246" t="s">
        <v>6180</v>
      </c>
    </row>
    <row r="4247" spans="1:1" x14ac:dyDescent="0.25">
      <c r="A4247" t="s">
        <v>6181</v>
      </c>
    </row>
    <row r="4248" spans="1:1" x14ac:dyDescent="0.25">
      <c r="A4248" t="s">
        <v>6182</v>
      </c>
    </row>
    <row r="4249" spans="1:1" x14ac:dyDescent="0.25">
      <c r="A4249" t="s">
        <v>6183</v>
      </c>
    </row>
    <row r="4250" spans="1:1" x14ac:dyDescent="0.25">
      <c r="A4250" t="s">
        <v>6184</v>
      </c>
    </row>
    <row r="4251" spans="1:1" x14ac:dyDescent="0.25">
      <c r="A4251" t="s">
        <v>6185</v>
      </c>
    </row>
    <row r="4252" spans="1:1" x14ac:dyDescent="0.25">
      <c r="A4252" t="s">
        <v>6186</v>
      </c>
    </row>
    <row r="4253" spans="1:1" x14ac:dyDescent="0.25">
      <c r="A4253" t="s">
        <v>6187</v>
      </c>
    </row>
    <row r="4254" spans="1:1" x14ac:dyDescent="0.25">
      <c r="A4254" t="s">
        <v>6188</v>
      </c>
    </row>
    <row r="4255" spans="1:1" x14ac:dyDescent="0.25">
      <c r="A4255" t="s">
        <v>6189</v>
      </c>
    </row>
    <row r="4256" spans="1:1" x14ac:dyDescent="0.25">
      <c r="A4256" t="s">
        <v>6190</v>
      </c>
    </row>
    <row r="4257" spans="1:1" x14ac:dyDescent="0.25">
      <c r="A4257" t="s">
        <v>6191</v>
      </c>
    </row>
    <row r="4258" spans="1:1" x14ac:dyDescent="0.25">
      <c r="A4258" t="s">
        <v>6192</v>
      </c>
    </row>
    <row r="4259" spans="1:1" x14ac:dyDescent="0.25">
      <c r="A4259" t="s">
        <v>6193</v>
      </c>
    </row>
    <row r="4260" spans="1:1" x14ac:dyDescent="0.25">
      <c r="A4260" t="s">
        <v>6194</v>
      </c>
    </row>
    <row r="4261" spans="1:1" x14ac:dyDescent="0.25">
      <c r="A4261" t="s">
        <v>6195</v>
      </c>
    </row>
    <row r="4262" spans="1:1" x14ac:dyDescent="0.25">
      <c r="A4262" t="s">
        <v>6196</v>
      </c>
    </row>
    <row r="4263" spans="1:1" x14ac:dyDescent="0.25">
      <c r="A4263" t="s">
        <v>6197</v>
      </c>
    </row>
    <row r="4264" spans="1:1" x14ac:dyDescent="0.25">
      <c r="A4264" t="s">
        <v>6198</v>
      </c>
    </row>
    <row r="4265" spans="1:1" x14ac:dyDescent="0.25">
      <c r="A4265" t="s">
        <v>6199</v>
      </c>
    </row>
    <row r="4266" spans="1:1" x14ac:dyDescent="0.25">
      <c r="A4266" t="s">
        <v>6200</v>
      </c>
    </row>
    <row r="4267" spans="1:1" x14ac:dyDescent="0.25">
      <c r="A4267" t="s">
        <v>6201</v>
      </c>
    </row>
    <row r="4268" spans="1:1" x14ac:dyDescent="0.25">
      <c r="A4268" t="s">
        <v>6202</v>
      </c>
    </row>
    <row r="4269" spans="1:1" x14ac:dyDescent="0.25">
      <c r="A4269" t="s">
        <v>6203</v>
      </c>
    </row>
    <row r="4270" spans="1:1" x14ac:dyDescent="0.25">
      <c r="A4270" t="s">
        <v>6204</v>
      </c>
    </row>
    <row r="4271" spans="1:1" x14ac:dyDescent="0.25">
      <c r="A4271" t="s">
        <v>6205</v>
      </c>
    </row>
    <row r="4272" spans="1:1" x14ac:dyDescent="0.25">
      <c r="A4272" t="s">
        <v>6206</v>
      </c>
    </row>
    <row r="4273" spans="1:1" x14ac:dyDescent="0.25">
      <c r="A4273" t="s">
        <v>6207</v>
      </c>
    </row>
    <row r="4274" spans="1:1" x14ac:dyDescent="0.25">
      <c r="A4274" t="s">
        <v>6208</v>
      </c>
    </row>
    <row r="4275" spans="1:1" x14ac:dyDescent="0.25">
      <c r="A4275" t="s">
        <v>6209</v>
      </c>
    </row>
    <row r="4276" spans="1:1" x14ac:dyDescent="0.25">
      <c r="A4276" t="s">
        <v>6210</v>
      </c>
    </row>
    <row r="4277" spans="1:1" x14ac:dyDescent="0.25">
      <c r="A4277" t="s">
        <v>6211</v>
      </c>
    </row>
    <row r="4278" spans="1:1" x14ac:dyDescent="0.25">
      <c r="A4278" t="s">
        <v>6212</v>
      </c>
    </row>
    <row r="4279" spans="1:1" x14ac:dyDescent="0.25">
      <c r="A4279" t="s">
        <v>6213</v>
      </c>
    </row>
    <row r="4280" spans="1:1" x14ac:dyDescent="0.25">
      <c r="A4280" t="s">
        <v>6214</v>
      </c>
    </row>
    <row r="4281" spans="1:1" x14ac:dyDescent="0.25">
      <c r="A4281" t="s">
        <v>6215</v>
      </c>
    </row>
    <row r="4282" spans="1:1" x14ac:dyDescent="0.25">
      <c r="A4282" t="s">
        <v>6216</v>
      </c>
    </row>
    <row r="4283" spans="1:1" x14ac:dyDescent="0.25">
      <c r="A4283" t="s">
        <v>6217</v>
      </c>
    </row>
    <row r="4284" spans="1:1" x14ac:dyDescent="0.25">
      <c r="A4284" t="s">
        <v>6218</v>
      </c>
    </row>
    <row r="4285" spans="1:1" x14ac:dyDescent="0.25">
      <c r="A4285" t="s">
        <v>6219</v>
      </c>
    </row>
    <row r="4286" spans="1:1" x14ac:dyDescent="0.25">
      <c r="A4286" t="s">
        <v>6220</v>
      </c>
    </row>
    <row r="4287" spans="1:1" x14ac:dyDescent="0.25">
      <c r="A4287" t="s">
        <v>6221</v>
      </c>
    </row>
    <row r="4288" spans="1:1" x14ac:dyDescent="0.25">
      <c r="A4288" t="s">
        <v>6222</v>
      </c>
    </row>
    <row r="4289" spans="1:1" x14ac:dyDescent="0.25">
      <c r="A4289" t="s">
        <v>6223</v>
      </c>
    </row>
    <row r="4290" spans="1:1" x14ac:dyDescent="0.25">
      <c r="A4290" t="s">
        <v>6224</v>
      </c>
    </row>
    <row r="4291" spans="1:1" x14ac:dyDescent="0.25">
      <c r="A4291" t="s">
        <v>6225</v>
      </c>
    </row>
    <row r="4292" spans="1:1" x14ac:dyDescent="0.25">
      <c r="A4292" t="s">
        <v>6226</v>
      </c>
    </row>
    <row r="4293" spans="1:1" x14ac:dyDescent="0.25">
      <c r="A4293" t="s">
        <v>6227</v>
      </c>
    </row>
    <row r="4294" spans="1:1" x14ac:dyDescent="0.25">
      <c r="A4294" t="s">
        <v>6228</v>
      </c>
    </row>
    <row r="4295" spans="1:1" x14ac:dyDescent="0.25">
      <c r="A4295" t="s">
        <v>6229</v>
      </c>
    </row>
    <row r="4296" spans="1:1" x14ac:dyDescent="0.25">
      <c r="A4296" t="s">
        <v>6230</v>
      </c>
    </row>
    <row r="4297" spans="1:1" x14ac:dyDescent="0.25">
      <c r="A4297" t="s">
        <v>6231</v>
      </c>
    </row>
    <row r="4298" spans="1:1" x14ac:dyDescent="0.25">
      <c r="A4298" t="s">
        <v>6232</v>
      </c>
    </row>
    <row r="4299" spans="1:1" x14ac:dyDescent="0.25">
      <c r="A4299" t="s">
        <v>6233</v>
      </c>
    </row>
    <row r="4300" spans="1:1" x14ac:dyDescent="0.25">
      <c r="A4300" t="s">
        <v>6234</v>
      </c>
    </row>
    <row r="4301" spans="1:1" x14ac:dyDescent="0.25">
      <c r="A4301" t="s">
        <v>6235</v>
      </c>
    </row>
    <row r="4302" spans="1:1" x14ac:dyDescent="0.25">
      <c r="A4302" t="s">
        <v>6236</v>
      </c>
    </row>
    <row r="4303" spans="1:1" x14ac:dyDescent="0.25">
      <c r="A4303" t="s">
        <v>6237</v>
      </c>
    </row>
    <row r="4304" spans="1:1" x14ac:dyDescent="0.25">
      <c r="A4304" t="s">
        <v>6238</v>
      </c>
    </row>
    <row r="4305" spans="1:1" x14ac:dyDescent="0.25">
      <c r="A4305" t="s">
        <v>6239</v>
      </c>
    </row>
    <row r="4306" spans="1:1" x14ac:dyDescent="0.25">
      <c r="A4306" t="s">
        <v>6240</v>
      </c>
    </row>
    <row r="4307" spans="1:1" x14ac:dyDescent="0.25">
      <c r="A4307" t="s">
        <v>6241</v>
      </c>
    </row>
    <row r="4308" spans="1:1" x14ac:dyDescent="0.25">
      <c r="A4308" t="s">
        <v>6242</v>
      </c>
    </row>
    <row r="4309" spans="1:1" x14ac:dyDescent="0.25">
      <c r="A4309" t="s">
        <v>6243</v>
      </c>
    </row>
    <row r="4310" spans="1:1" x14ac:dyDescent="0.25">
      <c r="A4310" t="s">
        <v>6244</v>
      </c>
    </row>
    <row r="4311" spans="1:1" x14ac:dyDescent="0.25">
      <c r="A4311" t="s">
        <v>6245</v>
      </c>
    </row>
    <row r="4312" spans="1:1" x14ac:dyDescent="0.25">
      <c r="A4312" t="s">
        <v>6246</v>
      </c>
    </row>
    <row r="4313" spans="1:1" x14ac:dyDescent="0.25">
      <c r="A4313" t="s">
        <v>6247</v>
      </c>
    </row>
    <row r="4314" spans="1:1" x14ac:dyDescent="0.25">
      <c r="A4314" t="s">
        <v>6248</v>
      </c>
    </row>
    <row r="4315" spans="1:1" x14ac:dyDescent="0.25">
      <c r="A4315" t="s">
        <v>6249</v>
      </c>
    </row>
    <row r="4316" spans="1:1" x14ac:dyDescent="0.25">
      <c r="A4316" t="s">
        <v>6250</v>
      </c>
    </row>
    <row r="4317" spans="1:1" x14ac:dyDescent="0.25">
      <c r="A4317" t="s">
        <v>6251</v>
      </c>
    </row>
    <row r="4318" spans="1:1" x14ac:dyDescent="0.25">
      <c r="A4318" t="s">
        <v>6252</v>
      </c>
    </row>
    <row r="4319" spans="1:1" x14ac:dyDescent="0.25">
      <c r="A4319" t="s">
        <v>6253</v>
      </c>
    </row>
    <row r="4320" spans="1:1" x14ac:dyDescent="0.25">
      <c r="A4320" t="s">
        <v>6254</v>
      </c>
    </row>
    <row r="4321" spans="1:1" x14ac:dyDescent="0.25">
      <c r="A4321" t="s">
        <v>6255</v>
      </c>
    </row>
    <row r="4322" spans="1:1" x14ac:dyDescent="0.25">
      <c r="A4322" t="s">
        <v>6256</v>
      </c>
    </row>
    <row r="4323" spans="1:1" x14ac:dyDescent="0.25">
      <c r="A4323" t="s">
        <v>6257</v>
      </c>
    </row>
    <row r="4324" spans="1:1" x14ac:dyDescent="0.25">
      <c r="A4324" t="s">
        <v>6258</v>
      </c>
    </row>
    <row r="4325" spans="1:1" x14ac:dyDescent="0.25">
      <c r="A4325" t="s">
        <v>6259</v>
      </c>
    </row>
    <row r="4326" spans="1:1" x14ac:dyDescent="0.25">
      <c r="A4326" t="s">
        <v>6260</v>
      </c>
    </row>
    <row r="4327" spans="1:1" x14ac:dyDescent="0.25">
      <c r="A4327" t="s">
        <v>6261</v>
      </c>
    </row>
    <row r="4328" spans="1:1" x14ac:dyDescent="0.25">
      <c r="A4328" t="s">
        <v>6262</v>
      </c>
    </row>
    <row r="4329" spans="1:1" x14ac:dyDescent="0.25">
      <c r="A4329" t="s">
        <v>6263</v>
      </c>
    </row>
    <row r="4330" spans="1:1" x14ac:dyDescent="0.25">
      <c r="A4330" t="s">
        <v>6264</v>
      </c>
    </row>
    <row r="4331" spans="1:1" x14ac:dyDescent="0.25">
      <c r="A4331" t="s">
        <v>6265</v>
      </c>
    </row>
    <row r="4332" spans="1:1" x14ac:dyDescent="0.25">
      <c r="A4332" t="s">
        <v>6266</v>
      </c>
    </row>
    <row r="4333" spans="1:1" x14ac:dyDescent="0.25">
      <c r="A4333" t="s">
        <v>6267</v>
      </c>
    </row>
    <row r="4334" spans="1:1" x14ac:dyDescent="0.25">
      <c r="A4334" t="s">
        <v>6268</v>
      </c>
    </row>
    <row r="4335" spans="1:1" x14ac:dyDescent="0.25">
      <c r="A4335" t="s">
        <v>6269</v>
      </c>
    </row>
    <row r="4336" spans="1:1" x14ac:dyDescent="0.25">
      <c r="A4336" t="s">
        <v>6270</v>
      </c>
    </row>
    <row r="4337" spans="1:1" x14ac:dyDescent="0.25">
      <c r="A4337" t="s">
        <v>6271</v>
      </c>
    </row>
    <row r="4338" spans="1:1" x14ac:dyDescent="0.25">
      <c r="A4338" t="s">
        <v>6272</v>
      </c>
    </row>
    <row r="4339" spans="1:1" x14ac:dyDescent="0.25">
      <c r="A4339" t="s">
        <v>6273</v>
      </c>
    </row>
    <row r="4340" spans="1:1" x14ac:dyDescent="0.25">
      <c r="A4340" t="s">
        <v>6274</v>
      </c>
    </row>
    <row r="4341" spans="1:1" x14ac:dyDescent="0.25">
      <c r="A4341" t="s">
        <v>6275</v>
      </c>
    </row>
    <row r="4342" spans="1:1" x14ac:dyDescent="0.25">
      <c r="A4342" t="s">
        <v>6276</v>
      </c>
    </row>
    <row r="4343" spans="1:1" x14ac:dyDescent="0.25">
      <c r="A4343" t="s">
        <v>6277</v>
      </c>
    </row>
    <row r="4344" spans="1:1" x14ac:dyDescent="0.25">
      <c r="A4344" t="s">
        <v>6278</v>
      </c>
    </row>
    <row r="4345" spans="1:1" x14ac:dyDescent="0.25">
      <c r="A4345" t="s">
        <v>6279</v>
      </c>
    </row>
    <row r="4346" spans="1:1" x14ac:dyDescent="0.25">
      <c r="A4346" t="s">
        <v>6280</v>
      </c>
    </row>
    <row r="4347" spans="1:1" x14ac:dyDescent="0.25">
      <c r="A4347" t="s">
        <v>6281</v>
      </c>
    </row>
    <row r="4348" spans="1:1" x14ac:dyDescent="0.25">
      <c r="A4348" t="s">
        <v>6282</v>
      </c>
    </row>
    <row r="4349" spans="1:1" x14ac:dyDescent="0.25">
      <c r="A4349" t="s">
        <v>6283</v>
      </c>
    </row>
    <row r="4350" spans="1:1" x14ac:dyDescent="0.25">
      <c r="A4350" t="s">
        <v>6284</v>
      </c>
    </row>
    <row r="4351" spans="1:1" x14ac:dyDescent="0.25">
      <c r="A4351" t="s">
        <v>6285</v>
      </c>
    </row>
    <row r="4352" spans="1:1" x14ac:dyDescent="0.25">
      <c r="A4352" t="s">
        <v>6286</v>
      </c>
    </row>
    <row r="4353" spans="1:1" x14ac:dyDescent="0.25">
      <c r="A4353" t="s">
        <v>6287</v>
      </c>
    </row>
    <row r="4354" spans="1:1" x14ac:dyDescent="0.25">
      <c r="A4354" t="s">
        <v>6288</v>
      </c>
    </row>
    <row r="4355" spans="1:1" x14ac:dyDescent="0.25">
      <c r="A4355" t="s">
        <v>6289</v>
      </c>
    </row>
    <row r="4356" spans="1:1" x14ac:dyDescent="0.25">
      <c r="A4356" t="s">
        <v>6290</v>
      </c>
    </row>
    <row r="4357" spans="1:1" x14ac:dyDescent="0.25">
      <c r="A4357" t="s">
        <v>6291</v>
      </c>
    </row>
    <row r="4358" spans="1:1" x14ac:dyDescent="0.25">
      <c r="A4358" t="s">
        <v>6292</v>
      </c>
    </row>
    <row r="4359" spans="1:1" x14ac:dyDescent="0.25">
      <c r="A4359" t="s">
        <v>6293</v>
      </c>
    </row>
    <row r="4360" spans="1:1" x14ac:dyDescent="0.25">
      <c r="A4360" t="s">
        <v>6294</v>
      </c>
    </row>
    <row r="4361" spans="1:1" x14ac:dyDescent="0.25">
      <c r="A4361" t="s">
        <v>6295</v>
      </c>
    </row>
    <row r="4362" spans="1:1" x14ac:dyDescent="0.25">
      <c r="A4362" t="s">
        <v>6296</v>
      </c>
    </row>
    <row r="4363" spans="1:1" x14ac:dyDescent="0.25">
      <c r="A4363" t="s">
        <v>6297</v>
      </c>
    </row>
    <row r="4364" spans="1:1" x14ac:dyDescent="0.25">
      <c r="A4364" t="s">
        <v>6298</v>
      </c>
    </row>
    <row r="4365" spans="1:1" x14ac:dyDescent="0.25">
      <c r="A4365" t="s">
        <v>6299</v>
      </c>
    </row>
    <row r="4366" spans="1:1" x14ac:dyDescent="0.25">
      <c r="A4366" t="s">
        <v>6300</v>
      </c>
    </row>
    <row r="4367" spans="1:1" x14ac:dyDescent="0.25">
      <c r="A4367" t="s">
        <v>6301</v>
      </c>
    </row>
    <row r="4368" spans="1:1" x14ac:dyDescent="0.25">
      <c r="A4368" t="s">
        <v>6302</v>
      </c>
    </row>
    <row r="4369" spans="1:1" x14ac:dyDescent="0.25">
      <c r="A4369" t="s">
        <v>6303</v>
      </c>
    </row>
    <row r="4370" spans="1:1" x14ac:dyDescent="0.25">
      <c r="A4370" t="s">
        <v>6304</v>
      </c>
    </row>
    <row r="4371" spans="1:1" x14ac:dyDescent="0.25">
      <c r="A4371" t="s">
        <v>6305</v>
      </c>
    </row>
    <row r="4372" spans="1:1" x14ac:dyDescent="0.25">
      <c r="A4372" t="s">
        <v>6306</v>
      </c>
    </row>
    <row r="4373" spans="1:1" x14ac:dyDescent="0.25">
      <c r="A4373" t="s">
        <v>6307</v>
      </c>
    </row>
    <row r="4374" spans="1:1" x14ac:dyDescent="0.25">
      <c r="A4374" t="s">
        <v>6308</v>
      </c>
    </row>
    <row r="4375" spans="1:1" x14ac:dyDescent="0.25">
      <c r="A4375" t="s">
        <v>6309</v>
      </c>
    </row>
    <row r="4376" spans="1:1" x14ac:dyDescent="0.25">
      <c r="A4376" t="s">
        <v>6310</v>
      </c>
    </row>
    <row r="4377" spans="1:1" x14ac:dyDescent="0.25">
      <c r="A4377" t="s">
        <v>6311</v>
      </c>
    </row>
    <row r="4378" spans="1:1" x14ac:dyDescent="0.25">
      <c r="A4378" t="s">
        <v>6312</v>
      </c>
    </row>
    <row r="4379" spans="1:1" x14ac:dyDescent="0.25">
      <c r="A4379" t="s">
        <v>6313</v>
      </c>
    </row>
    <row r="4380" spans="1:1" x14ac:dyDescent="0.25">
      <c r="A4380" t="s">
        <v>6314</v>
      </c>
    </row>
    <row r="4381" spans="1:1" x14ac:dyDescent="0.25">
      <c r="A4381" t="s">
        <v>6315</v>
      </c>
    </row>
    <row r="4382" spans="1:1" x14ac:dyDescent="0.25">
      <c r="A4382" t="s">
        <v>6316</v>
      </c>
    </row>
    <row r="4383" spans="1:1" x14ac:dyDescent="0.25">
      <c r="A4383" t="s">
        <v>6317</v>
      </c>
    </row>
    <row r="4384" spans="1:1" x14ac:dyDescent="0.25">
      <c r="A4384" t="s">
        <v>6318</v>
      </c>
    </row>
    <row r="4385" spans="1:1" x14ac:dyDescent="0.25">
      <c r="A4385" t="s">
        <v>6319</v>
      </c>
    </row>
    <row r="4386" spans="1:1" x14ac:dyDescent="0.25">
      <c r="A4386" t="s">
        <v>6320</v>
      </c>
    </row>
    <row r="4387" spans="1:1" x14ac:dyDescent="0.25">
      <c r="A4387" t="s">
        <v>6321</v>
      </c>
    </row>
    <row r="4388" spans="1:1" x14ac:dyDescent="0.25">
      <c r="A4388" t="s">
        <v>6322</v>
      </c>
    </row>
    <row r="4389" spans="1:1" x14ac:dyDescent="0.25">
      <c r="A4389" t="s">
        <v>6323</v>
      </c>
    </row>
    <row r="4390" spans="1:1" x14ac:dyDescent="0.25">
      <c r="A4390" t="s">
        <v>6324</v>
      </c>
    </row>
    <row r="4391" spans="1:1" x14ac:dyDescent="0.25">
      <c r="A4391" t="s">
        <v>6325</v>
      </c>
    </row>
    <row r="4392" spans="1:1" x14ac:dyDescent="0.25">
      <c r="A4392" t="s">
        <v>6326</v>
      </c>
    </row>
    <row r="4393" spans="1:1" x14ac:dyDescent="0.25">
      <c r="A4393" t="s">
        <v>6327</v>
      </c>
    </row>
    <row r="4394" spans="1:1" x14ac:dyDescent="0.25">
      <c r="A4394" t="s">
        <v>6328</v>
      </c>
    </row>
    <row r="4395" spans="1:1" x14ac:dyDescent="0.25">
      <c r="A4395" t="s">
        <v>6329</v>
      </c>
    </row>
    <row r="4396" spans="1:1" x14ac:dyDescent="0.25">
      <c r="A4396" t="s">
        <v>6330</v>
      </c>
    </row>
    <row r="4397" spans="1:1" x14ac:dyDescent="0.25">
      <c r="A4397" t="s">
        <v>6331</v>
      </c>
    </row>
    <row r="4398" spans="1:1" x14ac:dyDescent="0.25">
      <c r="A4398" t="s">
        <v>6332</v>
      </c>
    </row>
    <row r="4399" spans="1:1" x14ac:dyDescent="0.25">
      <c r="A4399" t="s">
        <v>6333</v>
      </c>
    </row>
    <row r="4400" spans="1:1" x14ac:dyDescent="0.25">
      <c r="A4400" t="s">
        <v>6334</v>
      </c>
    </row>
    <row r="4401" spans="1:1" x14ac:dyDescent="0.25">
      <c r="A4401" t="s">
        <v>6335</v>
      </c>
    </row>
    <row r="4402" spans="1:1" x14ac:dyDescent="0.25">
      <c r="A4402" t="s">
        <v>6336</v>
      </c>
    </row>
    <row r="4403" spans="1:1" x14ac:dyDescent="0.25">
      <c r="A4403" t="s">
        <v>6337</v>
      </c>
    </row>
    <row r="4404" spans="1:1" x14ac:dyDescent="0.25">
      <c r="A4404" t="s">
        <v>6338</v>
      </c>
    </row>
    <row r="4405" spans="1:1" x14ac:dyDescent="0.25">
      <c r="A4405" t="s">
        <v>6339</v>
      </c>
    </row>
    <row r="4406" spans="1:1" x14ac:dyDescent="0.25">
      <c r="A4406" t="s">
        <v>6340</v>
      </c>
    </row>
    <row r="4407" spans="1:1" x14ac:dyDescent="0.25">
      <c r="A4407" t="s">
        <v>6341</v>
      </c>
    </row>
    <row r="4408" spans="1:1" x14ac:dyDescent="0.25">
      <c r="A4408" t="s">
        <v>6342</v>
      </c>
    </row>
    <row r="4409" spans="1:1" x14ac:dyDescent="0.25">
      <c r="A4409" t="s">
        <v>6343</v>
      </c>
    </row>
    <row r="4410" spans="1:1" x14ac:dyDescent="0.25">
      <c r="A4410" t="s">
        <v>6344</v>
      </c>
    </row>
    <row r="4411" spans="1:1" x14ac:dyDescent="0.25">
      <c r="A4411" t="s">
        <v>6345</v>
      </c>
    </row>
    <row r="4412" spans="1:1" x14ac:dyDescent="0.25">
      <c r="A4412" t="s">
        <v>6346</v>
      </c>
    </row>
    <row r="4413" spans="1:1" x14ac:dyDescent="0.25">
      <c r="A4413" t="s">
        <v>6347</v>
      </c>
    </row>
    <row r="4414" spans="1:1" x14ac:dyDescent="0.25">
      <c r="A4414" t="s">
        <v>6348</v>
      </c>
    </row>
    <row r="4415" spans="1:1" x14ac:dyDescent="0.25">
      <c r="A4415" t="s">
        <v>6349</v>
      </c>
    </row>
    <row r="4416" spans="1:1" x14ac:dyDescent="0.25">
      <c r="A4416" t="s">
        <v>6350</v>
      </c>
    </row>
    <row r="4417" spans="1:1" x14ac:dyDescent="0.25">
      <c r="A4417" t="s">
        <v>6351</v>
      </c>
    </row>
    <row r="4418" spans="1:1" x14ac:dyDescent="0.25">
      <c r="A4418" t="s">
        <v>6352</v>
      </c>
    </row>
    <row r="4419" spans="1:1" x14ac:dyDescent="0.25">
      <c r="A4419" t="s">
        <v>6353</v>
      </c>
    </row>
    <row r="4420" spans="1:1" x14ac:dyDescent="0.25">
      <c r="A4420" t="s">
        <v>6354</v>
      </c>
    </row>
    <row r="4421" spans="1:1" x14ac:dyDescent="0.25">
      <c r="A4421" t="s">
        <v>6355</v>
      </c>
    </row>
    <row r="4422" spans="1:1" x14ac:dyDescent="0.25">
      <c r="A4422" t="s">
        <v>6356</v>
      </c>
    </row>
    <row r="4423" spans="1:1" x14ac:dyDescent="0.25">
      <c r="A4423" t="s">
        <v>6357</v>
      </c>
    </row>
    <row r="4424" spans="1:1" x14ac:dyDescent="0.25">
      <c r="A4424" t="s">
        <v>6358</v>
      </c>
    </row>
    <row r="4425" spans="1:1" x14ac:dyDescent="0.25">
      <c r="A4425" t="s">
        <v>6359</v>
      </c>
    </row>
    <row r="4426" spans="1:1" x14ac:dyDescent="0.25">
      <c r="A4426" t="s">
        <v>6360</v>
      </c>
    </row>
    <row r="4427" spans="1:1" x14ac:dyDescent="0.25">
      <c r="A4427" t="s">
        <v>6361</v>
      </c>
    </row>
    <row r="4428" spans="1:1" x14ac:dyDescent="0.25">
      <c r="A4428" t="s">
        <v>6362</v>
      </c>
    </row>
    <row r="4429" spans="1:1" x14ac:dyDescent="0.25">
      <c r="A4429" t="s">
        <v>6363</v>
      </c>
    </row>
    <row r="4430" spans="1:1" x14ac:dyDescent="0.25">
      <c r="A4430" t="s">
        <v>6364</v>
      </c>
    </row>
    <row r="4431" spans="1:1" x14ac:dyDescent="0.25">
      <c r="A4431" t="s">
        <v>6365</v>
      </c>
    </row>
    <row r="4432" spans="1:1" x14ac:dyDescent="0.25">
      <c r="A4432" t="s">
        <v>6366</v>
      </c>
    </row>
    <row r="4433" spans="1:1" x14ac:dyDescent="0.25">
      <c r="A4433" t="s">
        <v>6367</v>
      </c>
    </row>
    <row r="4434" spans="1:1" x14ac:dyDescent="0.25">
      <c r="A4434" t="s">
        <v>6368</v>
      </c>
    </row>
    <row r="4435" spans="1:1" x14ac:dyDescent="0.25">
      <c r="A4435" t="s">
        <v>6369</v>
      </c>
    </row>
    <row r="4436" spans="1:1" x14ac:dyDescent="0.25">
      <c r="A4436" t="s">
        <v>6370</v>
      </c>
    </row>
    <row r="4437" spans="1:1" x14ac:dyDescent="0.25">
      <c r="A4437" t="s">
        <v>6371</v>
      </c>
    </row>
    <row r="4438" spans="1:1" x14ac:dyDescent="0.25">
      <c r="A4438" t="s">
        <v>6372</v>
      </c>
    </row>
    <row r="4439" spans="1:1" x14ac:dyDescent="0.25">
      <c r="A4439" t="s">
        <v>6373</v>
      </c>
    </row>
    <row r="4440" spans="1:1" x14ac:dyDescent="0.25">
      <c r="A4440" t="s">
        <v>6374</v>
      </c>
    </row>
    <row r="4441" spans="1:1" x14ac:dyDescent="0.25">
      <c r="A4441" t="s">
        <v>6375</v>
      </c>
    </row>
    <row r="4442" spans="1:1" x14ac:dyDescent="0.25">
      <c r="A4442" t="s">
        <v>6376</v>
      </c>
    </row>
    <row r="4443" spans="1:1" x14ac:dyDescent="0.25">
      <c r="A4443" t="s">
        <v>6377</v>
      </c>
    </row>
    <row r="4444" spans="1:1" x14ac:dyDescent="0.25">
      <c r="A4444" t="s">
        <v>6378</v>
      </c>
    </row>
    <row r="4445" spans="1:1" x14ac:dyDescent="0.25">
      <c r="A4445" t="s">
        <v>6379</v>
      </c>
    </row>
    <row r="4446" spans="1:1" x14ac:dyDescent="0.25">
      <c r="A4446" t="s">
        <v>6380</v>
      </c>
    </row>
    <row r="4447" spans="1:1" x14ac:dyDescent="0.25">
      <c r="A4447" t="s">
        <v>6381</v>
      </c>
    </row>
    <row r="4448" spans="1:1" x14ac:dyDescent="0.25">
      <c r="A4448" t="s">
        <v>6382</v>
      </c>
    </row>
    <row r="4449" spans="1:1" x14ac:dyDescent="0.25">
      <c r="A4449" t="s">
        <v>6383</v>
      </c>
    </row>
    <row r="4450" spans="1:1" x14ac:dyDescent="0.25">
      <c r="A4450" t="s">
        <v>6384</v>
      </c>
    </row>
    <row r="4451" spans="1:1" x14ac:dyDescent="0.25">
      <c r="A4451" t="s">
        <v>6385</v>
      </c>
    </row>
    <row r="4452" spans="1:1" x14ac:dyDescent="0.25">
      <c r="A4452" t="s">
        <v>6386</v>
      </c>
    </row>
    <row r="4453" spans="1:1" x14ac:dyDescent="0.25">
      <c r="A4453" t="s">
        <v>6387</v>
      </c>
    </row>
    <row r="4454" spans="1:1" x14ac:dyDescent="0.25">
      <c r="A4454" t="s">
        <v>6388</v>
      </c>
    </row>
    <row r="4455" spans="1:1" x14ac:dyDescent="0.25">
      <c r="A4455" t="s">
        <v>6389</v>
      </c>
    </row>
    <row r="4456" spans="1:1" x14ac:dyDescent="0.25">
      <c r="A4456" t="s">
        <v>6390</v>
      </c>
    </row>
    <row r="4457" spans="1:1" x14ac:dyDescent="0.25">
      <c r="A4457" t="s">
        <v>6391</v>
      </c>
    </row>
    <row r="4458" spans="1:1" x14ac:dyDescent="0.25">
      <c r="A4458" t="s">
        <v>6392</v>
      </c>
    </row>
    <row r="4459" spans="1:1" x14ac:dyDescent="0.25">
      <c r="A4459" t="s">
        <v>6393</v>
      </c>
    </row>
    <row r="4460" spans="1:1" x14ac:dyDescent="0.25">
      <c r="A4460" t="s">
        <v>6394</v>
      </c>
    </row>
    <row r="4461" spans="1:1" x14ac:dyDescent="0.25">
      <c r="A4461" t="s">
        <v>6395</v>
      </c>
    </row>
    <row r="4462" spans="1:1" x14ac:dyDescent="0.25">
      <c r="A4462" t="s">
        <v>6396</v>
      </c>
    </row>
    <row r="4463" spans="1:1" x14ac:dyDescent="0.25">
      <c r="A4463" t="s">
        <v>6397</v>
      </c>
    </row>
    <row r="4464" spans="1:1" x14ac:dyDescent="0.25">
      <c r="A4464" t="s">
        <v>6398</v>
      </c>
    </row>
    <row r="4465" spans="1:1" x14ac:dyDescent="0.25">
      <c r="A4465" t="s">
        <v>6399</v>
      </c>
    </row>
    <row r="4466" spans="1:1" x14ac:dyDescent="0.25">
      <c r="A4466" t="s">
        <v>6400</v>
      </c>
    </row>
    <row r="4467" spans="1:1" x14ac:dyDescent="0.25">
      <c r="A4467" t="s">
        <v>6401</v>
      </c>
    </row>
    <row r="4468" spans="1:1" x14ac:dyDescent="0.25">
      <c r="A4468" t="s">
        <v>6402</v>
      </c>
    </row>
    <row r="4469" spans="1:1" x14ac:dyDescent="0.25">
      <c r="A4469" t="s">
        <v>6403</v>
      </c>
    </row>
    <row r="4470" spans="1:1" x14ac:dyDescent="0.25">
      <c r="A4470" t="s">
        <v>6404</v>
      </c>
    </row>
    <row r="4471" spans="1:1" x14ac:dyDescent="0.25">
      <c r="A4471" t="s">
        <v>6405</v>
      </c>
    </row>
    <row r="4472" spans="1:1" x14ac:dyDescent="0.25">
      <c r="A4472" t="s">
        <v>6406</v>
      </c>
    </row>
    <row r="4473" spans="1:1" x14ac:dyDescent="0.25">
      <c r="A4473" t="s">
        <v>6407</v>
      </c>
    </row>
    <row r="4474" spans="1:1" x14ac:dyDescent="0.25">
      <c r="A4474" t="s">
        <v>6408</v>
      </c>
    </row>
    <row r="4475" spans="1:1" x14ac:dyDescent="0.25">
      <c r="A4475" t="s">
        <v>6409</v>
      </c>
    </row>
    <row r="4476" spans="1:1" x14ac:dyDescent="0.25">
      <c r="A4476" t="s">
        <v>6410</v>
      </c>
    </row>
    <row r="4477" spans="1:1" x14ac:dyDescent="0.25">
      <c r="A4477" t="s">
        <v>6411</v>
      </c>
    </row>
    <row r="4478" spans="1:1" x14ac:dyDescent="0.25">
      <c r="A4478" t="s">
        <v>6412</v>
      </c>
    </row>
    <row r="4479" spans="1:1" x14ac:dyDescent="0.25">
      <c r="A4479" t="s">
        <v>6413</v>
      </c>
    </row>
    <row r="4480" spans="1:1" x14ac:dyDescent="0.25">
      <c r="A4480" t="s">
        <v>6414</v>
      </c>
    </row>
    <row r="4481" spans="1:1" x14ac:dyDescent="0.25">
      <c r="A4481" t="s">
        <v>6415</v>
      </c>
    </row>
    <row r="4482" spans="1:1" x14ac:dyDescent="0.25">
      <c r="A4482" t="s">
        <v>6416</v>
      </c>
    </row>
    <row r="4483" spans="1:1" x14ac:dyDescent="0.25">
      <c r="A4483" t="s">
        <v>6417</v>
      </c>
    </row>
    <row r="4484" spans="1:1" x14ac:dyDescent="0.25">
      <c r="A4484" t="s">
        <v>6418</v>
      </c>
    </row>
    <row r="4485" spans="1:1" x14ac:dyDescent="0.25">
      <c r="A4485" t="s">
        <v>6419</v>
      </c>
    </row>
    <row r="4486" spans="1:1" x14ac:dyDescent="0.25">
      <c r="A4486" t="s">
        <v>6420</v>
      </c>
    </row>
    <row r="4487" spans="1:1" x14ac:dyDescent="0.25">
      <c r="A4487" t="s">
        <v>6421</v>
      </c>
    </row>
    <row r="4488" spans="1:1" x14ac:dyDescent="0.25">
      <c r="A4488" t="s">
        <v>6422</v>
      </c>
    </row>
    <row r="4489" spans="1:1" x14ac:dyDescent="0.25">
      <c r="A4489" t="s">
        <v>6423</v>
      </c>
    </row>
    <row r="4490" spans="1:1" x14ac:dyDescent="0.25">
      <c r="A4490" t="s">
        <v>6424</v>
      </c>
    </row>
    <row r="4491" spans="1:1" x14ac:dyDescent="0.25">
      <c r="A4491" t="s">
        <v>6425</v>
      </c>
    </row>
    <row r="4492" spans="1:1" x14ac:dyDescent="0.25">
      <c r="A4492" t="s">
        <v>6426</v>
      </c>
    </row>
    <row r="4493" spans="1:1" x14ac:dyDescent="0.25">
      <c r="A4493" t="s">
        <v>6427</v>
      </c>
    </row>
    <row r="4494" spans="1:1" x14ac:dyDescent="0.25">
      <c r="A4494" t="s">
        <v>6428</v>
      </c>
    </row>
    <row r="4495" spans="1:1" x14ac:dyDescent="0.25">
      <c r="A4495" t="s">
        <v>6429</v>
      </c>
    </row>
    <row r="4496" spans="1:1" x14ac:dyDescent="0.25">
      <c r="A4496" t="s">
        <v>6430</v>
      </c>
    </row>
    <row r="4497" spans="1:1" x14ac:dyDescent="0.25">
      <c r="A4497" t="s">
        <v>6431</v>
      </c>
    </row>
    <row r="4498" spans="1:1" x14ac:dyDescent="0.25">
      <c r="A4498" t="s">
        <v>6432</v>
      </c>
    </row>
    <row r="4499" spans="1:1" x14ac:dyDescent="0.25">
      <c r="A4499" t="s">
        <v>6433</v>
      </c>
    </row>
    <row r="4500" spans="1:1" x14ac:dyDescent="0.25">
      <c r="A4500" t="s">
        <v>6434</v>
      </c>
    </row>
    <row r="4501" spans="1:1" x14ac:dyDescent="0.25">
      <c r="A4501" t="s">
        <v>6435</v>
      </c>
    </row>
    <row r="4502" spans="1:1" x14ac:dyDescent="0.25">
      <c r="A4502" t="s">
        <v>6436</v>
      </c>
    </row>
    <row r="4503" spans="1:1" x14ac:dyDescent="0.25">
      <c r="A4503" t="s">
        <v>6437</v>
      </c>
    </row>
    <row r="4504" spans="1:1" x14ac:dyDescent="0.25">
      <c r="A4504" t="s">
        <v>6438</v>
      </c>
    </row>
    <row r="4505" spans="1:1" x14ac:dyDescent="0.25">
      <c r="A4505" t="s">
        <v>6439</v>
      </c>
    </row>
    <row r="4506" spans="1:1" x14ac:dyDescent="0.25">
      <c r="A4506" t="s">
        <v>6440</v>
      </c>
    </row>
    <row r="4507" spans="1:1" x14ac:dyDescent="0.25">
      <c r="A4507" t="s">
        <v>6441</v>
      </c>
    </row>
    <row r="4508" spans="1:1" x14ac:dyDescent="0.25">
      <c r="A4508" t="s">
        <v>6442</v>
      </c>
    </row>
    <row r="4509" spans="1:1" x14ac:dyDescent="0.25">
      <c r="A4509" t="s">
        <v>6443</v>
      </c>
    </row>
    <row r="4510" spans="1:1" x14ac:dyDescent="0.25">
      <c r="A4510" t="s">
        <v>6444</v>
      </c>
    </row>
    <row r="4511" spans="1:1" x14ac:dyDescent="0.25">
      <c r="A4511" t="s">
        <v>6445</v>
      </c>
    </row>
    <row r="4512" spans="1:1" x14ac:dyDescent="0.25">
      <c r="A4512" t="s">
        <v>6446</v>
      </c>
    </row>
    <row r="4513" spans="1:1" x14ac:dyDescent="0.25">
      <c r="A4513" t="s">
        <v>6447</v>
      </c>
    </row>
    <row r="4514" spans="1:1" x14ac:dyDescent="0.25">
      <c r="A4514" t="s">
        <v>6448</v>
      </c>
    </row>
    <row r="4515" spans="1:1" x14ac:dyDescent="0.25">
      <c r="A4515" t="s">
        <v>6449</v>
      </c>
    </row>
    <row r="4516" spans="1:1" x14ac:dyDescent="0.25">
      <c r="A4516" t="s">
        <v>6450</v>
      </c>
    </row>
    <row r="4517" spans="1:1" x14ac:dyDescent="0.25">
      <c r="A4517" t="s">
        <v>6451</v>
      </c>
    </row>
    <row r="4518" spans="1:1" x14ac:dyDescent="0.25">
      <c r="A4518" t="s">
        <v>6452</v>
      </c>
    </row>
    <row r="4519" spans="1:1" x14ac:dyDescent="0.25">
      <c r="A4519" t="s">
        <v>6453</v>
      </c>
    </row>
    <row r="4520" spans="1:1" x14ac:dyDescent="0.25">
      <c r="A4520" t="s">
        <v>6454</v>
      </c>
    </row>
    <row r="4521" spans="1:1" x14ac:dyDescent="0.25">
      <c r="A4521" t="s">
        <v>6455</v>
      </c>
    </row>
    <row r="4522" spans="1:1" x14ac:dyDescent="0.25">
      <c r="A4522" t="s">
        <v>6456</v>
      </c>
    </row>
    <row r="4523" spans="1:1" x14ac:dyDescent="0.25">
      <c r="A4523" t="s">
        <v>6457</v>
      </c>
    </row>
    <row r="4524" spans="1:1" x14ac:dyDescent="0.25">
      <c r="A4524" t="s">
        <v>6458</v>
      </c>
    </row>
    <row r="4525" spans="1:1" x14ac:dyDescent="0.25">
      <c r="A4525" t="s">
        <v>6459</v>
      </c>
    </row>
    <row r="4526" spans="1:1" x14ac:dyDescent="0.25">
      <c r="A4526" t="s">
        <v>6460</v>
      </c>
    </row>
    <row r="4527" spans="1:1" x14ac:dyDescent="0.25">
      <c r="A4527" t="s">
        <v>6461</v>
      </c>
    </row>
    <row r="4528" spans="1:1" x14ac:dyDescent="0.25">
      <c r="A4528" t="s">
        <v>6462</v>
      </c>
    </row>
    <row r="4529" spans="1:1" x14ac:dyDescent="0.25">
      <c r="A4529" t="s">
        <v>6463</v>
      </c>
    </row>
    <row r="4530" spans="1:1" x14ac:dyDescent="0.25">
      <c r="A4530" t="s">
        <v>6464</v>
      </c>
    </row>
    <row r="4531" spans="1:1" x14ac:dyDescent="0.25">
      <c r="A4531" t="s">
        <v>6465</v>
      </c>
    </row>
    <row r="4532" spans="1:1" x14ac:dyDescent="0.25">
      <c r="A4532" t="s">
        <v>6466</v>
      </c>
    </row>
    <row r="4533" spans="1:1" x14ac:dyDescent="0.25">
      <c r="A4533" t="s">
        <v>6467</v>
      </c>
    </row>
    <row r="4534" spans="1:1" x14ac:dyDescent="0.25">
      <c r="A4534" t="s">
        <v>6468</v>
      </c>
    </row>
    <row r="4535" spans="1:1" x14ac:dyDescent="0.25">
      <c r="A4535" t="s">
        <v>6469</v>
      </c>
    </row>
    <row r="4536" spans="1:1" x14ac:dyDescent="0.25">
      <c r="A4536" t="s">
        <v>6470</v>
      </c>
    </row>
    <row r="4537" spans="1:1" x14ac:dyDescent="0.25">
      <c r="A4537" t="s">
        <v>6471</v>
      </c>
    </row>
    <row r="4538" spans="1:1" x14ac:dyDescent="0.25">
      <c r="A4538" t="s">
        <v>6472</v>
      </c>
    </row>
    <row r="4539" spans="1:1" x14ac:dyDescent="0.25">
      <c r="A4539" t="s">
        <v>6473</v>
      </c>
    </row>
    <row r="4540" spans="1:1" x14ac:dyDescent="0.25">
      <c r="A4540" t="s">
        <v>6474</v>
      </c>
    </row>
    <row r="4541" spans="1:1" x14ac:dyDescent="0.25">
      <c r="A4541" t="s">
        <v>6475</v>
      </c>
    </row>
    <row r="4542" spans="1:1" x14ac:dyDescent="0.25">
      <c r="A4542" t="s">
        <v>6476</v>
      </c>
    </row>
    <row r="4543" spans="1:1" x14ac:dyDescent="0.25">
      <c r="A4543" t="s">
        <v>6477</v>
      </c>
    </row>
    <row r="4544" spans="1:1" x14ac:dyDescent="0.25">
      <c r="A4544" t="s">
        <v>6478</v>
      </c>
    </row>
    <row r="4545" spans="1:1" x14ac:dyDescent="0.25">
      <c r="A4545" t="s">
        <v>6479</v>
      </c>
    </row>
    <row r="4546" spans="1:1" x14ac:dyDescent="0.25">
      <c r="A4546" t="s">
        <v>6480</v>
      </c>
    </row>
    <row r="4547" spans="1:1" x14ac:dyDescent="0.25">
      <c r="A4547" t="s">
        <v>6481</v>
      </c>
    </row>
    <row r="4548" spans="1:1" x14ac:dyDescent="0.25">
      <c r="A4548" t="s">
        <v>6482</v>
      </c>
    </row>
    <row r="4549" spans="1:1" x14ac:dyDescent="0.25">
      <c r="A4549" t="s">
        <v>6483</v>
      </c>
    </row>
    <row r="4550" spans="1:1" x14ac:dyDescent="0.25">
      <c r="A4550" t="s">
        <v>6484</v>
      </c>
    </row>
    <row r="4551" spans="1:1" x14ac:dyDescent="0.25">
      <c r="A4551" t="s">
        <v>6485</v>
      </c>
    </row>
    <row r="4552" spans="1:1" x14ac:dyDescent="0.25">
      <c r="A4552" t="s">
        <v>6486</v>
      </c>
    </row>
    <row r="4553" spans="1:1" x14ac:dyDescent="0.25">
      <c r="A4553" t="s">
        <v>6487</v>
      </c>
    </row>
    <row r="4554" spans="1:1" x14ac:dyDescent="0.25">
      <c r="A4554" t="s">
        <v>6488</v>
      </c>
    </row>
    <row r="4555" spans="1:1" x14ac:dyDescent="0.25">
      <c r="A4555" t="s">
        <v>6489</v>
      </c>
    </row>
    <row r="4556" spans="1:1" x14ac:dyDescent="0.25">
      <c r="A4556" t="s">
        <v>6490</v>
      </c>
    </row>
    <row r="4557" spans="1:1" x14ac:dyDescent="0.25">
      <c r="A4557" t="s">
        <v>6491</v>
      </c>
    </row>
    <row r="4558" spans="1:1" x14ac:dyDescent="0.25">
      <c r="A4558" t="s">
        <v>6492</v>
      </c>
    </row>
    <row r="4559" spans="1:1" x14ac:dyDescent="0.25">
      <c r="A4559" t="s">
        <v>6493</v>
      </c>
    </row>
    <row r="4560" spans="1:1" x14ac:dyDescent="0.25">
      <c r="A4560" t="s">
        <v>6494</v>
      </c>
    </row>
    <row r="4561" spans="1:1" x14ac:dyDescent="0.25">
      <c r="A4561" t="s">
        <v>6495</v>
      </c>
    </row>
    <row r="4562" spans="1:1" x14ac:dyDescent="0.25">
      <c r="A4562" t="s">
        <v>6496</v>
      </c>
    </row>
    <row r="4563" spans="1:1" x14ac:dyDescent="0.25">
      <c r="A4563" t="s">
        <v>6497</v>
      </c>
    </row>
    <row r="4564" spans="1:1" x14ac:dyDescent="0.25">
      <c r="A4564" t="s">
        <v>6498</v>
      </c>
    </row>
    <row r="4565" spans="1:1" x14ac:dyDescent="0.25">
      <c r="A4565" t="s">
        <v>6499</v>
      </c>
    </row>
    <row r="4566" spans="1:1" x14ac:dyDescent="0.25">
      <c r="A4566" t="s">
        <v>6500</v>
      </c>
    </row>
    <row r="4567" spans="1:1" x14ac:dyDescent="0.25">
      <c r="A4567" t="s">
        <v>6501</v>
      </c>
    </row>
    <row r="4568" spans="1:1" x14ac:dyDescent="0.25">
      <c r="A4568" t="s">
        <v>6502</v>
      </c>
    </row>
    <row r="4569" spans="1:1" x14ac:dyDescent="0.25">
      <c r="A4569" t="s">
        <v>6503</v>
      </c>
    </row>
    <row r="4570" spans="1:1" x14ac:dyDescent="0.25">
      <c r="A4570" t="s">
        <v>6504</v>
      </c>
    </row>
    <row r="4571" spans="1:1" x14ac:dyDescent="0.25">
      <c r="A4571" t="s">
        <v>6505</v>
      </c>
    </row>
    <row r="4572" spans="1:1" x14ac:dyDescent="0.25">
      <c r="A4572" t="s">
        <v>6506</v>
      </c>
    </row>
    <row r="4573" spans="1:1" x14ac:dyDescent="0.25">
      <c r="A4573" t="s">
        <v>6507</v>
      </c>
    </row>
    <row r="4574" spans="1:1" x14ac:dyDescent="0.25">
      <c r="A4574" t="s">
        <v>6508</v>
      </c>
    </row>
    <row r="4575" spans="1:1" x14ac:dyDescent="0.25">
      <c r="A4575" t="s">
        <v>6509</v>
      </c>
    </row>
    <row r="4576" spans="1:1" x14ac:dyDescent="0.25">
      <c r="A4576" t="s">
        <v>6510</v>
      </c>
    </row>
    <row r="4577" spans="1:1" x14ac:dyDescent="0.25">
      <c r="A4577" t="s">
        <v>6511</v>
      </c>
    </row>
    <row r="4578" spans="1:1" x14ac:dyDescent="0.25">
      <c r="A4578" t="s">
        <v>6512</v>
      </c>
    </row>
    <row r="4579" spans="1:1" x14ac:dyDescent="0.25">
      <c r="A4579" t="s">
        <v>6513</v>
      </c>
    </row>
    <row r="4580" spans="1:1" x14ac:dyDescent="0.25">
      <c r="A4580" t="s">
        <v>6514</v>
      </c>
    </row>
    <row r="4581" spans="1:1" x14ac:dyDescent="0.25">
      <c r="A4581" t="s">
        <v>6515</v>
      </c>
    </row>
    <row r="4582" spans="1:1" x14ac:dyDescent="0.25">
      <c r="A4582" t="s">
        <v>6516</v>
      </c>
    </row>
    <row r="4583" spans="1:1" x14ac:dyDescent="0.25">
      <c r="A4583" t="s">
        <v>6517</v>
      </c>
    </row>
    <row r="4584" spans="1:1" x14ac:dyDescent="0.25">
      <c r="A4584" t="s">
        <v>6518</v>
      </c>
    </row>
    <row r="4585" spans="1:1" x14ac:dyDescent="0.25">
      <c r="A4585" t="s">
        <v>6519</v>
      </c>
    </row>
    <row r="4586" spans="1:1" x14ac:dyDescent="0.25">
      <c r="A4586" t="s">
        <v>6520</v>
      </c>
    </row>
    <row r="4587" spans="1:1" x14ac:dyDescent="0.25">
      <c r="A4587" t="s">
        <v>6521</v>
      </c>
    </row>
    <row r="4588" spans="1:1" x14ac:dyDescent="0.25">
      <c r="A4588" t="s">
        <v>6522</v>
      </c>
    </row>
    <row r="4589" spans="1:1" x14ac:dyDescent="0.25">
      <c r="A4589" t="s">
        <v>6523</v>
      </c>
    </row>
    <row r="4590" spans="1:1" x14ac:dyDescent="0.25">
      <c r="A4590" t="s">
        <v>6524</v>
      </c>
    </row>
    <row r="4591" spans="1:1" x14ac:dyDescent="0.25">
      <c r="A4591" t="s">
        <v>6525</v>
      </c>
    </row>
    <row r="4592" spans="1:1" x14ac:dyDescent="0.25">
      <c r="A4592" t="s">
        <v>6526</v>
      </c>
    </row>
    <row r="4593" spans="1:1" x14ac:dyDescent="0.25">
      <c r="A4593" t="s">
        <v>6527</v>
      </c>
    </row>
    <row r="4594" spans="1:1" x14ac:dyDescent="0.25">
      <c r="A4594" t="s">
        <v>6528</v>
      </c>
    </row>
    <row r="4595" spans="1:1" x14ac:dyDescent="0.25">
      <c r="A4595" t="s">
        <v>6529</v>
      </c>
    </row>
    <row r="4596" spans="1:1" x14ac:dyDescent="0.25">
      <c r="A4596" t="s">
        <v>6530</v>
      </c>
    </row>
    <row r="4597" spans="1:1" x14ac:dyDescent="0.25">
      <c r="A4597" t="s">
        <v>6531</v>
      </c>
    </row>
    <row r="4598" spans="1:1" x14ac:dyDescent="0.25">
      <c r="A4598" t="s">
        <v>6532</v>
      </c>
    </row>
    <row r="4599" spans="1:1" x14ac:dyDescent="0.25">
      <c r="A4599" t="s">
        <v>6533</v>
      </c>
    </row>
    <row r="4600" spans="1:1" x14ac:dyDescent="0.25">
      <c r="A4600" t="s">
        <v>6534</v>
      </c>
    </row>
    <row r="4601" spans="1:1" x14ac:dyDescent="0.25">
      <c r="A4601" t="s">
        <v>6535</v>
      </c>
    </row>
    <row r="4602" spans="1:1" x14ac:dyDescent="0.25">
      <c r="A4602" t="s">
        <v>6536</v>
      </c>
    </row>
    <row r="4603" spans="1:1" x14ac:dyDescent="0.25">
      <c r="A4603" t="s">
        <v>6537</v>
      </c>
    </row>
    <row r="4604" spans="1:1" x14ac:dyDescent="0.25">
      <c r="A4604" t="s">
        <v>6538</v>
      </c>
    </row>
    <row r="4605" spans="1:1" x14ac:dyDescent="0.25">
      <c r="A4605" t="s">
        <v>6539</v>
      </c>
    </row>
    <row r="4606" spans="1:1" x14ac:dyDescent="0.25">
      <c r="A4606" t="s">
        <v>6540</v>
      </c>
    </row>
    <row r="4607" spans="1:1" x14ac:dyDescent="0.25">
      <c r="A4607" t="s">
        <v>6541</v>
      </c>
    </row>
    <row r="4608" spans="1:1" x14ac:dyDescent="0.25">
      <c r="A4608" t="s">
        <v>6542</v>
      </c>
    </row>
    <row r="4609" spans="1:1" x14ac:dyDescent="0.25">
      <c r="A4609" t="s">
        <v>6543</v>
      </c>
    </row>
    <row r="4610" spans="1:1" x14ac:dyDescent="0.25">
      <c r="A4610" t="s">
        <v>6544</v>
      </c>
    </row>
    <row r="4611" spans="1:1" x14ac:dyDescent="0.25">
      <c r="A4611" t="s">
        <v>6545</v>
      </c>
    </row>
    <row r="4612" spans="1:1" x14ac:dyDescent="0.25">
      <c r="A4612" t="s">
        <v>6546</v>
      </c>
    </row>
    <row r="4613" spans="1:1" x14ac:dyDescent="0.25">
      <c r="A4613" t="s">
        <v>6547</v>
      </c>
    </row>
    <row r="4614" spans="1:1" x14ac:dyDescent="0.25">
      <c r="A4614" t="s">
        <v>6548</v>
      </c>
    </row>
    <row r="4615" spans="1:1" x14ac:dyDescent="0.25">
      <c r="A4615" t="s">
        <v>6549</v>
      </c>
    </row>
    <row r="4616" spans="1:1" x14ac:dyDescent="0.25">
      <c r="A4616" t="s">
        <v>6550</v>
      </c>
    </row>
    <row r="4617" spans="1:1" x14ac:dyDescent="0.25">
      <c r="A4617" t="s">
        <v>6551</v>
      </c>
    </row>
    <row r="4618" spans="1:1" x14ac:dyDescent="0.25">
      <c r="A4618" t="s">
        <v>6552</v>
      </c>
    </row>
    <row r="4619" spans="1:1" x14ac:dyDescent="0.25">
      <c r="A4619" t="s">
        <v>6553</v>
      </c>
    </row>
    <row r="4620" spans="1:1" x14ac:dyDescent="0.25">
      <c r="A4620" t="s">
        <v>6554</v>
      </c>
    </row>
    <row r="4621" spans="1:1" x14ac:dyDescent="0.25">
      <c r="A4621" t="s">
        <v>6555</v>
      </c>
    </row>
    <row r="4622" spans="1:1" x14ac:dyDescent="0.25">
      <c r="A4622" t="s">
        <v>6556</v>
      </c>
    </row>
    <row r="4623" spans="1:1" x14ac:dyDescent="0.25">
      <c r="A4623" t="s">
        <v>6557</v>
      </c>
    </row>
    <row r="4624" spans="1:1" x14ac:dyDescent="0.25">
      <c r="A4624" t="s">
        <v>6558</v>
      </c>
    </row>
    <row r="4625" spans="1:1" x14ac:dyDescent="0.25">
      <c r="A4625" t="s">
        <v>6559</v>
      </c>
    </row>
    <row r="4626" spans="1:1" x14ac:dyDescent="0.25">
      <c r="A4626" t="s">
        <v>6560</v>
      </c>
    </row>
    <row r="4627" spans="1:1" x14ac:dyDescent="0.25">
      <c r="A4627" t="s">
        <v>6561</v>
      </c>
    </row>
    <row r="4628" spans="1:1" x14ac:dyDescent="0.25">
      <c r="A4628" t="s">
        <v>6562</v>
      </c>
    </row>
    <row r="4629" spans="1:1" x14ac:dyDescent="0.25">
      <c r="A4629" t="s">
        <v>6563</v>
      </c>
    </row>
    <row r="4630" spans="1:1" x14ac:dyDescent="0.25">
      <c r="A4630" t="s">
        <v>6564</v>
      </c>
    </row>
    <row r="4631" spans="1:1" x14ac:dyDescent="0.25">
      <c r="A4631" t="s">
        <v>6565</v>
      </c>
    </row>
    <row r="4632" spans="1:1" x14ac:dyDescent="0.25">
      <c r="A4632" t="s">
        <v>6566</v>
      </c>
    </row>
    <row r="4633" spans="1:1" x14ac:dyDescent="0.25">
      <c r="A4633" t="s">
        <v>6567</v>
      </c>
    </row>
    <row r="4634" spans="1:1" x14ac:dyDescent="0.25">
      <c r="A4634" t="s">
        <v>6568</v>
      </c>
    </row>
    <row r="4635" spans="1:1" x14ac:dyDescent="0.25">
      <c r="A4635" t="s">
        <v>6569</v>
      </c>
    </row>
    <row r="4636" spans="1:1" x14ac:dyDescent="0.25">
      <c r="A4636" t="s">
        <v>6570</v>
      </c>
    </row>
    <row r="4637" spans="1:1" x14ac:dyDescent="0.25">
      <c r="A4637" t="s">
        <v>6571</v>
      </c>
    </row>
    <row r="4638" spans="1:1" x14ac:dyDescent="0.25">
      <c r="A4638" t="s">
        <v>6572</v>
      </c>
    </row>
    <row r="4639" spans="1:1" x14ac:dyDescent="0.25">
      <c r="A4639" t="s">
        <v>6573</v>
      </c>
    </row>
    <row r="4640" spans="1:1" x14ac:dyDescent="0.25">
      <c r="A4640" t="s">
        <v>6574</v>
      </c>
    </row>
    <row r="4641" spans="1:1" x14ac:dyDescent="0.25">
      <c r="A4641" t="s">
        <v>6575</v>
      </c>
    </row>
    <row r="4642" spans="1:1" x14ac:dyDescent="0.25">
      <c r="A4642" t="s">
        <v>6576</v>
      </c>
    </row>
    <row r="4643" spans="1:1" x14ac:dyDescent="0.25">
      <c r="A4643" t="s">
        <v>6577</v>
      </c>
    </row>
    <row r="4644" spans="1:1" x14ac:dyDescent="0.25">
      <c r="A4644" t="s">
        <v>6578</v>
      </c>
    </row>
    <row r="4645" spans="1:1" x14ac:dyDescent="0.25">
      <c r="A4645" t="s">
        <v>6579</v>
      </c>
    </row>
    <row r="4646" spans="1:1" x14ac:dyDescent="0.25">
      <c r="A4646" t="s">
        <v>6580</v>
      </c>
    </row>
    <row r="4647" spans="1:1" x14ac:dyDescent="0.25">
      <c r="A4647" t="s">
        <v>6581</v>
      </c>
    </row>
    <row r="4648" spans="1:1" x14ac:dyDescent="0.25">
      <c r="A4648" t="s">
        <v>6582</v>
      </c>
    </row>
    <row r="4649" spans="1:1" x14ac:dyDescent="0.25">
      <c r="A4649" t="s">
        <v>6583</v>
      </c>
    </row>
    <row r="4650" spans="1:1" x14ac:dyDescent="0.25">
      <c r="A4650" t="s">
        <v>6584</v>
      </c>
    </row>
    <row r="4651" spans="1:1" x14ac:dyDescent="0.25">
      <c r="A4651" t="s">
        <v>6585</v>
      </c>
    </row>
    <row r="4652" spans="1:1" x14ac:dyDescent="0.25">
      <c r="A4652" t="s">
        <v>6586</v>
      </c>
    </row>
    <row r="4653" spans="1:1" x14ac:dyDescent="0.25">
      <c r="A4653" t="s">
        <v>6587</v>
      </c>
    </row>
    <row r="4654" spans="1:1" x14ac:dyDescent="0.25">
      <c r="A4654" t="s">
        <v>6588</v>
      </c>
    </row>
    <row r="4655" spans="1:1" x14ac:dyDescent="0.25">
      <c r="A4655" t="s">
        <v>6589</v>
      </c>
    </row>
    <row r="4656" spans="1:1" x14ac:dyDescent="0.25">
      <c r="A4656" t="s">
        <v>6590</v>
      </c>
    </row>
    <row r="4657" spans="1:1" x14ac:dyDescent="0.25">
      <c r="A4657" t="s">
        <v>6591</v>
      </c>
    </row>
    <row r="4658" spans="1:1" x14ac:dyDescent="0.25">
      <c r="A4658" t="s">
        <v>6592</v>
      </c>
    </row>
    <row r="4659" spans="1:1" x14ac:dyDescent="0.25">
      <c r="A4659" t="s">
        <v>6593</v>
      </c>
    </row>
    <row r="4660" spans="1:1" x14ac:dyDescent="0.25">
      <c r="A4660" t="s">
        <v>6594</v>
      </c>
    </row>
    <row r="4661" spans="1:1" x14ac:dyDescent="0.25">
      <c r="A4661" t="s">
        <v>6595</v>
      </c>
    </row>
    <row r="4662" spans="1:1" x14ac:dyDescent="0.25">
      <c r="A4662" t="s">
        <v>6596</v>
      </c>
    </row>
    <row r="4663" spans="1:1" x14ac:dyDescent="0.25">
      <c r="A4663" t="s">
        <v>6597</v>
      </c>
    </row>
    <row r="4664" spans="1:1" x14ac:dyDescent="0.25">
      <c r="A4664" t="s">
        <v>6598</v>
      </c>
    </row>
    <row r="4665" spans="1:1" x14ac:dyDescent="0.25">
      <c r="A4665" t="s">
        <v>6599</v>
      </c>
    </row>
    <row r="4666" spans="1:1" x14ac:dyDescent="0.25">
      <c r="A4666" t="s">
        <v>6600</v>
      </c>
    </row>
    <row r="4667" spans="1:1" x14ac:dyDescent="0.25">
      <c r="A4667" t="s">
        <v>6601</v>
      </c>
    </row>
    <row r="4668" spans="1:1" x14ac:dyDescent="0.25">
      <c r="A4668" t="s">
        <v>6602</v>
      </c>
    </row>
    <row r="4669" spans="1:1" x14ac:dyDescent="0.25">
      <c r="A4669" t="s">
        <v>6603</v>
      </c>
    </row>
    <row r="4670" spans="1:1" x14ac:dyDescent="0.25">
      <c r="A4670" t="s">
        <v>6604</v>
      </c>
    </row>
    <row r="4671" spans="1:1" x14ac:dyDescent="0.25">
      <c r="A4671" t="s">
        <v>6605</v>
      </c>
    </row>
    <row r="4672" spans="1:1" x14ac:dyDescent="0.25">
      <c r="A4672" t="s">
        <v>6606</v>
      </c>
    </row>
    <row r="4673" spans="1:1" x14ac:dyDescent="0.25">
      <c r="A4673" t="s">
        <v>6607</v>
      </c>
    </row>
    <row r="4674" spans="1:1" x14ac:dyDescent="0.25">
      <c r="A4674" t="s">
        <v>6608</v>
      </c>
    </row>
    <row r="4675" spans="1:1" x14ac:dyDescent="0.25">
      <c r="A4675" t="s">
        <v>6609</v>
      </c>
    </row>
    <row r="4676" spans="1:1" x14ac:dyDescent="0.25">
      <c r="A4676" t="s">
        <v>6610</v>
      </c>
    </row>
    <row r="4677" spans="1:1" x14ac:dyDescent="0.25">
      <c r="A4677" t="s">
        <v>6611</v>
      </c>
    </row>
    <row r="4678" spans="1:1" x14ac:dyDescent="0.25">
      <c r="A4678" t="s">
        <v>6612</v>
      </c>
    </row>
    <row r="4679" spans="1:1" x14ac:dyDescent="0.25">
      <c r="A4679" t="s">
        <v>6613</v>
      </c>
    </row>
    <row r="4680" spans="1:1" x14ac:dyDescent="0.25">
      <c r="A4680" t="s">
        <v>6614</v>
      </c>
    </row>
    <row r="4681" spans="1:1" x14ac:dyDescent="0.25">
      <c r="A4681" t="s">
        <v>6615</v>
      </c>
    </row>
    <row r="4682" spans="1:1" x14ac:dyDescent="0.25">
      <c r="A4682" t="s">
        <v>6616</v>
      </c>
    </row>
    <row r="4683" spans="1:1" x14ac:dyDescent="0.25">
      <c r="A4683" t="s">
        <v>6617</v>
      </c>
    </row>
    <row r="4684" spans="1:1" x14ac:dyDescent="0.25">
      <c r="A4684" t="s">
        <v>6618</v>
      </c>
    </row>
    <row r="4685" spans="1:1" x14ac:dyDescent="0.25">
      <c r="A4685" t="s">
        <v>6619</v>
      </c>
    </row>
    <row r="4686" spans="1:1" x14ac:dyDescent="0.25">
      <c r="A4686" t="s">
        <v>6620</v>
      </c>
    </row>
    <row r="4687" spans="1:1" x14ac:dyDescent="0.25">
      <c r="A4687" t="s">
        <v>6621</v>
      </c>
    </row>
    <row r="4688" spans="1:1" x14ac:dyDescent="0.25">
      <c r="A4688" t="s">
        <v>6622</v>
      </c>
    </row>
    <row r="4689" spans="1:1" x14ac:dyDescent="0.25">
      <c r="A4689" t="s">
        <v>6623</v>
      </c>
    </row>
    <row r="4690" spans="1:1" x14ac:dyDescent="0.25">
      <c r="A4690" t="s">
        <v>6624</v>
      </c>
    </row>
    <row r="4691" spans="1:1" x14ac:dyDescent="0.25">
      <c r="A4691" t="s">
        <v>6625</v>
      </c>
    </row>
    <row r="4692" spans="1:1" x14ac:dyDescent="0.25">
      <c r="A4692" t="s">
        <v>6626</v>
      </c>
    </row>
    <row r="4693" spans="1:1" x14ac:dyDescent="0.25">
      <c r="A4693" t="s">
        <v>6627</v>
      </c>
    </row>
    <row r="4694" spans="1:1" x14ac:dyDescent="0.25">
      <c r="A4694" t="s">
        <v>6628</v>
      </c>
    </row>
    <row r="4695" spans="1:1" x14ac:dyDescent="0.25">
      <c r="A4695" t="s">
        <v>6629</v>
      </c>
    </row>
    <row r="4696" spans="1:1" x14ac:dyDescent="0.25">
      <c r="A4696" t="s">
        <v>6630</v>
      </c>
    </row>
    <row r="4697" spans="1:1" x14ac:dyDescent="0.25">
      <c r="A4697" t="s">
        <v>6631</v>
      </c>
    </row>
    <row r="4698" spans="1:1" x14ac:dyDescent="0.25">
      <c r="A4698" t="s">
        <v>6632</v>
      </c>
    </row>
    <row r="4699" spans="1:1" x14ac:dyDescent="0.25">
      <c r="A4699" t="s">
        <v>6633</v>
      </c>
    </row>
    <row r="4700" spans="1:1" x14ac:dyDescent="0.25">
      <c r="A4700" t="s">
        <v>6634</v>
      </c>
    </row>
    <row r="4701" spans="1:1" x14ac:dyDescent="0.25">
      <c r="A4701" t="s">
        <v>6635</v>
      </c>
    </row>
    <row r="4702" spans="1:1" x14ac:dyDescent="0.25">
      <c r="A4702" t="s">
        <v>6636</v>
      </c>
    </row>
    <row r="4703" spans="1:1" x14ac:dyDescent="0.25">
      <c r="A4703" t="s">
        <v>6637</v>
      </c>
    </row>
    <row r="4704" spans="1:1" x14ac:dyDescent="0.25">
      <c r="A4704" t="s">
        <v>6638</v>
      </c>
    </row>
    <row r="4705" spans="1:1" x14ac:dyDescent="0.25">
      <c r="A4705" t="s">
        <v>6639</v>
      </c>
    </row>
    <row r="4706" spans="1:1" x14ac:dyDescent="0.25">
      <c r="A4706" t="s">
        <v>6640</v>
      </c>
    </row>
    <row r="4707" spans="1:1" x14ac:dyDescent="0.25">
      <c r="A4707" t="s">
        <v>6641</v>
      </c>
    </row>
    <row r="4708" spans="1:1" x14ac:dyDescent="0.25">
      <c r="A4708" t="s">
        <v>6642</v>
      </c>
    </row>
    <row r="4709" spans="1:1" x14ac:dyDescent="0.25">
      <c r="A4709" t="s">
        <v>6643</v>
      </c>
    </row>
    <row r="4710" spans="1:1" x14ac:dyDescent="0.25">
      <c r="A4710" t="s">
        <v>6644</v>
      </c>
    </row>
    <row r="4711" spans="1:1" x14ac:dyDescent="0.25">
      <c r="A4711" t="s">
        <v>6645</v>
      </c>
    </row>
    <row r="4712" spans="1:1" x14ac:dyDescent="0.25">
      <c r="A4712" t="s">
        <v>6646</v>
      </c>
    </row>
    <row r="4713" spans="1:1" x14ac:dyDescent="0.25">
      <c r="A4713" t="s">
        <v>6647</v>
      </c>
    </row>
    <row r="4714" spans="1:1" x14ac:dyDescent="0.25">
      <c r="A4714" t="s">
        <v>6648</v>
      </c>
    </row>
    <row r="4715" spans="1:1" x14ac:dyDescent="0.25">
      <c r="A4715" t="s">
        <v>6649</v>
      </c>
    </row>
    <row r="4716" spans="1:1" x14ac:dyDescent="0.25">
      <c r="A4716" t="s">
        <v>6650</v>
      </c>
    </row>
    <row r="4717" spans="1:1" x14ac:dyDescent="0.25">
      <c r="A4717" t="s">
        <v>6651</v>
      </c>
    </row>
    <row r="4718" spans="1:1" x14ac:dyDescent="0.25">
      <c r="A4718" t="s">
        <v>6652</v>
      </c>
    </row>
    <row r="4719" spans="1:1" x14ac:dyDescent="0.25">
      <c r="A4719" t="s">
        <v>6653</v>
      </c>
    </row>
    <row r="4720" spans="1:1" x14ac:dyDescent="0.25">
      <c r="A4720" t="s">
        <v>6654</v>
      </c>
    </row>
    <row r="4721" spans="1:1" x14ac:dyDescent="0.25">
      <c r="A4721" t="s">
        <v>6655</v>
      </c>
    </row>
    <row r="4722" spans="1:1" x14ac:dyDescent="0.25">
      <c r="A4722" t="s">
        <v>6656</v>
      </c>
    </row>
    <row r="4723" spans="1:1" x14ac:dyDescent="0.25">
      <c r="A4723" t="s">
        <v>6657</v>
      </c>
    </row>
    <row r="4724" spans="1:1" x14ac:dyDescent="0.25">
      <c r="A4724" t="s">
        <v>6658</v>
      </c>
    </row>
    <row r="4725" spans="1:1" x14ac:dyDescent="0.25">
      <c r="A4725" t="s">
        <v>6659</v>
      </c>
    </row>
    <row r="4726" spans="1:1" x14ac:dyDescent="0.25">
      <c r="A4726" t="s">
        <v>6660</v>
      </c>
    </row>
    <row r="4727" spans="1:1" x14ac:dyDescent="0.25">
      <c r="A4727" t="s">
        <v>6661</v>
      </c>
    </row>
    <row r="4728" spans="1:1" x14ac:dyDescent="0.25">
      <c r="A4728" t="s">
        <v>6662</v>
      </c>
    </row>
    <row r="4729" spans="1:1" x14ac:dyDescent="0.25">
      <c r="A4729" t="s">
        <v>6663</v>
      </c>
    </row>
    <row r="4730" spans="1:1" x14ac:dyDescent="0.25">
      <c r="A4730" t="s">
        <v>6664</v>
      </c>
    </row>
    <row r="4731" spans="1:1" x14ac:dyDescent="0.25">
      <c r="A4731" t="s">
        <v>6665</v>
      </c>
    </row>
    <row r="4732" spans="1:1" x14ac:dyDescent="0.25">
      <c r="A4732" t="s">
        <v>6666</v>
      </c>
    </row>
    <row r="4733" spans="1:1" x14ac:dyDescent="0.25">
      <c r="A4733" t="s">
        <v>6667</v>
      </c>
    </row>
    <row r="4734" spans="1:1" x14ac:dyDescent="0.25">
      <c r="A4734" t="s">
        <v>6668</v>
      </c>
    </row>
    <row r="4735" spans="1:1" x14ac:dyDescent="0.25">
      <c r="A4735" t="s">
        <v>6669</v>
      </c>
    </row>
    <row r="4736" spans="1:1" x14ac:dyDescent="0.25">
      <c r="A4736" t="s">
        <v>6670</v>
      </c>
    </row>
    <row r="4737" spans="1:1" x14ac:dyDescent="0.25">
      <c r="A4737" t="s">
        <v>6671</v>
      </c>
    </row>
    <row r="4738" spans="1:1" x14ac:dyDescent="0.25">
      <c r="A4738" t="s">
        <v>6672</v>
      </c>
    </row>
    <row r="4739" spans="1:1" x14ac:dyDescent="0.25">
      <c r="A4739" t="s">
        <v>6673</v>
      </c>
    </row>
    <row r="4740" spans="1:1" x14ac:dyDescent="0.25">
      <c r="A4740" t="s">
        <v>6674</v>
      </c>
    </row>
    <row r="4741" spans="1:1" x14ac:dyDescent="0.25">
      <c r="A4741" t="s">
        <v>6675</v>
      </c>
    </row>
    <row r="4742" spans="1:1" x14ac:dyDescent="0.25">
      <c r="A4742" t="s">
        <v>6676</v>
      </c>
    </row>
    <row r="4743" spans="1:1" x14ac:dyDescent="0.25">
      <c r="A4743" t="s">
        <v>6677</v>
      </c>
    </row>
    <row r="4744" spans="1:1" x14ac:dyDescent="0.25">
      <c r="A4744" t="s">
        <v>6678</v>
      </c>
    </row>
    <row r="4745" spans="1:1" x14ac:dyDescent="0.25">
      <c r="A4745" t="s">
        <v>6679</v>
      </c>
    </row>
    <row r="4746" spans="1:1" x14ac:dyDescent="0.25">
      <c r="A4746" t="s">
        <v>6680</v>
      </c>
    </row>
    <row r="4747" spans="1:1" x14ac:dyDescent="0.25">
      <c r="A4747" t="s">
        <v>6681</v>
      </c>
    </row>
    <row r="4748" spans="1:1" x14ac:dyDescent="0.25">
      <c r="A4748" t="s">
        <v>6682</v>
      </c>
    </row>
    <row r="4749" spans="1:1" x14ac:dyDescent="0.25">
      <c r="A4749" t="s">
        <v>6683</v>
      </c>
    </row>
    <row r="4750" spans="1:1" x14ac:dyDescent="0.25">
      <c r="A4750" t="s">
        <v>6684</v>
      </c>
    </row>
    <row r="4751" spans="1:1" x14ac:dyDescent="0.25">
      <c r="A4751" t="s">
        <v>6685</v>
      </c>
    </row>
    <row r="4752" spans="1:1" x14ac:dyDescent="0.25">
      <c r="A4752" t="s">
        <v>6686</v>
      </c>
    </row>
    <row r="4753" spans="1:1" x14ac:dyDescent="0.25">
      <c r="A4753" t="s">
        <v>6687</v>
      </c>
    </row>
    <row r="4754" spans="1:1" x14ac:dyDescent="0.25">
      <c r="A4754" t="s">
        <v>6688</v>
      </c>
    </row>
    <row r="4755" spans="1:1" x14ac:dyDescent="0.25">
      <c r="A4755" t="s">
        <v>6689</v>
      </c>
    </row>
    <row r="4756" spans="1:1" x14ac:dyDescent="0.25">
      <c r="A4756" t="s">
        <v>6690</v>
      </c>
    </row>
    <row r="4757" spans="1:1" x14ac:dyDescent="0.25">
      <c r="A4757" t="s">
        <v>6691</v>
      </c>
    </row>
    <row r="4758" spans="1:1" x14ac:dyDescent="0.25">
      <c r="A4758" t="s">
        <v>6692</v>
      </c>
    </row>
    <row r="4759" spans="1:1" x14ac:dyDescent="0.25">
      <c r="A4759" t="s">
        <v>6693</v>
      </c>
    </row>
    <row r="4760" spans="1:1" x14ac:dyDescent="0.25">
      <c r="A4760" t="s">
        <v>6694</v>
      </c>
    </row>
    <row r="4761" spans="1:1" x14ac:dyDescent="0.25">
      <c r="A4761" t="s">
        <v>6695</v>
      </c>
    </row>
    <row r="4762" spans="1:1" x14ac:dyDescent="0.25">
      <c r="A4762" t="s">
        <v>6696</v>
      </c>
    </row>
    <row r="4763" spans="1:1" x14ac:dyDescent="0.25">
      <c r="A4763" t="s">
        <v>6697</v>
      </c>
    </row>
    <row r="4764" spans="1:1" x14ac:dyDescent="0.25">
      <c r="A4764" t="s">
        <v>6698</v>
      </c>
    </row>
    <row r="4765" spans="1:1" x14ac:dyDescent="0.25">
      <c r="A4765" t="s">
        <v>6699</v>
      </c>
    </row>
    <row r="4766" spans="1:1" x14ac:dyDescent="0.25">
      <c r="A4766" t="s">
        <v>6700</v>
      </c>
    </row>
    <row r="4767" spans="1:1" x14ac:dyDescent="0.25">
      <c r="A4767" t="s">
        <v>6701</v>
      </c>
    </row>
    <row r="4768" spans="1:1" x14ac:dyDescent="0.25">
      <c r="A4768" t="s">
        <v>6702</v>
      </c>
    </row>
    <row r="4769" spans="1:1" x14ac:dyDescent="0.25">
      <c r="A4769" t="s">
        <v>6703</v>
      </c>
    </row>
    <row r="4770" spans="1:1" x14ac:dyDescent="0.25">
      <c r="A4770" t="s">
        <v>6704</v>
      </c>
    </row>
    <row r="4771" spans="1:1" x14ac:dyDescent="0.25">
      <c r="A4771" t="s">
        <v>6705</v>
      </c>
    </row>
    <row r="4772" spans="1:1" x14ac:dyDescent="0.25">
      <c r="A4772" t="s">
        <v>6706</v>
      </c>
    </row>
    <row r="4773" spans="1:1" x14ac:dyDescent="0.25">
      <c r="A4773" t="s">
        <v>6707</v>
      </c>
    </row>
    <row r="4774" spans="1:1" x14ac:dyDescent="0.25">
      <c r="A4774" t="s">
        <v>6708</v>
      </c>
    </row>
    <row r="4775" spans="1:1" x14ac:dyDescent="0.25">
      <c r="A4775" t="s">
        <v>6709</v>
      </c>
    </row>
    <row r="4776" spans="1:1" x14ac:dyDescent="0.25">
      <c r="A4776" t="s">
        <v>6710</v>
      </c>
    </row>
    <row r="4777" spans="1:1" x14ac:dyDescent="0.25">
      <c r="A4777" t="s">
        <v>6711</v>
      </c>
    </row>
    <row r="4778" spans="1:1" x14ac:dyDescent="0.25">
      <c r="A4778" t="s">
        <v>6712</v>
      </c>
    </row>
    <row r="4779" spans="1:1" x14ac:dyDescent="0.25">
      <c r="A4779" t="s">
        <v>6713</v>
      </c>
    </row>
    <row r="4780" spans="1:1" x14ac:dyDescent="0.25">
      <c r="A4780" t="s">
        <v>6714</v>
      </c>
    </row>
    <row r="4781" spans="1:1" x14ac:dyDescent="0.25">
      <c r="A4781" t="s">
        <v>6715</v>
      </c>
    </row>
    <row r="4782" spans="1:1" x14ac:dyDescent="0.25">
      <c r="A4782" t="s">
        <v>6716</v>
      </c>
    </row>
    <row r="4783" spans="1:1" x14ac:dyDescent="0.25">
      <c r="A4783" t="s">
        <v>6717</v>
      </c>
    </row>
    <row r="4784" spans="1:1" x14ac:dyDescent="0.25">
      <c r="A4784" t="s">
        <v>6718</v>
      </c>
    </row>
    <row r="4785" spans="1:1" x14ac:dyDescent="0.25">
      <c r="A4785" t="s">
        <v>6719</v>
      </c>
    </row>
    <row r="4786" spans="1:1" x14ac:dyDescent="0.25">
      <c r="A4786" t="s">
        <v>6720</v>
      </c>
    </row>
    <row r="4787" spans="1:1" x14ac:dyDescent="0.25">
      <c r="A4787" t="s">
        <v>6721</v>
      </c>
    </row>
    <row r="4788" spans="1:1" x14ac:dyDescent="0.25">
      <c r="A4788" t="s">
        <v>6722</v>
      </c>
    </row>
    <row r="4789" spans="1:1" x14ac:dyDescent="0.25">
      <c r="A4789" t="s">
        <v>6723</v>
      </c>
    </row>
    <row r="4790" spans="1:1" x14ac:dyDescent="0.25">
      <c r="A4790" t="s">
        <v>6724</v>
      </c>
    </row>
    <row r="4791" spans="1:1" x14ac:dyDescent="0.25">
      <c r="A4791" t="s">
        <v>6725</v>
      </c>
    </row>
    <row r="4792" spans="1:1" x14ac:dyDescent="0.25">
      <c r="A4792" t="s">
        <v>6726</v>
      </c>
    </row>
    <row r="4793" spans="1:1" x14ac:dyDescent="0.25">
      <c r="A4793" t="s">
        <v>6727</v>
      </c>
    </row>
    <row r="4794" spans="1:1" x14ac:dyDescent="0.25">
      <c r="A4794" t="s">
        <v>6728</v>
      </c>
    </row>
    <row r="4795" spans="1:1" x14ac:dyDescent="0.25">
      <c r="A4795" t="s">
        <v>6729</v>
      </c>
    </row>
    <row r="4796" spans="1:1" x14ac:dyDescent="0.25">
      <c r="A4796" t="s">
        <v>6730</v>
      </c>
    </row>
    <row r="4797" spans="1:1" x14ac:dyDescent="0.25">
      <c r="A4797" t="s">
        <v>6731</v>
      </c>
    </row>
    <row r="4798" spans="1:1" x14ac:dyDescent="0.25">
      <c r="A4798" t="s">
        <v>6732</v>
      </c>
    </row>
    <row r="4799" spans="1:1" x14ac:dyDescent="0.25">
      <c r="A4799" t="s">
        <v>6733</v>
      </c>
    </row>
    <row r="4800" spans="1:1" x14ac:dyDescent="0.25">
      <c r="A4800" t="s">
        <v>6734</v>
      </c>
    </row>
    <row r="4801" spans="1:1" x14ac:dyDescent="0.25">
      <c r="A4801" t="s">
        <v>6735</v>
      </c>
    </row>
    <row r="4802" spans="1:1" x14ac:dyDescent="0.25">
      <c r="A4802" t="s">
        <v>6736</v>
      </c>
    </row>
    <row r="4803" spans="1:1" x14ac:dyDescent="0.25">
      <c r="A4803" t="s">
        <v>6737</v>
      </c>
    </row>
    <row r="4804" spans="1:1" x14ac:dyDescent="0.25">
      <c r="A4804" t="s">
        <v>6738</v>
      </c>
    </row>
    <row r="4805" spans="1:1" x14ac:dyDescent="0.25">
      <c r="A4805" t="s">
        <v>6739</v>
      </c>
    </row>
    <row r="4806" spans="1:1" x14ac:dyDescent="0.25">
      <c r="A4806" t="s">
        <v>6740</v>
      </c>
    </row>
    <row r="4807" spans="1:1" x14ac:dyDescent="0.25">
      <c r="A4807" t="s">
        <v>6741</v>
      </c>
    </row>
    <row r="4808" spans="1:1" x14ac:dyDescent="0.25">
      <c r="A4808" t="s">
        <v>6742</v>
      </c>
    </row>
    <row r="4809" spans="1:1" x14ac:dyDescent="0.25">
      <c r="A4809" t="s">
        <v>6743</v>
      </c>
    </row>
    <row r="4810" spans="1:1" x14ac:dyDescent="0.25">
      <c r="A4810" t="s">
        <v>6744</v>
      </c>
    </row>
    <row r="4811" spans="1:1" x14ac:dyDescent="0.25">
      <c r="A4811" t="s">
        <v>6745</v>
      </c>
    </row>
    <row r="4812" spans="1:1" x14ac:dyDescent="0.25">
      <c r="A4812" t="s">
        <v>6746</v>
      </c>
    </row>
    <row r="4813" spans="1:1" x14ac:dyDescent="0.25">
      <c r="A4813" t="s">
        <v>6747</v>
      </c>
    </row>
    <row r="4814" spans="1:1" x14ac:dyDescent="0.25">
      <c r="A4814" t="s">
        <v>6748</v>
      </c>
    </row>
    <row r="4815" spans="1:1" x14ac:dyDescent="0.25">
      <c r="A4815" t="s">
        <v>6749</v>
      </c>
    </row>
    <row r="4816" spans="1:1" x14ac:dyDescent="0.25">
      <c r="A4816" t="s">
        <v>6750</v>
      </c>
    </row>
    <row r="4817" spans="1:1" x14ac:dyDescent="0.25">
      <c r="A4817" t="s">
        <v>6751</v>
      </c>
    </row>
    <row r="4818" spans="1:1" x14ac:dyDescent="0.25">
      <c r="A4818" t="s">
        <v>6752</v>
      </c>
    </row>
    <row r="4819" spans="1:1" x14ac:dyDescent="0.25">
      <c r="A4819" t="s">
        <v>6753</v>
      </c>
    </row>
    <row r="4820" spans="1:1" x14ac:dyDescent="0.25">
      <c r="A4820" t="s">
        <v>6754</v>
      </c>
    </row>
    <row r="4821" spans="1:1" x14ac:dyDescent="0.25">
      <c r="A4821" t="s">
        <v>6755</v>
      </c>
    </row>
    <row r="4822" spans="1:1" x14ac:dyDescent="0.25">
      <c r="A4822" t="s">
        <v>6756</v>
      </c>
    </row>
    <row r="4823" spans="1:1" x14ac:dyDescent="0.25">
      <c r="A4823" t="s">
        <v>6757</v>
      </c>
    </row>
    <row r="4824" spans="1:1" x14ac:dyDescent="0.25">
      <c r="A4824" t="s">
        <v>6758</v>
      </c>
    </row>
    <row r="4825" spans="1:1" x14ac:dyDescent="0.25">
      <c r="A4825" t="s">
        <v>6759</v>
      </c>
    </row>
    <row r="4826" spans="1:1" x14ac:dyDescent="0.25">
      <c r="A4826" t="s">
        <v>6760</v>
      </c>
    </row>
    <row r="4827" spans="1:1" x14ac:dyDescent="0.25">
      <c r="A4827" t="s">
        <v>6761</v>
      </c>
    </row>
    <row r="4828" spans="1:1" x14ac:dyDescent="0.25">
      <c r="A4828" t="s">
        <v>6762</v>
      </c>
    </row>
    <row r="4829" spans="1:1" x14ac:dyDescent="0.25">
      <c r="A4829" t="s">
        <v>6763</v>
      </c>
    </row>
    <row r="4830" spans="1:1" x14ac:dyDescent="0.25">
      <c r="A4830" t="s">
        <v>6764</v>
      </c>
    </row>
    <row r="4831" spans="1:1" x14ac:dyDescent="0.25">
      <c r="A4831" t="s">
        <v>6765</v>
      </c>
    </row>
    <row r="4832" spans="1:1" x14ac:dyDescent="0.25">
      <c r="A4832" t="s">
        <v>6766</v>
      </c>
    </row>
    <row r="4833" spans="1:1" x14ac:dyDescent="0.25">
      <c r="A4833" t="s">
        <v>6767</v>
      </c>
    </row>
    <row r="4834" spans="1:1" x14ac:dyDescent="0.25">
      <c r="A4834" t="s">
        <v>6768</v>
      </c>
    </row>
    <row r="4835" spans="1:1" x14ac:dyDescent="0.25">
      <c r="A4835" t="s">
        <v>6769</v>
      </c>
    </row>
    <row r="4836" spans="1:1" x14ac:dyDescent="0.25">
      <c r="A4836" t="s">
        <v>6770</v>
      </c>
    </row>
    <row r="4837" spans="1:1" x14ac:dyDescent="0.25">
      <c r="A4837" t="s">
        <v>6771</v>
      </c>
    </row>
    <row r="4838" spans="1:1" x14ac:dyDescent="0.25">
      <c r="A4838" t="s">
        <v>6772</v>
      </c>
    </row>
    <row r="4839" spans="1:1" x14ac:dyDescent="0.25">
      <c r="A4839" t="s">
        <v>6773</v>
      </c>
    </row>
    <row r="4840" spans="1:1" x14ac:dyDescent="0.25">
      <c r="A4840" t="s">
        <v>6774</v>
      </c>
    </row>
    <row r="4841" spans="1:1" x14ac:dyDescent="0.25">
      <c r="A4841" t="s">
        <v>6775</v>
      </c>
    </row>
    <row r="4842" spans="1:1" x14ac:dyDescent="0.25">
      <c r="A4842" t="s">
        <v>6776</v>
      </c>
    </row>
    <row r="4843" spans="1:1" x14ac:dyDescent="0.25">
      <c r="A4843" t="s">
        <v>6777</v>
      </c>
    </row>
    <row r="4844" spans="1:1" x14ac:dyDescent="0.25">
      <c r="A4844" t="s">
        <v>6778</v>
      </c>
    </row>
    <row r="4845" spans="1:1" x14ac:dyDescent="0.25">
      <c r="A4845" t="s">
        <v>6779</v>
      </c>
    </row>
    <row r="4846" spans="1:1" x14ac:dyDescent="0.25">
      <c r="A4846" t="s">
        <v>6780</v>
      </c>
    </row>
    <row r="4847" spans="1:1" x14ac:dyDescent="0.25">
      <c r="A4847" t="s">
        <v>6781</v>
      </c>
    </row>
    <row r="4848" spans="1:1" x14ac:dyDescent="0.25">
      <c r="A4848" t="s">
        <v>6782</v>
      </c>
    </row>
    <row r="4849" spans="1:1" x14ac:dyDescent="0.25">
      <c r="A4849" t="s">
        <v>6783</v>
      </c>
    </row>
    <row r="4850" spans="1:1" x14ac:dyDescent="0.25">
      <c r="A4850" t="s">
        <v>6784</v>
      </c>
    </row>
    <row r="4851" spans="1:1" x14ac:dyDescent="0.25">
      <c r="A4851" t="s">
        <v>6785</v>
      </c>
    </row>
    <row r="4852" spans="1:1" x14ac:dyDescent="0.25">
      <c r="A4852" t="s">
        <v>6786</v>
      </c>
    </row>
    <row r="4853" spans="1:1" x14ac:dyDescent="0.25">
      <c r="A4853" t="s">
        <v>6787</v>
      </c>
    </row>
    <row r="4854" spans="1:1" x14ac:dyDescent="0.25">
      <c r="A4854" t="s">
        <v>6788</v>
      </c>
    </row>
    <row r="4855" spans="1:1" x14ac:dyDescent="0.25">
      <c r="A4855" t="s">
        <v>6789</v>
      </c>
    </row>
    <row r="4856" spans="1:1" x14ac:dyDescent="0.25">
      <c r="A4856" t="s">
        <v>6790</v>
      </c>
    </row>
    <row r="4857" spans="1:1" x14ac:dyDescent="0.25">
      <c r="A4857" t="s">
        <v>6791</v>
      </c>
    </row>
    <row r="4858" spans="1:1" x14ac:dyDescent="0.25">
      <c r="A4858" t="s">
        <v>6792</v>
      </c>
    </row>
    <row r="4859" spans="1:1" x14ac:dyDescent="0.25">
      <c r="A4859" t="s">
        <v>6793</v>
      </c>
    </row>
    <row r="4860" spans="1:1" x14ac:dyDescent="0.25">
      <c r="A4860" t="s">
        <v>6794</v>
      </c>
    </row>
    <row r="4861" spans="1:1" x14ac:dyDescent="0.25">
      <c r="A4861" t="s">
        <v>6795</v>
      </c>
    </row>
    <row r="4862" spans="1:1" x14ac:dyDescent="0.25">
      <c r="A4862" t="s">
        <v>6796</v>
      </c>
    </row>
    <row r="4863" spans="1:1" x14ac:dyDescent="0.25">
      <c r="A4863" t="s">
        <v>6797</v>
      </c>
    </row>
    <row r="4864" spans="1:1" x14ac:dyDescent="0.25">
      <c r="A4864" t="s">
        <v>6798</v>
      </c>
    </row>
    <row r="4865" spans="1:1" x14ac:dyDescent="0.25">
      <c r="A4865" t="s">
        <v>6799</v>
      </c>
    </row>
    <row r="4866" spans="1:1" x14ac:dyDescent="0.25">
      <c r="A4866" t="s">
        <v>6800</v>
      </c>
    </row>
    <row r="4867" spans="1:1" x14ac:dyDescent="0.25">
      <c r="A4867" t="s">
        <v>6801</v>
      </c>
    </row>
    <row r="4868" spans="1:1" x14ac:dyDescent="0.25">
      <c r="A4868" t="s">
        <v>6802</v>
      </c>
    </row>
    <row r="4869" spans="1:1" x14ac:dyDescent="0.25">
      <c r="A4869" t="s">
        <v>6803</v>
      </c>
    </row>
    <row r="4870" spans="1:1" x14ac:dyDescent="0.25">
      <c r="A4870" t="s">
        <v>6804</v>
      </c>
    </row>
    <row r="4871" spans="1:1" x14ac:dyDescent="0.25">
      <c r="A4871" t="s">
        <v>6805</v>
      </c>
    </row>
    <row r="4872" spans="1:1" x14ac:dyDescent="0.25">
      <c r="A4872" t="s">
        <v>6806</v>
      </c>
    </row>
    <row r="4873" spans="1:1" x14ac:dyDescent="0.25">
      <c r="A4873" t="s">
        <v>6807</v>
      </c>
    </row>
    <row r="4874" spans="1:1" x14ac:dyDescent="0.25">
      <c r="A4874" t="s">
        <v>6808</v>
      </c>
    </row>
    <row r="4875" spans="1:1" x14ac:dyDescent="0.25">
      <c r="A4875" t="s">
        <v>6809</v>
      </c>
    </row>
    <row r="4876" spans="1:1" x14ac:dyDescent="0.25">
      <c r="A4876" t="s">
        <v>6810</v>
      </c>
    </row>
    <row r="4877" spans="1:1" x14ac:dyDescent="0.25">
      <c r="A4877" t="s">
        <v>6811</v>
      </c>
    </row>
    <row r="4878" spans="1:1" x14ac:dyDescent="0.25">
      <c r="A4878" t="s">
        <v>6812</v>
      </c>
    </row>
    <row r="4879" spans="1:1" x14ac:dyDescent="0.25">
      <c r="A4879" t="s">
        <v>6813</v>
      </c>
    </row>
    <row r="4880" spans="1:1" x14ac:dyDescent="0.25">
      <c r="A4880" t="s">
        <v>6814</v>
      </c>
    </row>
    <row r="4881" spans="1:1" x14ac:dyDescent="0.25">
      <c r="A4881" t="s">
        <v>6815</v>
      </c>
    </row>
    <row r="4882" spans="1:1" x14ac:dyDescent="0.25">
      <c r="A4882" t="s">
        <v>6816</v>
      </c>
    </row>
    <row r="4883" spans="1:1" x14ac:dyDescent="0.25">
      <c r="A4883" t="s">
        <v>6817</v>
      </c>
    </row>
    <row r="4884" spans="1:1" x14ac:dyDescent="0.25">
      <c r="A4884" t="s">
        <v>6818</v>
      </c>
    </row>
    <row r="4885" spans="1:1" x14ac:dyDescent="0.25">
      <c r="A4885" t="s">
        <v>6819</v>
      </c>
    </row>
    <row r="4886" spans="1:1" x14ac:dyDescent="0.25">
      <c r="A4886" t="s">
        <v>6820</v>
      </c>
    </row>
    <row r="4887" spans="1:1" x14ac:dyDescent="0.25">
      <c r="A4887" t="s">
        <v>6821</v>
      </c>
    </row>
    <row r="4888" spans="1:1" x14ac:dyDescent="0.25">
      <c r="A4888" t="s">
        <v>6822</v>
      </c>
    </row>
    <row r="4889" spans="1:1" x14ac:dyDescent="0.25">
      <c r="A4889" t="s">
        <v>6823</v>
      </c>
    </row>
    <row r="4890" spans="1:1" x14ac:dyDescent="0.25">
      <c r="A4890" t="s">
        <v>6824</v>
      </c>
    </row>
    <row r="4891" spans="1:1" x14ac:dyDescent="0.25">
      <c r="A4891" t="s">
        <v>6825</v>
      </c>
    </row>
    <row r="4892" spans="1:1" x14ac:dyDescent="0.25">
      <c r="A4892" t="s">
        <v>6826</v>
      </c>
    </row>
    <row r="4893" spans="1:1" x14ac:dyDescent="0.25">
      <c r="A4893" t="s">
        <v>6827</v>
      </c>
    </row>
    <row r="4894" spans="1:1" x14ac:dyDescent="0.25">
      <c r="A4894" t="s">
        <v>6828</v>
      </c>
    </row>
    <row r="4895" spans="1:1" x14ac:dyDescent="0.25">
      <c r="A4895" t="s">
        <v>6829</v>
      </c>
    </row>
    <row r="4896" spans="1:1" x14ac:dyDescent="0.25">
      <c r="A4896" t="s">
        <v>6830</v>
      </c>
    </row>
    <row r="4897" spans="1:1" x14ac:dyDescent="0.25">
      <c r="A4897" t="s">
        <v>6831</v>
      </c>
    </row>
    <row r="4898" spans="1:1" x14ac:dyDescent="0.25">
      <c r="A4898" t="s">
        <v>6832</v>
      </c>
    </row>
    <row r="4899" spans="1:1" x14ac:dyDescent="0.25">
      <c r="A4899" t="s">
        <v>6833</v>
      </c>
    </row>
    <row r="4900" spans="1:1" x14ac:dyDescent="0.25">
      <c r="A4900" t="s">
        <v>6834</v>
      </c>
    </row>
    <row r="4901" spans="1:1" x14ac:dyDescent="0.25">
      <c r="A4901" t="s">
        <v>6835</v>
      </c>
    </row>
    <row r="4902" spans="1:1" x14ac:dyDescent="0.25">
      <c r="A4902" t="s">
        <v>6836</v>
      </c>
    </row>
    <row r="4903" spans="1:1" x14ac:dyDescent="0.25">
      <c r="A4903" t="s">
        <v>6837</v>
      </c>
    </row>
    <row r="4904" spans="1:1" x14ac:dyDescent="0.25">
      <c r="A4904" t="s">
        <v>6838</v>
      </c>
    </row>
    <row r="4905" spans="1:1" x14ac:dyDescent="0.25">
      <c r="A4905" t="s">
        <v>6839</v>
      </c>
    </row>
    <row r="4906" spans="1:1" x14ac:dyDescent="0.25">
      <c r="A4906" t="s">
        <v>6840</v>
      </c>
    </row>
    <row r="4907" spans="1:1" x14ac:dyDescent="0.25">
      <c r="A4907" t="s">
        <v>6841</v>
      </c>
    </row>
    <row r="4908" spans="1:1" x14ac:dyDescent="0.25">
      <c r="A4908" t="s">
        <v>6842</v>
      </c>
    </row>
    <row r="4909" spans="1:1" x14ac:dyDescent="0.25">
      <c r="A4909" t="s">
        <v>6843</v>
      </c>
    </row>
    <row r="4910" spans="1:1" x14ac:dyDescent="0.25">
      <c r="A4910" t="s">
        <v>6844</v>
      </c>
    </row>
    <row r="4911" spans="1:1" x14ac:dyDescent="0.25">
      <c r="A4911" t="s">
        <v>6845</v>
      </c>
    </row>
    <row r="4912" spans="1:1" x14ac:dyDescent="0.25">
      <c r="A4912" t="s">
        <v>6846</v>
      </c>
    </row>
    <row r="4913" spans="1:1" x14ac:dyDescent="0.25">
      <c r="A4913" t="s">
        <v>6847</v>
      </c>
    </row>
    <row r="4914" spans="1:1" x14ac:dyDescent="0.25">
      <c r="A4914" t="s">
        <v>6848</v>
      </c>
    </row>
    <row r="4915" spans="1:1" x14ac:dyDescent="0.25">
      <c r="A4915" t="s">
        <v>6849</v>
      </c>
    </row>
    <row r="4916" spans="1:1" x14ac:dyDescent="0.25">
      <c r="A4916" t="s">
        <v>6850</v>
      </c>
    </row>
    <row r="4917" spans="1:1" x14ac:dyDescent="0.25">
      <c r="A4917" t="s">
        <v>6851</v>
      </c>
    </row>
    <row r="4918" spans="1:1" x14ac:dyDescent="0.25">
      <c r="A4918" t="s">
        <v>6852</v>
      </c>
    </row>
    <row r="4919" spans="1:1" x14ac:dyDescent="0.25">
      <c r="A4919" t="s">
        <v>6853</v>
      </c>
    </row>
    <row r="4920" spans="1:1" x14ac:dyDescent="0.25">
      <c r="A4920" t="s">
        <v>6854</v>
      </c>
    </row>
    <row r="4921" spans="1:1" x14ac:dyDescent="0.25">
      <c r="A4921" t="s">
        <v>6855</v>
      </c>
    </row>
    <row r="4922" spans="1:1" x14ac:dyDescent="0.25">
      <c r="A4922" t="s">
        <v>6856</v>
      </c>
    </row>
    <row r="4923" spans="1:1" x14ac:dyDescent="0.25">
      <c r="A4923" t="s">
        <v>6857</v>
      </c>
    </row>
    <row r="4924" spans="1:1" x14ac:dyDescent="0.25">
      <c r="A4924" t="s">
        <v>6858</v>
      </c>
    </row>
    <row r="4925" spans="1:1" x14ac:dyDescent="0.25">
      <c r="A4925" t="s">
        <v>6859</v>
      </c>
    </row>
    <row r="4926" spans="1:1" x14ac:dyDescent="0.25">
      <c r="A4926" t="s">
        <v>6860</v>
      </c>
    </row>
    <row r="4927" spans="1:1" x14ac:dyDescent="0.25">
      <c r="A4927" t="s">
        <v>6861</v>
      </c>
    </row>
    <row r="4928" spans="1:1" x14ac:dyDescent="0.25">
      <c r="A4928" t="s">
        <v>6862</v>
      </c>
    </row>
    <row r="4929" spans="1:1" x14ac:dyDescent="0.25">
      <c r="A4929" t="s">
        <v>6863</v>
      </c>
    </row>
    <row r="4930" spans="1:1" x14ac:dyDescent="0.25">
      <c r="A4930" t="s">
        <v>6864</v>
      </c>
    </row>
    <row r="4931" spans="1:1" x14ac:dyDescent="0.25">
      <c r="A4931" t="s">
        <v>6865</v>
      </c>
    </row>
    <row r="4932" spans="1:1" x14ac:dyDescent="0.25">
      <c r="A4932" t="s">
        <v>6866</v>
      </c>
    </row>
    <row r="4933" spans="1:1" x14ac:dyDescent="0.25">
      <c r="A4933" t="s">
        <v>6867</v>
      </c>
    </row>
    <row r="4934" spans="1:1" x14ac:dyDescent="0.25">
      <c r="A4934" t="s">
        <v>6868</v>
      </c>
    </row>
    <row r="4935" spans="1:1" x14ac:dyDescent="0.25">
      <c r="A4935" t="s">
        <v>6869</v>
      </c>
    </row>
    <row r="4936" spans="1:1" x14ac:dyDescent="0.25">
      <c r="A4936" t="s">
        <v>6870</v>
      </c>
    </row>
    <row r="4937" spans="1:1" x14ac:dyDescent="0.25">
      <c r="A4937" t="s">
        <v>6871</v>
      </c>
    </row>
    <row r="4938" spans="1:1" x14ac:dyDescent="0.25">
      <c r="A4938" t="s">
        <v>6872</v>
      </c>
    </row>
    <row r="4939" spans="1:1" x14ac:dyDescent="0.25">
      <c r="A4939" t="s">
        <v>6873</v>
      </c>
    </row>
    <row r="4940" spans="1:1" x14ac:dyDescent="0.25">
      <c r="A4940" t="s">
        <v>6874</v>
      </c>
    </row>
    <row r="4941" spans="1:1" x14ac:dyDescent="0.25">
      <c r="A4941" t="s">
        <v>6875</v>
      </c>
    </row>
    <row r="4942" spans="1:1" x14ac:dyDescent="0.25">
      <c r="A4942" t="s">
        <v>6876</v>
      </c>
    </row>
    <row r="4943" spans="1:1" x14ac:dyDescent="0.25">
      <c r="A4943" t="s">
        <v>6877</v>
      </c>
    </row>
    <row r="4944" spans="1:1" x14ac:dyDescent="0.25">
      <c r="A4944" t="s">
        <v>6878</v>
      </c>
    </row>
    <row r="4945" spans="1:1" x14ac:dyDescent="0.25">
      <c r="A4945" t="s">
        <v>6879</v>
      </c>
    </row>
    <row r="4946" spans="1:1" x14ac:dyDescent="0.25">
      <c r="A4946" t="s">
        <v>6880</v>
      </c>
    </row>
    <row r="4947" spans="1:1" x14ac:dyDescent="0.25">
      <c r="A4947" t="s">
        <v>6881</v>
      </c>
    </row>
    <row r="4948" spans="1:1" x14ac:dyDescent="0.25">
      <c r="A4948" t="s">
        <v>6882</v>
      </c>
    </row>
    <row r="4949" spans="1:1" x14ac:dyDescent="0.25">
      <c r="A4949" t="s">
        <v>6883</v>
      </c>
    </row>
    <row r="4950" spans="1:1" x14ac:dyDescent="0.25">
      <c r="A4950" t="s">
        <v>6884</v>
      </c>
    </row>
    <row r="4951" spans="1:1" x14ac:dyDescent="0.25">
      <c r="A4951" t="s">
        <v>6885</v>
      </c>
    </row>
    <row r="4952" spans="1:1" x14ac:dyDescent="0.25">
      <c r="A4952" t="s">
        <v>6886</v>
      </c>
    </row>
    <row r="4953" spans="1:1" x14ac:dyDescent="0.25">
      <c r="A4953" t="s">
        <v>6887</v>
      </c>
    </row>
    <row r="4954" spans="1:1" x14ac:dyDescent="0.25">
      <c r="A4954" t="s">
        <v>6888</v>
      </c>
    </row>
    <row r="4955" spans="1:1" x14ac:dyDescent="0.25">
      <c r="A4955" t="s">
        <v>6889</v>
      </c>
    </row>
    <row r="4956" spans="1:1" x14ac:dyDescent="0.25">
      <c r="A4956" t="s">
        <v>6890</v>
      </c>
    </row>
    <row r="4957" spans="1:1" x14ac:dyDescent="0.25">
      <c r="A4957" t="s">
        <v>6891</v>
      </c>
    </row>
    <row r="4958" spans="1:1" x14ac:dyDescent="0.25">
      <c r="A4958" t="s">
        <v>6892</v>
      </c>
    </row>
    <row r="4959" spans="1:1" x14ac:dyDescent="0.25">
      <c r="A4959" t="s">
        <v>6893</v>
      </c>
    </row>
    <row r="4960" spans="1:1" x14ac:dyDescent="0.25">
      <c r="A4960" t="s">
        <v>6894</v>
      </c>
    </row>
    <row r="4961" spans="1:1" x14ac:dyDescent="0.25">
      <c r="A4961" t="s">
        <v>6895</v>
      </c>
    </row>
    <row r="4962" spans="1:1" x14ac:dyDescent="0.25">
      <c r="A4962" t="s">
        <v>6896</v>
      </c>
    </row>
    <row r="4963" spans="1:1" x14ac:dyDescent="0.25">
      <c r="A4963" t="s">
        <v>6897</v>
      </c>
    </row>
    <row r="4964" spans="1:1" x14ac:dyDescent="0.25">
      <c r="A4964" t="s">
        <v>6898</v>
      </c>
    </row>
    <row r="4965" spans="1:1" x14ac:dyDescent="0.25">
      <c r="A4965" t="s">
        <v>6899</v>
      </c>
    </row>
    <row r="4966" spans="1:1" x14ac:dyDescent="0.25">
      <c r="A4966" t="s">
        <v>6900</v>
      </c>
    </row>
    <row r="4967" spans="1:1" x14ac:dyDescent="0.25">
      <c r="A4967" t="s">
        <v>6901</v>
      </c>
    </row>
    <row r="4968" spans="1:1" x14ac:dyDescent="0.25">
      <c r="A4968" t="s">
        <v>6902</v>
      </c>
    </row>
    <row r="4969" spans="1:1" x14ac:dyDescent="0.25">
      <c r="A4969" t="s">
        <v>6903</v>
      </c>
    </row>
    <row r="4970" spans="1:1" x14ac:dyDescent="0.25">
      <c r="A4970" t="s">
        <v>6904</v>
      </c>
    </row>
    <row r="4971" spans="1:1" x14ac:dyDescent="0.25">
      <c r="A4971" t="s">
        <v>6905</v>
      </c>
    </row>
    <row r="4972" spans="1:1" x14ac:dyDescent="0.25">
      <c r="A4972" t="s">
        <v>6906</v>
      </c>
    </row>
    <row r="4973" spans="1:1" x14ac:dyDescent="0.25">
      <c r="A4973" t="s">
        <v>6907</v>
      </c>
    </row>
    <row r="4974" spans="1:1" x14ac:dyDescent="0.25">
      <c r="A4974" t="s">
        <v>6908</v>
      </c>
    </row>
    <row r="4975" spans="1:1" x14ac:dyDescent="0.25">
      <c r="A4975" t="s">
        <v>6909</v>
      </c>
    </row>
    <row r="4976" spans="1:1" x14ac:dyDescent="0.25">
      <c r="A4976" t="s">
        <v>6910</v>
      </c>
    </row>
    <row r="4977" spans="1:1" x14ac:dyDescent="0.25">
      <c r="A4977" t="s">
        <v>6911</v>
      </c>
    </row>
    <row r="4978" spans="1:1" x14ac:dyDescent="0.25">
      <c r="A4978" t="s">
        <v>6912</v>
      </c>
    </row>
    <row r="4979" spans="1:1" x14ac:dyDescent="0.25">
      <c r="A4979" t="s">
        <v>6913</v>
      </c>
    </row>
    <row r="4980" spans="1:1" x14ac:dyDescent="0.25">
      <c r="A4980" t="s">
        <v>6914</v>
      </c>
    </row>
    <row r="4981" spans="1:1" x14ac:dyDescent="0.25">
      <c r="A4981" t="s">
        <v>6915</v>
      </c>
    </row>
    <row r="4982" spans="1:1" x14ac:dyDescent="0.25">
      <c r="A4982" t="s">
        <v>6916</v>
      </c>
    </row>
    <row r="4983" spans="1:1" x14ac:dyDescent="0.25">
      <c r="A4983" t="s">
        <v>6917</v>
      </c>
    </row>
    <row r="4984" spans="1:1" x14ac:dyDescent="0.25">
      <c r="A4984" t="s">
        <v>6918</v>
      </c>
    </row>
    <row r="4985" spans="1:1" x14ac:dyDescent="0.25">
      <c r="A4985" t="s">
        <v>6919</v>
      </c>
    </row>
    <row r="4986" spans="1:1" x14ac:dyDescent="0.25">
      <c r="A4986" t="s">
        <v>6920</v>
      </c>
    </row>
    <row r="4987" spans="1:1" x14ac:dyDescent="0.25">
      <c r="A4987" t="s">
        <v>6921</v>
      </c>
    </row>
    <row r="4988" spans="1:1" x14ac:dyDescent="0.25">
      <c r="A4988" t="s">
        <v>6922</v>
      </c>
    </row>
    <row r="4989" spans="1:1" x14ac:dyDescent="0.25">
      <c r="A4989" t="s">
        <v>6923</v>
      </c>
    </row>
    <row r="4990" spans="1:1" x14ac:dyDescent="0.25">
      <c r="A4990" t="s">
        <v>6924</v>
      </c>
    </row>
    <row r="4991" spans="1:1" x14ac:dyDescent="0.25">
      <c r="A4991" t="s">
        <v>6925</v>
      </c>
    </row>
    <row r="4992" spans="1:1" x14ac:dyDescent="0.25">
      <c r="A4992" t="s">
        <v>6926</v>
      </c>
    </row>
    <row r="4993" spans="1:1" x14ac:dyDescent="0.25">
      <c r="A4993" t="s">
        <v>6927</v>
      </c>
    </row>
    <row r="4994" spans="1:1" x14ac:dyDescent="0.25">
      <c r="A4994" t="s">
        <v>6928</v>
      </c>
    </row>
    <row r="4995" spans="1:1" x14ac:dyDescent="0.25">
      <c r="A4995" t="s">
        <v>6929</v>
      </c>
    </row>
    <row r="4996" spans="1:1" x14ac:dyDescent="0.25">
      <c r="A4996" t="s">
        <v>6930</v>
      </c>
    </row>
    <row r="4997" spans="1:1" x14ac:dyDescent="0.25">
      <c r="A4997" t="s">
        <v>6931</v>
      </c>
    </row>
    <row r="4998" spans="1:1" x14ac:dyDescent="0.25">
      <c r="A4998" t="s">
        <v>6932</v>
      </c>
    </row>
    <row r="4999" spans="1:1" x14ac:dyDescent="0.25">
      <c r="A4999" t="s">
        <v>6933</v>
      </c>
    </row>
    <row r="5000" spans="1:1" x14ac:dyDescent="0.25">
      <c r="A5000" t="s">
        <v>6934</v>
      </c>
    </row>
    <row r="5001" spans="1:1" x14ac:dyDescent="0.25">
      <c r="A5001" t="s">
        <v>6935</v>
      </c>
    </row>
    <row r="5002" spans="1:1" x14ac:dyDescent="0.25">
      <c r="A5002" t="s">
        <v>6936</v>
      </c>
    </row>
    <row r="5003" spans="1:1" x14ac:dyDescent="0.25">
      <c r="A5003" t="s">
        <v>6937</v>
      </c>
    </row>
    <row r="5004" spans="1:1" x14ac:dyDescent="0.25">
      <c r="A5004" t="s">
        <v>6938</v>
      </c>
    </row>
    <row r="5005" spans="1:1" x14ac:dyDescent="0.25">
      <c r="A5005" t="s">
        <v>6939</v>
      </c>
    </row>
    <row r="5006" spans="1:1" x14ac:dyDescent="0.25">
      <c r="A5006" t="s">
        <v>6940</v>
      </c>
    </row>
    <row r="5007" spans="1:1" x14ac:dyDescent="0.25">
      <c r="A5007" t="s">
        <v>6941</v>
      </c>
    </row>
    <row r="5008" spans="1:1" x14ac:dyDescent="0.25">
      <c r="A5008" t="s">
        <v>6942</v>
      </c>
    </row>
    <row r="5009" spans="1:1" x14ac:dyDescent="0.25">
      <c r="A5009" t="s">
        <v>6943</v>
      </c>
    </row>
    <row r="5010" spans="1:1" x14ac:dyDescent="0.25">
      <c r="A5010" t="s">
        <v>6944</v>
      </c>
    </row>
    <row r="5011" spans="1:1" x14ac:dyDescent="0.25">
      <c r="A5011" t="s">
        <v>6945</v>
      </c>
    </row>
    <row r="5012" spans="1:1" x14ac:dyDescent="0.25">
      <c r="A5012" t="s">
        <v>6946</v>
      </c>
    </row>
    <row r="5013" spans="1:1" x14ac:dyDescent="0.25">
      <c r="A5013" t="s">
        <v>6947</v>
      </c>
    </row>
    <row r="5014" spans="1:1" x14ac:dyDescent="0.25">
      <c r="A5014" t="s">
        <v>6948</v>
      </c>
    </row>
    <row r="5015" spans="1:1" x14ac:dyDescent="0.25">
      <c r="A5015" t="s">
        <v>6949</v>
      </c>
    </row>
    <row r="5016" spans="1:1" x14ac:dyDescent="0.25">
      <c r="A5016" t="s">
        <v>6950</v>
      </c>
    </row>
    <row r="5017" spans="1:1" x14ac:dyDescent="0.25">
      <c r="A5017" t="s">
        <v>6951</v>
      </c>
    </row>
    <row r="5018" spans="1:1" x14ac:dyDescent="0.25">
      <c r="A5018" t="s">
        <v>6952</v>
      </c>
    </row>
    <row r="5019" spans="1:1" x14ac:dyDescent="0.25">
      <c r="A5019" t="s">
        <v>6953</v>
      </c>
    </row>
    <row r="5020" spans="1:1" x14ac:dyDescent="0.25">
      <c r="A5020" t="s">
        <v>6954</v>
      </c>
    </row>
    <row r="5021" spans="1:1" x14ac:dyDescent="0.25">
      <c r="A5021" t="s">
        <v>6955</v>
      </c>
    </row>
    <row r="5022" spans="1:1" x14ac:dyDescent="0.25">
      <c r="A5022" t="s">
        <v>6956</v>
      </c>
    </row>
    <row r="5023" spans="1:1" x14ac:dyDescent="0.25">
      <c r="A5023" t="s">
        <v>6957</v>
      </c>
    </row>
    <row r="5024" spans="1:1" x14ac:dyDescent="0.25">
      <c r="A5024" t="s">
        <v>6958</v>
      </c>
    </row>
    <row r="5025" spans="1:1" x14ac:dyDescent="0.25">
      <c r="A5025" t="s">
        <v>6959</v>
      </c>
    </row>
    <row r="5026" spans="1:1" x14ac:dyDescent="0.25">
      <c r="A5026" t="s">
        <v>6960</v>
      </c>
    </row>
    <row r="5027" spans="1:1" x14ac:dyDescent="0.25">
      <c r="A5027" t="s">
        <v>6961</v>
      </c>
    </row>
    <row r="5028" spans="1:1" x14ac:dyDescent="0.25">
      <c r="A5028" t="s">
        <v>6962</v>
      </c>
    </row>
    <row r="5029" spans="1:1" x14ac:dyDescent="0.25">
      <c r="A5029" t="s">
        <v>6963</v>
      </c>
    </row>
    <row r="5030" spans="1:1" x14ac:dyDescent="0.25">
      <c r="A5030" t="s">
        <v>6964</v>
      </c>
    </row>
    <row r="5031" spans="1:1" x14ac:dyDescent="0.25">
      <c r="A5031" t="s">
        <v>6965</v>
      </c>
    </row>
    <row r="5032" spans="1:1" x14ac:dyDescent="0.25">
      <c r="A5032" t="s">
        <v>6966</v>
      </c>
    </row>
    <row r="5033" spans="1:1" x14ac:dyDescent="0.25">
      <c r="A5033" t="s">
        <v>6967</v>
      </c>
    </row>
    <row r="5034" spans="1:1" x14ac:dyDescent="0.25">
      <c r="A5034" t="s">
        <v>6968</v>
      </c>
    </row>
    <row r="5035" spans="1:1" x14ac:dyDescent="0.25">
      <c r="A5035" t="s">
        <v>6969</v>
      </c>
    </row>
    <row r="5036" spans="1:1" x14ac:dyDescent="0.25">
      <c r="A5036" t="s">
        <v>6970</v>
      </c>
    </row>
    <row r="5037" spans="1:1" x14ac:dyDescent="0.25">
      <c r="A5037" t="s">
        <v>6971</v>
      </c>
    </row>
    <row r="5038" spans="1:1" x14ac:dyDescent="0.25">
      <c r="A5038" t="s">
        <v>6972</v>
      </c>
    </row>
    <row r="5039" spans="1:1" x14ac:dyDescent="0.25">
      <c r="A5039" t="s">
        <v>6973</v>
      </c>
    </row>
    <row r="5040" spans="1:1" x14ac:dyDescent="0.25">
      <c r="A5040" t="s">
        <v>6974</v>
      </c>
    </row>
    <row r="5041" spans="1:1" x14ac:dyDescent="0.25">
      <c r="A5041" t="s">
        <v>6975</v>
      </c>
    </row>
    <row r="5042" spans="1:1" x14ac:dyDescent="0.25">
      <c r="A5042" t="s">
        <v>6976</v>
      </c>
    </row>
    <row r="5043" spans="1:1" x14ac:dyDescent="0.25">
      <c r="A5043" t="s">
        <v>6977</v>
      </c>
    </row>
    <row r="5044" spans="1:1" x14ac:dyDescent="0.25">
      <c r="A5044" t="s">
        <v>6978</v>
      </c>
    </row>
    <row r="5045" spans="1:1" x14ac:dyDescent="0.25">
      <c r="A5045" t="s">
        <v>6979</v>
      </c>
    </row>
    <row r="5046" spans="1:1" x14ac:dyDescent="0.25">
      <c r="A5046" t="s">
        <v>6980</v>
      </c>
    </row>
    <row r="5047" spans="1:1" x14ac:dyDescent="0.25">
      <c r="A5047" t="s">
        <v>6981</v>
      </c>
    </row>
    <row r="5048" spans="1:1" x14ac:dyDescent="0.25">
      <c r="A5048" t="s">
        <v>6982</v>
      </c>
    </row>
    <row r="5049" spans="1:1" x14ac:dyDescent="0.25">
      <c r="A5049" t="s">
        <v>6983</v>
      </c>
    </row>
    <row r="5050" spans="1:1" x14ac:dyDescent="0.25">
      <c r="A5050" t="s">
        <v>6984</v>
      </c>
    </row>
    <row r="5051" spans="1:1" x14ac:dyDescent="0.25">
      <c r="A5051" t="s">
        <v>6985</v>
      </c>
    </row>
    <row r="5052" spans="1:1" x14ac:dyDescent="0.25">
      <c r="A5052" t="s">
        <v>6986</v>
      </c>
    </row>
    <row r="5053" spans="1:1" x14ac:dyDescent="0.25">
      <c r="A5053" t="s">
        <v>6987</v>
      </c>
    </row>
    <row r="5054" spans="1:1" x14ac:dyDescent="0.25">
      <c r="A5054" t="s">
        <v>6988</v>
      </c>
    </row>
    <row r="5055" spans="1:1" x14ac:dyDescent="0.25">
      <c r="A5055" t="s">
        <v>6989</v>
      </c>
    </row>
    <row r="5056" spans="1:1" x14ac:dyDescent="0.25">
      <c r="A5056" t="s">
        <v>6990</v>
      </c>
    </row>
    <row r="5057" spans="1:1" x14ac:dyDescent="0.25">
      <c r="A5057" t="s">
        <v>6991</v>
      </c>
    </row>
    <row r="5058" spans="1:1" x14ac:dyDescent="0.25">
      <c r="A5058" t="s">
        <v>6992</v>
      </c>
    </row>
    <row r="5059" spans="1:1" x14ac:dyDescent="0.25">
      <c r="A5059" t="s">
        <v>6993</v>
      </c>
    </row>
    <row r="5060" spans="1:1" x14ac:dyDescent="0.25">
      <c r="A5060" t="s">
        <v>6994</v>
      </c>
    </row>
    <row r="5061" spans="1:1" x14ac:dyDescent="0.25">
      <c r="A5061" t="s">
        <v>6995</v>
      </c>
    </row>
    <row r="5062" spans="1:1" x14ac:dyDescent="0.25">
      <c r="A5062" t="s">
        <v>6996</v>
      </c>
    </row>
    <row r="5063" spans="1:1" x14ac:dyDescent="0.25">
      <c r="A5063" t="s">
        <v>6997</v>
      </c>
    </row>
    <row r="5064" spans="1:1" x14ac:dyDescent="0.25">
      <c r="A5064" t="s">
        <v>6998</v>
      </c>
    </row>
    <row r="5065" spans="1:1" x14ac:dyDescent="0.25">
      <c r="A5065" t="s">
        <v>6999</v>
      </c>
    </row>
    <row r="5066" spans="1:1" x14ac:dyDescent="0.25">
      <c r="A5066" t="s">
        <v>7000</v>
      </c>
    </row>
    <row r="5067" spans="1:1" x14ac:dyDescent="0.25">
      <c r="A5067" t="s">
        <v>7001</v>
      </c>
    </row>
    <row r="5068" spans="1:1" x14ac:dyDescent="0.25">
      <c r="A5068" t="s">
        <v>7002</v>
      </c>
    </row>
    <row r="5069" spans="1:1" x14ac:dyDescent="0.25">
      <c r="A5069" t="s">
        <v>7003</v>
      </c>
    </row>
    <row r="5070" spans="1:1" x14ac:dyDescent="0.25">
      <c r="A5070" t="s">
        <v>7004</v>
      </c>
    </row>
    <row r="5071" spans="1:1" x14ac:dyDescent="0.25">
      <c r="A5071" t="s">
        <v>7005</v>
      </c>
    </row>
    <row r="5072" spans="1:1" x14ac:dyDescent="0.25">
      <c r="A5072" t="s">
        <v>7006</v>
      </c>
    </row>
    <row r="5073" spans="1:1" x14ac:dyDescent="0.25">
      <c r="A5073" t="s">
        <v>7007</v>
      </c>
    </row>
    <row r="5074" spans="1:1" x14ac:dyDescent="0.25">
      <c r="A5074" t="s">
        <v>7008</v>
      </c>
    </row>
    <row r="5075" spans="1:1" x14ac:dyDescent="0.25">
      <c r="A5075" t="s">
        <v>7009</v>
      </c>
    </row>
    <row r="5076" spans="1:1" x14ac:dyDescent="0.25">
      <c r="A5076" t="s">
        <v>7010</v>
      </c>
    </row>
    <row r="5077" spans="1:1" x14ac:dyDescent="0.25">
      <c r="A5077" t="s">
        <v>7011</v>
      </c>
    </row>
    <row r="5078" spans="1:1" x14ac:dyDescent="0.25">
      <c r="A5078" t="s">
        <v>7012</v>
      </c>
    </row>
    <row r="5079" spans="1:1" x14ac:dyDescent="0.25">
      <c r="A5079" t="s">
        <v>7013</v>
      </c>
    </row>
    <row r="5080" spans="1:1" x14ac:dyDescent="0.25">
      <c r="A5080" t="s">
        <v>7014</v>
      </c>
    </row>
    <row r="5081" spans="1:1" x14ac:dyDescent="0.25">
      <c r="A5081" t="s">
        <v>7015</v>
      </c>
    </row>
    <row r="5082" spans="1:1" x14ac:dyDescent="0.25">
      <c r="A5082" t="s">
        <v>7016</v>
      </c>
    </row>
    <row r="5083" spans="1:1" x14ac:dyDescent="0.25">
      <c r="A5083" t="s">
        <v>7017</v>
      </c>
    </row>
    <row r="5084" spans="1:1" x14ac:dyDescent="0.25">
      <c r="A5084" t="s">
        <v>7018</v>
      </c>
    </row>
    <row r="5085" spans="1:1" x14ac:dyDescent="0.25">
      <c r="A5085" t="s">
        <v>7019</v>
      </c>
    </row>
    <row r="5086" spans="1:1" x14ac:dyDescent="0.25">
      <c r="A5086" t="s">
        <v>7020</v>
      </c>
    </row>
    <row r="5087" spans="1:1" x14ac:dyDescent="0.25">
      <c r="A5087" t="s">
        <v>7021</v>
      </c>
    </row>
    <row r="5088" spans="1:1" x14ac:dyDescent="0.25">
      <c r="A5088" t="s">
        <v>7022</v>
      </c>
    </row>
    <row r="5089" spans="1:1" x14ac:dyDescent="0.25">
      <c r="A5089" t="s">
        <v>7023</v>
      </c>
    </row>
    <row r="5090" spans="1:1" x14ac:dyDescent="0.25">
      <c r="A5090" t="s">
        <v>7024</v>
      </c>
    </row>
    <row r="5091" spans="1:1" x14ac:dyDescent="0.25">
      <c r="A5091" t="s">
        <v>7025</v>
      </c>
    </row>
    <row r="5092" spans="1:1" x14ac:dyDescent="0.25">
      <c r="A5092" t="s">
        <v>7026</v>
      </c>
    </row>
    <row r="5093" spans="1:1" x14ac:dyDescent="0.25">
      <c r="A5093" t="s">
        <v>7027</v>
      </c>
    </row>
    <row r="5094" spans="1:1" x14ac:dyDescent="0.25">
      <c r="A5094" t="s">
        <v>7028</v>
      </c>
    </row>
    <row r="5095" spans="1:1" x14ac:dyDescent="0.25">
      <c r="A5095" t="s">
        <v>7029</v>
      </c>
    </row>
    <row r="5096" spans="1:1" x14ac:dyDescent="0.25">
      <c r="A5096" t="s">
        <v>7030</v>
      </c>
    </row>
    <row r="5097" spans="1:1" x14ac:dyDescent="0.25">
      <c r="A5097" t="s">
        <v>7031</v>
      </c>
    </row>
    <row r="5098" spans="1:1" x14ac:dyDescent="0.25">
      <c r="A5098" t="s">
        <v>7032</v>
      </c>
    </row>
    <row r="5099" spans="1:1" x14ac:dyDescent="0.25">
      <c r="A5099" t="s">
        <v>7033</v>
      </c>
    </row>
    <row r="5100" spans="1:1" x14ac:dyDescent="0.25">
      <c r="A5100" t="s">
        <v>7034</v>
      </c>
    </row>
    <row r="5101" spans="1:1" x14ac:dyDescent="0.25">
      <c r="A5101" t="s">
        <v>7035</v>
      </c>
    </row>
    <row r="5102" spans="1:1" x14ac:dyDescent="0.25">
      <c r="A5102" t="s">
        <v>7036</v>
      </c>
    </row>
    <row r="5103" spans="1:1" x14ac:dyDescent="0.25">
      <c r="A5103" t="s">
        <v>7037</v>
      </c>
    </row>
    <row r="5104" spans="1:1" x14ac:dyDescent="0.25">
      <c r="A5104" t="s">
        <v>7038</v>
      </c>
    </row>
    <row r="5105" spans="1:1" x14ac:dyDescent="0.25">
      <c r="A5105" t="s">
        <v>7039</v>
      </c>
    </row>
    <row r="5106" spans="1:1" x14ac:dyDescent="0.25">
      <c r="A5106" t="s">
        <v>7040</v>
      </c>
    </row>
    <row r="5107" spans="1:1" x14ac:dyDescent="0.25">
      <c r="A5107" t="s">
        <v>7041</v>
      </c>
    </row>
    <row r="5108" spans="1:1" x14ac:dyDescent="0.25">
      <c r="A5108" t="s">
        <v>7042</v>
      </c>
    </row>
    <row r="5109" spans="1:1" x14ac:dyDescent="0.25">
      <c r="A5109" t="s">
        <v>7043</v>
      </c>
    </row>
    <row r="5110" spans="1:1" x14ac:dyDescent="0.25">
      <c r="A5110" t="s">
        <v>7044</v>
      </c>
    </row>
    <row r="5111" spans="1:1" x14ac:dyDescent="0.25">
      <c r="A5111" t="s">
        <v>7045</v>
      </c>
    </row>
    <row r="5112" spans="1:1" x14ac:dyDescent="0.25">
      <c r="A5112" t="s">
        <v>7046</v>
      </c>
    </row>
    <row r="5113" spans="1:1" x14ac:dyDescent="0.25">
      <c r="A5113" t="s">
        <v>7047</v>
      </c>
    </row>
    <row r="5114" spans="1:1" x14ac:dyDescent="0.25">
      <c r="A5114" t="s">
        <v>7048</v>
      </c>
    </row>
    <row r="5115" spans="1:1" x14ac:dyDescent="0.25">
      <c r="A5115" t="s">
        <v>7049</v>
      </c>
    </row>
    <row r="5116" spans="1:1" x14ac:dyDescent="0.25">
      <c r="A5116" t="s">
        <v>7050</v>
      </c>
    </row>
    <row r="5117" spans="1:1" x14ac:dyDescent="0.25">
      <c r="A5117" t="s">
        <v>7051</v>
      </c>
    </row>
    <row r="5118" spans="1:1" x14ac:dyDescent="0.25">
      <c r="A5118" t="s">
        <v>7052</v>
      </c>
    </row>
    <row r="5119" spans="1:1" x14ac:dyDescent="0.25">
      <c r="A5119" t="s">
        <v>7053</v>
      </c>
    </row>
    <row r="5120" spans="1:1" x14ac:dyDescent="0.25">
      <c r="A5120" t="s">
        <v>7054</v>
      </c>
    </row>
    <row r="5121" spans="1:1" x14ac:dyDescent="0.25">
      <c r="A5121" t="s">
        <v>7055</v>
      </c>
    </row>
    <row r="5122" spans="1:1" x14ac:dyDescent="0.25">
      <c r="A5122" t="s">
        <v>7056</v>
      </c>
    </row>
    <row r="5123" spans="1:1" x14ac:dyDescent="0.25">
      <c r="A5123" t="s">
        <v>7057</v>
      </c>
    </row>
    <row r="5124" spans="1:1" x14ac:dyDescent="0.25">
      <c r="A5124" t="s">
        <v>7058</v>
      </c>
    </row>
    <row r="5125" spans="1:1" x14ac:dyDescent="0.25">
      <c r="A5125" t="s">
        <v>7059</v>
      </c>
    </row>
    <row r="5126" spans="1:1" x14ac:dyDescent="0.25">
      <c r="A5126" t="s">
        <v>7060</v>
      </c>
    </row>
    <row r="5127" spans="1:1" x14ac:dyDescent="0.25">
      <c r="A5127" t="s">
        <v>7061</v>
      </c>
    </row>
    <row r="5128" spans="1:1" x14ac:dyDescent="0.25">
      <c r="A5128" t="s">
        <v>7062</v>
      </c>
    </row>
    <row r="5129" spans="1:1" x14ac:dyDescent="0.25">
      <c r="A5129" t="s">
        <v>7063</v>
      </c>
    </row>
    <row r="5130" spans="1:1" x14ac:dyDescent="0.25">
      <c r="A5130" t="s">
        <v>7064</v>
      </c>
    </row>
    <row r="5131" spans="1:1" x14ac:dyDescent="0.25">
      <c r="A5131" t="s">
        <v>7065</v>
      </c>
    </row>
    <row r="5132" spans="1:1" x14ac:dyDescent="0.25">
      <c r="A5132" t="s">
        <v>7066</v>
      </c>
    </row>
    <row r="5133" spans="1:1" x14ac:dyDescent="0.25">
      <c r="A5133" t="s">
        <v>7067</v>
      </c>
    </row>
    <row r="5134" spans="1:1" x14ac:dyDescent="0.25">
      <c r="A5134" t="s">
        <v>7068</v>
      </c>
    </row>
    <row r="5135" spans="1:1" x14ac:dyDescent="0.25">
      <c r="A5135" t="s">
        <v>7069</v>
      </c>
    </row>
    <row r="5136" spans="1:1" x14ac:dyDescent="0.25">
      <c r="A5136" t="s">
        <v>7070</v>
      </c>
    </row>
    <row r="5137" spans="1:1" x14ac:dyDescent="0.25">
      <c r="A5137" t="s">
        <v>7071</v>
      </c>
    </row>
    <row r="5138" spans="1:1" x14ac:dyDescent="0.25">
      <c r="A5138" t="s">
        <v>7072</v>
      </c>
    </row>
    <row r="5139" spans="1:1" x14ac:dyDescent="0.25">
      <c r="A5139" t="s">
        <v>7073</v>
      </c>
    </row>
    <row r="5140" spans="1:1" x14ac:dyDescent="0.25">
      <c r="A5140" t="s">
        <v>7074</v>
      </c>
    </row>
    <row r="5141" spans="1:1" x14ac:dyDescent="0.25">
      <c r="A5141" t="s">
        <v>7075</v>
      </c>
    </row>
    <row r="5142" spans="1:1" x14ac:dyDescent="0.25">
      <c r="A5142" t="s">
        <v>7076</v>
      </c>
    </row>
    <row r="5143" spans="1:1" x14ac:dyDescent="0.25">
      <c r="A5143" t="s">
        <v>7077</v>
      </c>
    </row>
    <row r="5144" spans="1:1" x14ac:dyDescent="0.25">
      <c r="A5144" t="s">
        <v>7078</v>
      </c>
    </row>
    <row r="5145" spans="1:1" x14ac:dyDescent="0.25">
      <c r="A5145" t="s">
        <v>7079</v>
      </c>
    </row>
    <row r="5146" spans="1:1" x14ac:dyDescent="0.25">
      <c r="A5146" t="s">
        <v>7080</v>
      </c>
    </row>
    <row r="5147" spans="1:1" x14ac:dyDescent="0.25">
      <c r="A5147" t="s">
        <v>7081</v>
      </c>
    </row>
    <row r="5148" spans="1:1" x14ac:dyDescent="0.25">
      <c r="A5148" t="s">
        <v>7082</v>
      </c>
    </row>
    <row r="5149" spans="1:1" x14ac:dyDescent="0.25">
      <c r="A5149" t="s">
        <v>7083</v>
      </c>
    </row>
    <row r="5150" spans="1:1" x14ac:dyDescent="0.25">
      <c r="A5150" t="s">
        <v>7084</v>
      </c>
    </row>
    <row r="5151" spans="1:1" x14ac:dyDescent="0.25">
      <c r="A5151" t="s">
        <v>7085</v>
      </c>
    </row>
    <row r="5152" spans="1:1" x14ac:dyDescent="0.25">
      <c r="A5152" t="s">
        <v>7086</v>
      </c>
    </row>
    <row r="5153" spans="1:1" x14ac:dyDescent="0.25">
      <c r="A5153" t="s">
        <v>7087</v>
      </c>
    </row>
    <row r="5154" spans="1:1" x14ac:dyDescent="0.25">
      <c r="A5154" t="s">
        <v>7088</v>
      </c>
    </row>
    <row r="5155" spans="1:1" x14ac:dyDescent="0.25">
      <c r="A5155" t="s">
        <v>7089</v>
      </c>
    </row>
    <row r="5156" spans="1:1" x14ac:dyDescent="0.25">
      <c r="A5156" t="s">
        <v>7090</v>
      </c>
    </row>
    <row r="5157" spans="1:1" x14ac:dyDescent="0.25">
      <c r="A5157" t="s">
        <v>7091</v>
      </c>
    </row>
    <row r="5158" spans="1:1" x14ac:dyDescent="0.25">
      <c r="A5158" t="s">
        <v>7092</v>
      </c>
    </row>
    <row r="5159" spans="1:1" x14ac:dyDescent="0.25">
      <c r="A5159" t="s">
        <v>7093</v>
      </c>
    </row>
    <row r="5160" spans="1:1" x14ac:dyDescent="0.25">
      <c r="A5160" t="s">
        <v>7094</v>
      </c>
    </row>
    <row r="5161" spans="1:1" x14ac:dyDescent="0.25">
      <c r="A5161" t="s">
        <v>7095</v>
      </c>
    </row>
    <row r="5162" spans="1:1" x14ac:dyDescent="0.25">
      <c r="A5162" t="s">
        <v>7096</v>
      </c>
    </row>
    <row r="5163" spans="1:1" x14ac:dyDescent="0.25">
      <c r="A5163" t="s">
        <v>7097</v>
      </c>
    </row>
    <row r="5164" spans="1:1" x14ac:dyDescent="0.25">
      <c r="A5164" t="s">
        <v>7098</v>
      </c>
    </row>
    <row r="5165" spans="1:1" x14ac:dyDescent="0.25">
      <c r="A5165" t="s">
        <v>7099</v>
      </c>
    </row>
    <row r="5166" spans="1:1" x14ac:dyDescent="0.25">
      <c r="A5166" t="s">
        <v>7100</v>
      </c>
    </row>
    <row r="5167" spans="1:1" x14ac:dyDescent="0.25">
      <c r="A5167" t="s">
        <v>7101</v>
      </c>
    </row>
    <row r="5168" spans="1:1" x14ac:dyDescent="0.25">
      <c r="A5168" t="s">
        <v>7102</v>
      </c>
    </row>
    <row r="5169" spans="1:1" x14ac:dyDescent="0.25">
      <c r="A5169" t="s">
        <v>7103</v>
      </c>
    </row>
    <row r="5170" spans="1:1" x14ac:dyDescent="0.25">
      <c r="A5170" t="s">
        <v>7104</v>
      </c>
    </row>
    <row r="5171" spans="1:1" x14ac:dyDescent="0.25">
      <c r="A5171" t="s">
        <v>7105</v>
      </c>
    </row>
    <row r="5172" spans="1:1" x14ac:dyDescent="0.25">
      <c r="A5172" t="s">
        <v>7106</v>
      </c>
    </row>
    <row r="5173" spans="1:1" x14ac:dyDescent="0.25">
      <c r="A5173" t="s">
        <v>7107</v>
      </c>
    </row>
    <row r="5174" spans="1:1" x14ac:dyDescent="0.25">
      <c r="A5174" t="s">
        <v>7108</v>
      </c>
    </row>
    <row r="5175" spans="1:1" x14ac:dyDescent="0.25">
      <c r="A5175" t="s">
        <v>7109</v>
      </c>
    </row>
    <row r="5176" spans="1:1" x14ac:dyDescent="0.25">
      <c r="A5176" t="s">
        <v>7110</v>
      </c>
    </row>
    <row r="5177" spans="1:1" x14ac:dyDescent="0.25">
      <c r="A5177" t="s">
        <v>7111</v>
      </c>
    </row>
    <row r="5178" spans="1:1" x14ac:dyDescent="0.25">
      <c r="A5178" t="s">
        <v>7112</v>
      </c>
    </row>
    <row r="5179" spans="1:1" x14ac:dyDescent="0.25">
      <c r="A5179" t="s">
        <v>7113</v>
      </c>
    </row>
    <row r="5180" spans="1:1" x14ac:dyDescent="0.25">
      <c r="A5180" t="s">
        <v>7114</v>
      </c>
    </row>
    <row r="5181" spans="1:1" x14ac:dyDescent="0.25">
      <c r="A5181" t="s">
        <v>7115</v>
      </c>
    </row>
    <row r="5182" spans="1:1" x14ac:dyDescent="0.25">
      <c r="A5182" t="s">
        <v>7116</v>
      </c>
    </row>
    <row r="5183" spans="1:1" x14ac:dyDescent="0.25">
      <c r="A5183" t="s">
        <v>7117</v>
      </c>
    </row>
    <row r="5184" spans="1:1" x14ac:dyDescent="0.25">
      <c r="A5184" t="s">
        <v>7118</v>
      </c>
    </row>
    <row r="5185" spans="1:1" x14ac:dyDescent="0.25">
      <c r="A5185" t="s">
        <v>7119</v>
      </c>
    </row>
    <row r="5186" spans="1:1" x14ac:dyDescent="0.25">
      <c r="A5186" t="s">
        <v>7120</v>
      </c>
    </row>
    <row r="5187" spans="1:1" x14ac:dyDescent="0.25">
      <c r="A5187" t="s">
        <v>7121</v>
      </c>
    </row>
    <row r="5188" spans="1:1" x14ac:dyDescent="0.25">
      <c r="A5188" t="s">
        <v>7122</v>
      </c>
    </row>
    <row r="5189" spans="1:1" x14ac:dyDescent="0.25">
      <c r="A5189" t="s">
        <v>7123</v>
      </c>
    </row>
    <row r="5190" spans="1:1" x14ac:dyDescent="0.25">
      <c r="A5190" t="s">
        <v>7124</v>
      </c>
    </row>
    <row r="5191" spans="1:1" x14ac:dyDescent="0.25">
      <c r="A5191" t="s">
        <v>7125</v>
      </c>
    </row>
    <row r="5192" spans="1:1" x14ac:dyDescent="0.25">
      <c r="A5192" t="s">
        <v>7126</v>
      </c>
    </row>
    <row r="5193" spans="1:1" x14ac:dyDescent="0.25">
      <c r="A5193" t="s">
        <v>7127</v>
      </c>
    </row>
    <row r="5194" spans="1:1" x14ac:dyDescent="0.25">
      <c r="A5194" t="s">
        <v>7128</v>
      </c>
    </row>
    <row r="5195" spans="1:1" x14ac:dyDescent="0.25">
      <c r="A5195" t="s">
        <v>7129</v>
      </c>
    </row>
    <row r="5196" spans="1:1" x14ac:dyDescent="0.25">
      <c r="A5196" t="s">
        <v>7130</v>
      </c>
    </row>
    <row r="5197" spans="1:1" x14ac:dyDescent="0.25">
      <c r="A5197" t="s">
        <v>7131</v>
      </c>
    </row>
    <row r="5198" spans="1:1" x14ac:dyDescent="0.25">
      <c r="A5198" t="s">
        <v>7132</v>
      </c>
    </row>
    <row r="5199" spans="1:1" x14ac:dyDescent="0.25">
      <c r="A5199" t="s">
        <v>7133</v>
      </c>
    </row>
    <row r="5200" spans="1:1" x14ac:dyDescent="0.25">
      <c r="A5200" t="s">
        <v>7134</v>
      </c>
    </row>
    <row r="5201" spans="1:1" x14ac:dyDescent="0.25">
      <c r="A5201" t="s">
        <v>7135</v>
      </c>
    </row>
    <row r="5202" spans="1:1" x14ac:dyDescent="0.25">
      <c r="A5202" t="s">
        <v>7136</v>
      </c>
    </row>
    <row r="5203" spans="1:1" x14ac:dyDescent="0.25">
      <c r="A5203" t="s">
        <v>7137</v>
      </c>
    </row>
    <row r="5204" spans="1:1" x14ac:dyDescent="0.25">
      <c r="A5204" t="s">
        <v>7138</v>
      </c>
    </row>
    <row r="5205" spans="1:1" x14ac:dyDescent="0.25">
      <c r="A5205" t="s">
        <v>7139</v>
      </c>
    </row>
    <row r="5206" spans="1:1" x14ac:dyDescent="0.25">
      <c r="A5206" t="s">
        <v>7140</v>
      </c>
    </row>
    <row r="5207" spans="1:1" x14ac:dyDescent="0.25">
      <c r="A5207" t="s">
        <v>7141</v>
      </c>
    </row>
    <row r="5208" spans="1:1" x14ac:dyDescent="0.25">
      <c r="A5208" t="s">
        <v>7142</v>
      </c>
    </row>
    <row r="5209" spans="1:1" x14ac:dyDescent="0.25">
      <c r="A5209" t="s">
        <v>7143</v>
      </c>
    </row>
    <row r="5210" spans="1:1" x14ac:dyDescent="0.25">
      <c r="A5210" t="s">
        <v>7144</v>
      </c>
    </row>
    <row r="5211" spans="1:1" x14ac:dyDescent="0.25">
      <c r="A5211" t="s">
        <v>7145</v>
      </c>
    </row>
    <row r="5212" spans="1:1" x14ac:dyDescent="0.25">
      <c r="A5212" t="s">
        <v>7146</v>
      </c>
    </row>
    <row r="5213" spans="1:1" x14ac:dyDescent="0.25">
      <c r="A5213" t="s">
        <v>7147</v>
      </c>
    </row>
    <row r="5214" spans="1:1" x14ac:dyDescent="0.25">
      <c r="A5214" t="s">
        <v>7148</v>
      </c>
    </row>
    <row r="5215" spans="1:1" x14ac:dyDescent="0.25">
      <c r="A5215" t="s">
        <v>7149</v>
      </c>
    </row>
    <row r="5216" spans="1:1" x14ac:dyDescent="0.25">
      <c r="A5216" t="s">
        <v>7150</v>
      </c>
    </row>
    <row r="5217" spans="1:1" x14ac:dyDescent="0.25">
      <c r="A5217" t="s">
        <v>7151</v>
      </c>
    </row>
    <row r="5218" spans="1:1" x14ac:dyDescent="0.25">
      <c r="A5218" t="s">
        <v>7152</v>
      </c>
    </row>
    <row r="5219" spans="1:1" x14ac:dyDescent="0.25">
      <c r="A5219" t="s">
        <v>7153</v>
      </c>
    </row>
    <row r="5220" spans="1:1" x14ac:dyDescent="0.25">
      <c r="A5220" t="s">
        <v>7154</v>
      </c>
    </row>
    <row r="5221" spans="1:1" x14ac:dyDescent="0.25">
      <c r="A5221" t="s">
        <v>7155</v>
      </c>
    </row>
    <row r="5222" spans="1:1" x14ac:dyDescent="0.25">
      <c r="A5222" t="s">
        <v>7156</v>
      </c>
    </row>
    <row r="5223" spans="1:1" x14ac:dyDescent="0.25">
      <c r="A5223" t="s">
        <v>7157</v>
      </c>
    </row>
    <row r="5224" spans="1:1" x14ac:dyDescent="0.25">
      <c r="A5224" t="s">
        <v>7158</v>
      </c>
    </row>
    <row r="5225" spans="1:1" x14ac:dyDescent="0.25">
      <c r="A5225" t="s">
        <v>7159</v>
      </c>
    </row>
    <row r="5226" spans="1:1" x14ac:dyDescent="0.25">
      <c r="A5226" t="s">
        <v>7160</v>
      </c>
    </row>
    <row r="5227" spans="1:1" x14ac:dyDescent="0.25">
      <c r="A5227" t="s">
        <v>7161</v>
      </c>
    </row>
    <row r="5228" spans="1:1" x14ac:dyDescent="0.25">
      <c r="A5228" t="s">
        <v>7162</v>
      </c>
    </row>
    <row r="5229" spans="1:1" x14ac:dyDescent="0.25">
      <c r="A5229" t="s">
        <v>7163</v>
      </c>
    </row>
    <row r="5230" spans="1:1" x14ac:dyDescent="0.25">
      <c r="A5230" t="s">
        <v>7164</v>
      </c>
    </row>
    <row r="5231" spans="1:1" x14ac:dyDescent="0.25">
      <c r="A5231" t="s">
        <v>7165</v>
      </c>
    </row>
    <row r="5232" spans="1:1" x14ac:dyDescent="0.25">
      <c r="A5232" t="s">
        <v>7166</v>
      </c>
    </row>
    <row r="5233" spans="1:1" x14ac:dyDescent="0.25">
      <c r="A5233" t="s">
        <v>7167</v>
      </c>
    </row>
    <row r="5234" spans="1:1" x14ac:dyDescent="0.25">
      <c r="A5234" t="s">
        <v>7168</v>
      </c>
    </row>
    <row r="5235" spans="1:1" x14ac:dyDescent="0.25">
      <c r="A5235" t="s">
        <v>7169</v>
      </c>
    </row>
    <row r="5236" spans="1:1" x14ac:dyDescent="0.25">
      <c r="A5236" t="s">
        <v>7170</v>
      </c>
    </row>
    <row r="5237" spans="1:1" x14ac:dyDescent="0.25">
      <c r="A5237" t="s">
        <v>7171</v>
      </c>
    </row>
    <row r="5238" spans="1:1" x14ac:dyDescent="0.25">
      <c r="A5238" t="s">
        <v>7172</v>
      </c>
    </row>
    <row r="5239" spans="1:1" x14ac:dyDescent="0.25">
      <c r="A5239" t="s">
        <v>7173</v>
      </c>
    </row>
    <row r="5240" spans="1:1" x14ac:dyDescent="0.25">
      <c r="A5240" t="s">
        <v>7174</v>
      </c>
    </row>
    <row r="5241" spans="1:1" x14ac:dyDescent="0.25">
      <c r="A5241" t="s">
        <v>7175</v>
      </c>
    </row>
    <row r="5242" spans="1:1" x14ac:dyDescent="0.25">
      <c r="A5242" t="s">
        <v>7176</v>
      </c>
    </row>
    <row r="5243" spans="1:1" x14ac:dyDescent="0.25">
      <c r="A5243" t="s">
        <v>7177</v>
      </c>
    </row>
    <row r="5244" spans="1:1" x14ac:dyDescent="0.25">
      <c r="A5244" t="s">
        <v>7178</v>
      </c>
    </row>
    <row r="5245" spans="1:1" x14ac:dyDescent="0.25">
      <c r="A5245" t="s">
        <v>7179</v>
      </c>
    </row>
    <row r="5246" spans="1:1" x14ac:dyDescent="0.25">
      <c r="A5246" t="s">
        <v>7180</v>
      </c>
    </row>
    <row r="5247" spans="1:1" x14ac:dyDescent="0.25">
      <c r="A5247" t="s">
        <v>7181</v>
      </c>
    </row>
    <row r="5248" spans="1:1" x14ac:dyDescent="0.25">
      <c r="A5248" t="s">
        <v>7182</v>
      </c>
    </row>
    <row r="5249" spans="1:1" x14ac:dyDescent="0.25">
      <c r="A5249" t="s">
        <v>7183</v>
      </c>
    </row>
    <row r="5250" spans="1:1" x14ac:dyDescent="0.25">
      <c r="A5250" t="s">
        <v>7184</v>
      </c>
    </row>
    <row r="5251" spans="1:1" x14ac:dyDescent="0.25">
      <c r="A5251" t="s">
        <v>7185</v>
      </c>
    </row>
    <row r="5252" spans="1:1" x14ac:dyDescent="0.25">
      <c r="A5252" t="s">
        <v>7186</v>
      </c>
    </row>
    <row r="5253" spans="1:1" x14ac:dyDescent="0.25">
      <c r="A5253" t="s">
        <v>7187</v>
      </c>
    </row>
    <row r="5254" spans="1:1" x14ac:dyDescent="0.25">
      <c r="A5254" t="s">
        <v>7188</v>
      </c>
    </row>
    <row r="5255" spans="1:1" x14ac:dyDescent="0.25">
      <c r="A5255" t="s">
        <v>7189</v>
      </c>
    </row>
    <row r="5256" spans="1:1" x14ac:dyDescent="0.25">
      <c r="A5256" t="s">
        <v>7190</v>
      </c>
    </row>
    <row r="5257" spans="1:1" x14ac:dyDescent="0.25">
      <c r="A5257" t="s">
        <v>7191</v>
      </c>
    </row>
    <row r="5258" spans="1:1" x14ac:dyDescent="0.25">
      <c r="A5258" t="s">
        <v>7192</v>
      </c>
    </row>
    <row r="5259" spans="1:1" x14ac:dyDescent="0.25">
      <c r="A5259" t="s">
        <v>7193</v>
      </c>
    </row>
    <row r="5260" spans="1:1" x14ac:dyDescent="0.25">
      <c r="A5260" t="s">
        <v>7194</v>
      </c>
    </row>
    <row r="5261" spans="1:1" x14ac:dyDescent="0.25">
      <c r="A5261" t="s">
        <v>7195</v>
      </c>
    </row>
    <row r="5262" spans="1:1" x14ac:dyDescent="0.25">
      <c r="A5262" t="s">
        <v>7196</v>
      </c>
    </row>
    <row r="5263" spans="1:1" x14ac:dyDescent="0.25">
      <c r="A5263" t="s">
        <v>7197</v>
      </c>
    </row>
    <row r="5264" spans="1:1" x14ac:dyDescent="0.25">
      <c r="A5264" t="s">
        <v>7198</v>
      </c>
    </row>
    <row r="5265" spans="1:1" x14ac:dyDescent="0.25">
      <c r="A5265" t="s">
        <v>7199</v>
      </c>
    </row>
    <row r="5266" spans="1:1" x14ac:dyDescent="0.25">
      <c r="A5266" t="s">
        <v>7200</v>
      </c>
    </row>
    <row r="5267" spans="1:1" x14ac:dyDescent="0.25">
      <c r="A5267" t="s">
        <v>7201</v>
      </c>
    </row>
    <row r="5268" spans="1:1" x14ac:dyDescent="0.25">
      <c r="A5268" t="s">
        <v>7202</v>
      </c>
    </row>
    <row r="5269" spans="1:1" x14ac:dyDescent="0.25">
      <c r="A5269" t="s">
        <v>7203</v>
      </c>
    </row>
    <row r="5270" spans="1:1" x14ac:dyDescent="0.25">
      <c r="A5270" t="s">
        <v>7204</v>
      </c>
    </row>
    <row r="5271" spans="1:1" x14ac:dyDescent="0.25">
      <c r="A5271" t="s">
        <v>7205</v>
      </c>
    </row>
    <row r="5272" spans="1:1" x14ac:dyDescent="0.25">
      <c r="A5272" t="s">
        <v>7206</v>
      </c>
    </row>
    <row r="5273" spans="1:1" x14ac:dyDescent="0.25">
      <c r="A5273" t="s">
        <v>7207</v>
      </c>
    </row>
    <row r="5274" spans="1:1" x14ac:dyDescent="0.25">
      <c r="A5274" t="s">
        <v>7208</v>
      </c>
    </row>
    <row r="5275" spans="1:1" x14ac:dyDescent="0.25">
      <c r="A5275" t="s">
        <v>7209</v>
      </c>
    </row>
    <row r="5276" spans="1:1" x14ac:dyDescent="0.25">
      <c r="A5276" t="s">
        <v>7210</v>
      </c>
    </row>
    <row r="5277" spans="1:1" x14ac:dyDescent="0.25">
      <c r="A5277" t="s">
        <v>7211</v>
      </c>
    </row>
    <row r="5278" spans="1:1" x14ac:dyDescent="0.25">
      <c r="A5278" t="s">
        <v>7212</v>
      </c>
    </row>
    <row r="5279" spans="1:1" x14ac:dyDescent="0.25">
      <c r="A5279" t="s">
        <v>7213</v>
      </c>
    </row>
    <row r="5280" spans="1:1" x14ac:dyDescent="0.25">
      <c r="A5280" t="s">
        <v>7214</v>
      </c>
    </row>
    <row r="5281" spans="1:1" x14ac:dyDescent="0.25">
      <c r="A5281" t="s">
        <v>7215</v>
      </c>
    </row>
    <row r="5282" spans="1:1" x14ac:dyDescent="0.25">
      <c r="A5282" t="s">
        <v>7216</v>
      </c>
    </row>
    <row r="5283" spans="1:1" x14ac:dyDescent="0.25">
      <c r="A5283" t="s">
        <v>7217</v>
      </c>
    </row>
    <row r="5284" spans="1:1" x14ac:dyDescent="0.25">
      <c r="A5284" t="s">
        <v>7218</v>
      </c>
    </row>
    <row r="5285" spans="1:1" x14ac:dyDescent="0.25">
      <c r="A5285" t="s">
        <v>7219</v>
      </c>
    </row>
    <row r="5286" spans="1:1" x14ac:dyDescent="0.25">
      <c r="A5286" t="s">
        <v>7220</v>
      </c>
    </row>
    <row r="5287" spans="1:1" x14ac:dyDescent="0.25">
      <c r="A5287" t="s">
        <v>7221</v>
      </c>
    </row>
    <row r="5288" spans="1:1" x14ac:dyDescent="0.25">
      <c r="A5288" t="s">
        <v>7222</v>
      </c>
    </row>
    <row r="5289" spans="1:1" x14ac:dyDescent="0.25">
      <c r="A5289" t="s">
        <v>7223</v>
      </c>
    </row>
    <row r="5290" spans="1:1" x14ac:dyDescent="0.25">
      <c r="A5290" t="s">
        <v>7224</v>
      </c>
    </row>
    <row r="5291" spans="1:1" x14ac:dyDescent="0.25">
      <c r="A5291" t="s">
        <v>7225</v>
      </c>
    </row>
    <row r="5292" spans="1:1" x14ac:dyDescent="0.25">
      <c r="A5292" t="s">
        <v>7226</v>
      </c>
    </row>
    <row r="5293" spans="1:1" x14ac:dyDescent="0.25">
      <c r="A5293" t="s">
        <v>7227</v>
      </c>
    </row>
    <row r="5294" spans="1:1" x14ac:dyDescent="0.25">
      <c r="A5294" t="s">
        <v>7228</v>
      </c>
    </row>
    <row r="5295" spans="1:1" x14ac:dyDescent="0.25">
      <c r="A5295" t="s">
        <v>7229</v>
      </c>
    </row>
    <row r="5296" spans="1:1" x14ac:dyDescent="0.25">
      <c r="A5296" t="s">
        <v>7230</v>
      </c>
    </row>
    <row r="5297" spans="1:1" x14ac:dyDescent="0.25">
      <c r="A5297" t="s">
        <v>7231</v>
      </c>
    </row>
    <row r="5298" spans="1:1" x14ac:dyDescent="0.25">
      <c r="A5298" t="s">
        <v>7232</v>
      </c>
    </row>
    <row r="5299" spans="1:1" x14ac:dyDescent="0.25">
      <c r="A5299" t="s">
        <v>7233</v>
      </c>
    </row>
    <row r="5300" spans="1:1" x14ac:dyDescent="0.25">
      <c r="A5300" t="s">
        <v>7234</v>
      </c>
    </row>
    <row r="5301" spans="1:1" x14ac:dyDescent="0.25">
      <c r="A5301" t="s">
        <v>7235</v>
      </c>
    </row>
    <row r="5302" spans="1:1" x14ac:dyDescent="0.25">
      <c r="A5302" t="s">
        <v>7236</v>
      </c>
    </row>
    <row r="5303" spans="1:1" x14ac:dyDescent="0.25">
      <c r="A5303" t="s">
        <v>7237</v>
      </c>
    </row>
    <row r="5304" spans="1:1" x14ac:dyDescent="0.25">
      <c r="A5304" t="s">
        <v>7238</v>
      </c>
    </row>
    <row r="5305" spans="1:1" x14ac:dyDescent="0.25">
      <c r="A5305" t="s">
        <v>7239</v>
      </c>
    </row>
    <row r="5306" spans="1:1" x14ac:dyDescent="0.25">
      <c r="A5306" t="s">
        <v>7240</v>
      </c>
    </row>
    <row r="5307" spans="1:1" x14ac:dyDescent="0.25">
      <c r="A5307" t="s">
        <v>7241</v>
      </c>
    </row>
    <row r="5308" spans="1:1" x14ac:dyDescent="0.25">
      <c r="A5308" t="s">
        <v>7242</v>
      </c>
    </row>
    <row r="5309" spans="1:1" x14ac:dyDescent="0.25">
      <c r="A5309" t="s">
        <v>7243</v>
      </c>
    </row>
    <row r="5310" spans="1:1" x14ac:dyDescent="0.25">
      <c r="A5310" t="s">
        <v>7244</v>
      </c>
    </row>
    <row r="5311" spans="1:1" x14ac:dyDescent="0.25">
      <c r="A5311" t="s">
        <v>7245</v>
      </c>
    </row>
    <row r="5312" spans="1:1" x14ac:dyDescent="0.25">
      <c r="A5312" t="s">
        <v>7246</v>
      </c>
    </row>
    <row r="5313" spans="1:1" x14ac:dyDescent="0.25">
      <c r="A5313" t="s">
        <v>7247</v>
      </c>
    </row>
    <row r="5314" spans="1:1" x14ac:dyDescent="0.25">
      <c r="A5314" t="s">
        <v>7248</v>
      </c>
    </row>
    <row r="5315" spans="1:1" x14ac:dyDescent="0.25">
      <c r="A5315" t="s">
        <v>7249</v>
      </c>
    </row>
    <row r="5316" spans="1:1" x14ac:dyDescent="0.25">
      <c r="A5316" t="s">
        <v>7250</v>
      </c>
    </row>
    <row r="5317" spans="1:1" x14ac:dyDescent="0.25">
      <c r="A5317" t="s">
        <v>7251</v>
      </c>
    </row>
    <row r="5318" spans="1:1" x14ac:dyDescent="0.25">
      <c r="A5318" t="s">
        <v>7252</v>
      </c>
    </row>
    <row r="5319" spans="1:1" x14ac:dyDescent="0.25">
      <c r="A5319" t="s">
        <v>7253</v>
      </c>
    </row>
    <row r="5320" spans="1:1" x14ac:dyDescent="0.25">
      <c r="A5320" t="s">
        <v>7254</v>
      </c>
    </row>
    <row r="5321" spans="1:1" x14ac:dyDescent="0.25">
      <c r="A5321" t="s">
        <v>7255</v>
      </c>
    </row>
    <row r="5322" spans="1:1" x14ac:dyDescent="0.25">
      <c r="A5322" t="s">
        <v>7256</v>
      </c>
    </row>
    <row r="5323" spans="1:1" x14ac:dyDescent="0.25">
      <c r="A5323" t="s">
        <v>7257</v>
      </c>
    </row>
    <row r="5324" spans="1:1" x14ac:dyDescent="0.25">
      <c r="A5324" t="s">
        <v>7258</v>
      </c>
    </row>
    <row r="5325" spans="1:1" x14ac:dyDescent="0.25">
      <c r="A5325" t="s">
        <v>7259</v>
      </c>
    </row>
    <row r="5326" spans="1:1" x14ac:dyDescent="0.25">
      <c r="A5326" t="s">
        <v>7260</v>
      </c>
    </row>
    <row r="5327" spans="1:1" x14ac:dyDescent="0.25">
      <c r="A5327" t="s">
        <v>7261</v>
      </c>
    </row>
    <row r="5328" spans="1:1" x14ac:dyDescent="0.25">
      <c r="A5328" t="s">
        <v>7262</v>
      </c>
    </row>
    <row r="5329" spans="1:1" x14ac:dyDescent="0.25">
      <c r="A5329" t="s">
        <v>7263</v>
      </c>
    </row>
    <row r="5330" spans="1:1" x14ac:dyDescent="0.25">
      <c r="A5330" t="s">
        <v>7264</v>
      </c>
    </row>
    <row r="5331" spans="1:1" x14ac:dyDescent="0.25">
      <c r="A5331" t="s">
        <v>7265</v>
      </c>
    </row>
    <row r="5332" spans="1:1" x14ac:dyDescent="0.25">
      <c r="A5332" t="s">
        <v>7266</v>
      </c>
    </row>
    <row r="5333" spans="1:1" x14ac:dyDescent="0.25">
      <c r="A5333" t="s">
        <v>7267</v>
      </c>
    </row>
    <row r="5334" spans="1:1" x14ac:dyDescent="0.25">
      <c r="A5334" t="s">
        <v>7268</v>
      </c>
    </row>
    <row r="5335" spans="1:1" x14ac:dyDescent="0.25">
      <c r="A5335" t="s">
        <v>7269</v>
      </c>
    </row>
    <row r="5336" spans="1:1" x14ac:dyDescent="0.25">
      <c r="A5336" t="s">
        <v>7270</v>
      </c>
    </row>
    <row r="5337" spans="1:1" x14ac:dyDescent="0.25">
      <c r="A5337" t="s">
        <v>7271</v>
      </c>
    </row>
    <row r="5338" spans="1:1" x14ac:dyDescent="0.25">
      <c r="A5338" t="s">
        <v>7272</v>
      </c>
    </row>
    <row r="5339" spans="1:1" x14ac:dyDescent="0.25">
      <c r="A5339" t="s">
        <v>7273</v>
      </c>
    </row>
    <row r="5340" spans="1:1" x14ac:dyDescent="0.25">
      <c r="A5340" t="s">
        <v>7274</v>
      </c>
    </row>
    <row r="5341" spans="1:1" x14ac:dyDescent="0.25">
      <c r="A5341" t="s">
        <v>7275</v>
      </c>
    </row>
    <row r="5342" spans="1:1" x14ac:dyDescent="0.25">
      <c r="A5342" t="s">
        <v>7276</v>
      </c>
    </row>
    <row r="5343" spans="1:1" x14ac:dyDescent="0.25">
      <c r="A5343" t="s">
        <v>7277</v>
      </c>
    </row>
    <row r="5344" spans="1:1" x14ac:dyDescent="0.25">
      <c r="A5344" t="s">
        <v>7278</v>
      </c>
    </row>
    <row r="5345" spans="1:1" x14ac:dyDescent="0.25">
      <c r="A5345" t="s">
        <v>7279</v>
      </c>
    </row>
    <row r="5346" spans="1:1" x14ac:dyDescent="0.25">
      <c r="A5346" t="s">
        <v>7280</v>
      </c>
    </row>
    <row r="5347" spans="1:1" x14ac:dyDescent="0.25">
      <c r="A5347" t="s">
        <v>7281</v>
      </c>
    </row>
    <row r="5348" spans="1:1" x14ac:dyDescent="0.25">
      <c r="A5348" t="s">
        <v>7282</v>
      </c>
    </row>
    <row r="5349" spans="1:1" x14ac:dyDescent="0.25">
      <c r="A5349" t="s">
        <v>7283</v>
      </c>
    </row>
    <row r="5350" spans="1:1" x14ac:dyDescent="0.25">
      <c r="A5350" t="s">
        <v>7284</v>
      </c>
    </row>
    <row r="5351" spans="1:1" x14ac:dyDescent="0.25">
      <c r="A5351" t="s">
        <v>7285</v>
      </c>
    </row>
    <row r="5352" spans="1:1" x14ac:dyDescent="0.25">
      <c r="A5352" t="s">
        <v>7286</v>
      </c>
    </row>
    <row r="5353" spans="1:1" x14ac:dyDescent="0.25">
      <c r="A5353" t="s">
        <v>7287</v>
      </c>
    </row>
    <row r="5354" spans="1:1" x14ac:dyDescent="0.25">
      <c r="A5354" t="s">
        <v>7288</v>
      </c>
    </row>
    <row r="5355" spans="1:1" x14ac:dyDescent="0.25">
      <c r="A5355" t="s">
        <v>7289</v>
      </c>
    </row>
    <row r="5356" spans="1:1" x14ac:dyDescent="0.25">
      <c r="A5356" t="s">
        <v>7290</v>
      </c>
    </row>
    <row r="5357" spans="1:1" x14ac:dyDescent="0.25">
      <c r="A5357" t="s">
        <v>7291</v>
      </c>
    </row>
    <row r="5358" spans="1:1" x14ac:dyDescent="0.25">
      <c r="A5358" t="s">
        <v>7292</v>
      </c>
    </row>
    <row r="5359" spans="1:1" x14ac:dyDescent="0.25">
      <c r="A5359" t="s">
        <v>7293</v>
      </c>
    </row>
    <row r="5360" spans="1:1" x14ac:dyDescent="0.25">
      <c r="A5360" t="s">
        <v>7294</v>
      </c>
    </row>
    <row r="5361" spans="1:1" x14ac:dyDescent="0.25">
      <c r="A5361" t="s">
        <v>7295</v>
      </c>
    </row>
    <row r="5362" spans="1:1" x14ac:dyDescent="0.25">
      <c r="A5362" t="s">
        <v>7296</v>
      </c>
    </row>
    <row r="5363" spans="1:1" x14ac:dyDescent="0.25">
      <c r="A5363" t="s">
        <v>7297</v>
      </c>
    </row>
    <row r="5364" spans="1:1" x14ac:dyDescent="0.25">
      <c r="A5364" t="s">
        <v>7298</v>
      </c>
    </row>
    <row r="5365" spans="1:1" x14ac:dyDescent="0.25">
      <c r="A5365" t="s">
        <v>7299</v>
      </c>
    </row>
    <row r="5366" spans="1:1" x14ac:dyDescent="0.25">
      <c r="A5366" t="s">
        <v>7300</v>
      </c>
    </row>
    <row r="5367" spans="1:1" x14ac:dyDescent="0.25">
      <c r="A5367" t="s">
        <v>7301</v>
      </c>
    </row>
    <row r="5368" spans="1:1" x14ac:dyDescent="0.25">
      <c r="A5368" t="s">
        <v>7302</v>
      </c>
    </row>
    <row r="5369" spans="1:1" x14ac:dyDescent="0.25">
      <c r="A5369" t="s">
        <v>7303</v>
      </c>
    </row>
    <row r="5370" spans="1:1" x14ac:dyDescent="0.25">
      <c r="A5370" t="s">
        <v>7304</v>
      </c>
    </row>
    <row r="5371" spans="1:1" x14ac:dyDescent="0.25">
      <c r="A5371" t="s">
        <v>7305</v>
      </c>
    </row>
    <row r="5372" spans="1:1" x14ac:dyDescent="0.25">
      <c r="A5372" t="s">
        <v>7306</v>
      </c>
    </row>
    <row r="5373" spans="1:1" x14ac:dyDescent="0.25">
      <c r="A5373" t="s">
        <v>7307</v>
      </c>
    </row>
    <row r="5374" spans="1:1" x14ac:dyDescent="0.25">
      <c r="A5374" t="s">
        <v>7308</v>
      </c>
    </row>
    <row r="5375" spans="1:1" x14ac:dyDescent="0.25">
      <c r="A5375" t="s">
        <v>7309</v>
      </c>
    </row>
    <row r="5376" spans="1:1" x14ac:dyDescent="0.25">
      <c r="A5376" t="s">
        <v>7310</v>
      </c>
    </row>
    <row r="5377" spans="1:1" x14ac:dyDescent="0.25">
      <c r="A5377" t="s">
        <v>7311</v>
      </c>
    </row>
    <row r="5378" spans="1:1" x14ac:dyDescent="0.25">
      <c r="A5378" t="s">
        <v>7312</v>
      </c>
    </row>
    <row r="5379" spans="1:1" x14ac:dyDescent="0.25">
      <c r="A5379" t="s">
        <v>7313</v>
      </c>
    </row>
    <row r="5380" spans="1:1" x14ac:dyDescent="0.25">
      <c r="A5380" t="s">
        <v>7314</v>
      </c>
    </row>
    <row r="5381" spans="1:1" x14ac:dyDescent="0.25">
      <c r="A5381" t="s">
        <v>7315</v>
      </c>
    </row>
    <row r="5382" spans="1:1" x14ac:dyDescent="0.25">
      <c r="A5382" t="s">
        <v>7316</v>
      </c>
    </row>
    <row r="5383" spans="1:1" x14ac:dyDescent="0.25">
      <c r="A5383" t="s">
        <v>7317</v>
      </c>
    </row>
    <row r="5384" spans="1:1" x14ac:dyDescent="0.25">
      <c r="A5384" t="s">
        <v>7318</v>
      </c>
    </row>
    <row r="5385" spans="1:1" x14ac:dyDescent="0.25">
      <c r="A5385" t="s">
        <v>7319</v>
      </c>
    </row>
    <row r="5386" spans="1:1" x14ac:dyDescent="0.25">
      <c r="A5386" t="s">
        <v>7320</v>
      </c>
    </row>
    <row r="5387" spans="1:1" x14ac:dyDescent="0.25">
      <c r="A5387" t="s">
        <v>7321</v>
      </c>
    </row>
    <row r="5388" spans="1:1" x14ac:dyDescent="0.25">
      <c r="A5388" t="s">
        <v>7322</v>
      </c>
    </row>
    <row r="5389" spans="1:1" x14ac:dyDescent="0.25">
      <c r="A5389" t="s">
        <v>7323</v>
      </c>
    </row>
    <row r="5390" spans="1:1" x14ac:dyDescent="0.25">
      <c r="A5390" t="s">
        <v>7324</v>
      </c>
    </row>
    <row r="5391" spans="1:1" x14ac:dyDescent="0.25">
      <c r="A5391" t="s">
        <v>7325</v>
      </c>
    </row>
    <row r="5392" spans="1:1" x14ac:dyDescent="0.25">
      <c r="A5392" t="s">
        <v>7326</v>
      </c>
    </row>
    <row r="5393" spans="1:1" x14ac:dyDescent="0.25">
      <c r="A5393" t="s">
        <v>7327</v>
      </c>
    </row>
    <row r="5394" spans="1:1" x14ac:dyDescent="0.25">
      <c r="A5394" t="s">
        <v>7328</v>
      </c>
    </row>
    <row r="5395" spans="1:1" x14ac:dyDescent="0.25">
      <c r="A5395" t="s">
        <v>7329</v>
      </c>
    </row>
    <row r="5396" spans="1:1" x14ac:dyDescent="0.25">
      <c r="A5396" t="s">
        <v>7330</v>
      </c>
    </row>
    <row r="5397" spans="1:1" x14ac:dyDescent="0.25">
      <c r="A5397" t="s">
        <v>7331</v>
      </c>
    </row>
    <row r="5398" spans="1:1" x14ac:dyDescent="0.25">
      <c r="A5398" t="s">
        <v>7332</v>
      </c>
    </row>
    <row r="5399" spans="1:1" x14ac:dyDescent="0.25">
      <c r="A5399" t="s">
        <v>7333</v>
      </c>
    </row>
    <row r="5400" spans="1:1" x14ac:dyDescent="0.25">
      <c r="A5400" t="s">
        <v>7334</v>
      </c>
    </row>
    <row r="5401" spans="1:1" x14ac:dyDescent="0.25">
      <c r="A5401" t="s">
        <v>7335</v>
      </c>
    </row>
    <row r="5402" spans="1:1" x14ac:dyDescent="0.25">
      <c r="A5402" t="s">
        <v>7336</v>
      </c>
    </row>
    <row r="5403" spans="1:1" x14ac:dyDescent="0.25">
      <c r="A5403" t="s">
        <v>7337</v>
      </c>
    </row>
    <row r="5404" spans="1:1" x14ac:dyDescent="0.25">
      <c r="A5404" t="s">
        <v>7338</v>
      </c>
    </row>
    <row r="5405" spans="1:1" x14ac:dyDescent="0.25">
      <c r="A5405" t="s">
        <v>7339</v>
      </c>
    </row>
    <row r="5406" spans="1:1" x14ac:dyDescent="0.25">
      <c r="A5406" t="s">
        <v>7340</v>
      </c>
    </row>
    <row r="5407" spans="1:1" x14ac:dyDescent="0.25">
      <c r="A5407" t="s">
        <v>7341</v>
      </c>
    </row>
    <row r="5408" spans="1:1" x14ac:dyDescent="0.25">
      <c r="A5408" t="s">
        <v>7342</v>
      </c>
    </row>
    <row r="5409" spans="1:1" x14ac:dyDescent="0.25">
      <c r="A5409" t="s">
        <v>7343</v>
      </c>
    </row>
    <row r="5410" spans="1:1" x14ac:dyDescent="0.25">
      <c r="A5410" t="s">
        <v>7344</v>
      </c>
    </row>
    <row r="5411" spans="1:1" x14ac:dyDescent="0.25">
      <c r="A5411" t="s">
        <v>7345</v>
      </c>
    </row>
    <row r="5412" spans="1:1" x14ac:dyDescent="0.25">
      <c r="A5412" t="s">
        <v>7346</v>
      </c>
    </row>
    <row r="5413" spans="1:1" x14ac:dyDescent="0.25">
      <c r="A5413" t="s">
        <v>7347</v>
      </c>
    </row>
    <row r="5414" spans="1:1" x14ac:dyDescent="0.25">
      <c r="A5414" t="s">
        <v>7348</v>
      </c>
    </row>
    <row r="5415" spans="1:1" x14ac:dyDescent="0.25">
      <c r="A5415" t="s">
        <v>7349</v>
      </c>
    </row>
    <row r="5416" spans="1:1" x14ac:dyDescent="0.25">
      <c r="A5416" t="s">
        <v>7350</v>
      </c>
    </row>
    <row r="5417" spans="1:1" x14ac:dyDescent="0.25">
      <c r="A5417" t="s">
        <v>7351</v>
      </c>
    </row>
    <row r="5418" spans="1:1" x14ac:dyDescent="0.25">
      <c r="A5418" t="s">
        <v>7352</v>
      </c>
    </row>
    <row r="5419" spans="1:1" x14ac:dyDescent="0.25">
      <c r="A5419" t="s">
        <v>7353</v>
      </c>
    </row>
    <row r="5420" spans="1:1" x14ac:dyDescent="0.25">
      <c r="A5420" t="s">
        <v>7354</v>
      </c>
    </row>
    <row r="5421" spans="1:1" x14ac:dyDescent="0.25">
      <c r="A5421" t="s">
        <v>7355</v>
      </c>
    </row>
    <row r="5422" spans="1:1" x14ac:dyDescent="0.25">
      <c r="A5422" t="s">
        <v>7356</v>
      </c>
    </row>
    <row r="5423" spans="1:1" x14ac:dyDescent="0.25">
      <c r="A5423" t="s">
        <v>1558</v>
      </c>
    </row>
    <row r="5424" spans="1:1" x14ac:dyDescent="0.25">
      <c r="A5424" t="s">
        <v>3651</v>
      </c>
    </row>
    <row r="5425" spans="1:1" x14ac:dyDescent="0.25">
      <c r="A5425" t="s">
        <v>3652</v>
      </c>
    </row>
    <row r="5426" spans="1:1" x14ac:dyDescent="0.25">
      <c r="A5426" t="s">
        <v>3653</v>
      </c>
    </row>
    <row r="5427" spans="1:1" x14ac:dyDescent="0.25">
      <c r="A5427" t="s">
        <v>3654</v>
      </c>
    </row>
    <row r="5428" spans="1:1" x14ac:dyDescent="0.25">
      <c r="A5428" t="s">
        <v>3655</v>
      </c>
    </row>
    <row r="5429" spans="1:1" x14ac:dyDescent="0.25">
      <c r="A5429" t="s">
        <v>3656</v>
      </c>
    </row>
    <row r="5430" spans="1:1" x14ac:dyDescent="0.25">
      <c r="A5430" t="s">
        <v>3657</v>
      </c>
    </row>
    <row r="5431" spans="1:1" x14ac:dyDescent="0.25">
      <c r="A5431" t="s">
        <v>3658</v>
      </c>
    </row>
    <row r="5432" spans="1:1" x14ac:dyDescent="0.25">
      <c r="A5432" t="s">
        <v>3659</v>
      </c>
    </row>
    <row r="5433" spans="1:1" x14ac:dyDescent="0.25">
      <c r="A5433" t="s">
        <v>3660</v>
      </c>
    </row>
    <row r="5434" spans="1:1" x14ac:dyDescent="0.25">
      <c r="A5434" t="s">
        <v>3661</v>
      </c>
    </row>
    <row r="5435" spans="1:1" x14ac:dyDescent="0.25">
      <c r="A5435" t="s">
        <v>3662</v>
      </c>
    </row>
    <row r="5436" spans="1:1" x14ac:dyDescent="0.25">
      <c r="A5436" t="s">
        <v>3663</v>
      </c>
    </row>
    <row r="5437" spans="1:1" x14ac:dyDescent="0.25">
      <c r="A5437" t="s">
        <v>3664</v>
      </c>
    </row>
    <row r="5438" spans="1:1" x14ac:dyDescent="0.25">
      <c r="A5438" t="s">
        <v>3665</v>
      </c>
    </row>
    <row r="5439" spans="1:1" x14ac:dyDescent="0.25">
      <c r="A5439" t="s">
        <v>3666</v>
      </c>
    </row>
    <row r="5440" spans="1:1" x14ac:dyDescent="0.25">
      <c r="A5440" t="s">
        <v>3667</v>
      </c>
    </row>
    <row r="5441" spans="1:1" x14ac:dyDescent="0.25">
      <c r="A5441" t="s">
        <v>3668</v>
      </c>
    </row>
    <row r="5442" spans="1:1" x14ac:dyDescent="0.25">
      <c r="A5442" t="s">
        <v>3669</v>
      </c>
    </row>
    <row r="5443" spans="1:1" x14ac:dyDescent="0.25">
      <c r="A5443" t="s">
        <v>3670</v>
      </c>
    </row>
    <row r="5444" spans="1:1" x14ac:dyDescent="0.25">
      <c r="A5444" t="s">
        <v>3671</v>
      </c>
    </row>
    <row r="5445" spans="1:1" x14ac:dyDescent="0.25">
      <c r="A5445" t="s">
        <v>3672</v>
      </c>
    </row>
    <row r="5446" spans="1:1" x14ac:dyDescent="0.25">
      <c r="A5446" t="s">
        <v>3673</v>
      </c>
    </row>
    <row r="5447" spans="1:1" x14ac:dyDescent="0.25">
      <c r="A5447" t="s">
        <v>3674</v>
      </c>
    </row>
    <row r="5448" spans="1:1" x14ac:dyDescent="0.25">
      <c r="A5448" t="s">
        <v>3675</v>
      </c>
    </row>
    <row r="5449" spans="1:1" x14ac:dyDescent="0.25">
      <c r="A5449" t="s">
        <v>3676</v>
      </c>
    </row>
    <row r="5450" spans="1:1" x14ac:dyDescent="0.25">
      <c r="A5450" t="s">
        <v>3677</v>
      </c>
    </row>
    <row r="5451" spans="1:1" x14ac:dyDescent="0.25">
      <c r="A5451" t="s">
        <v>3678</v>
      </c>
    </row>
    <row r="5452" spans="1:1" x14ac:dyDescent="0.25">
      <c r="A5452" t="s">
        <v>3679</v>
      </c>
    </row>
    <row r="5453" spans="1:1" x14ac:dyDescent="0.25">
      <c r="A5453" t="s">
        <v>3680</v>
      </c>
    </row>
    <row r="5454" spans="1:1" x14ac:dyDescent="0.25">
      <c r="A5454" t="s">
        <v>3681</v>
      </c>
    </row>
    <row r="5455" spans="1:1" x14ac:dyDescent="0.25">
      <c r="A5455" t="s">
        <v>3682</v>
      </c>
    </row>
    <row r="5456" spans="1:1" x14ac:dyDescent="0.25">
      <c r="A5456" t="s">
        <v>3683</v>
      </c>
    </row>
    <row r="5457" spans="1:1" x14ac:dyDescent="0.25">
      <c r="A5457" t="s">
        <v>3684</v>
      </c>
    </row>
    <row r="5458" spans="1:1" x14ac:dyDescent="0.25">
      <c r="A5458" t="s">
        <v>3685</v>
      </c>
    </row>
    <row r="5459" spans="1:1" x14ac:dyDescent="0.25">
      <c r="A5459" t="s">
        <v>3686</v>
      </c>
    </row>
    <row r="5460" spans="1:1" x14ac:dyDescent="0.25">
      <c r="A5460" t="s">
        <v>3687</v>
      </c>
    </row>
    <row r="5461" spans="1:1" x14ac:dyDescent="0.25">
      <c r="A5461" t="s">
        <v>3688</v>
      </c>
    </row>
    <row r="5462" spans="1:1" x14ac:dyDescent="0.25">
      <c r="A5462" t="s">
        <v>3689</v>
      </c>
    </row>
    <row r="5463" spans="1:1" x14ac:dyDescent="0.25">
      <c r="A5463" t="s">
        <v>3690</v>
      </c>
    </row>
    <row r="5464" spans="1:1" x14ac:dyDescent="0.25">
      <c r="A5464" t="s">
        <v>3691</v>
      </c>
    </row>
    <row r="5465" spans="1:1" x14ac:dyDescent="0.25">
      <c r="A5465" t="s">
        <v>3692</v>
      </c>
    </row>
    <row r="5466" spans="1:1" x14ac:dyDescent="0.25">
      <c r="A5466" t="s">
        <v>3693</v>
      </c>
    </row>
    <row r="5467" spans="1:1" x14ac:dyDescent="0.25">
      <c r="A5467" t="s">
        <v>3694</v>
      </c>
    </row>
    <row r="5468" spans="1:1" x14ac:dyDescent="0.25">
      <c r="A5468" t="s">
        <v>3695</v>
      </c>
    </row>
    <row r="5469" spans="1:1" x14ac:dyDescent="0.25">
      <c r="A5469" t="s">
        <v>3696</v>
      </c>
    </row>
    <row r="5470" spans="1:1" x14ac:dyDescent="0.25">
      <c r="A5470" t="s">
        <v>3697</v>
      </c>
    </row>
    <row r="5471" spans="1:1" x14ac:dyDescent="0.25">
      <c r="A5471" t="s">
        <v>3698</v>
      </c>
    </row>
    <row r="5472" spans="1:1" x14ac:dyDescent="0.25">
      <c r="A5472" t="s">
        <v>3699</v>
      </c>
    </row>
    <row r="5473" spans="1:1" x14ac:dyDescent="0.25">
      <c r="A5473" t="s">
        <v>3700</v>
      </c>
    </row>
    <row r="5474" spans="1:1" x14ac:dyDescent="0.25">
      <c r="A5474" t="s">
        <v>3701</v>
      </c>
    </row>
    <row r="5475" spans="1:1" x14ac:dyDescent="0.25">
      <c r="A5475" t="s">
        <v>3702</v>
      </c>
    </row>
    <row r="5476" spans="1:1" x14ac:dyDescent="0.25">
      <c r="A5476" t="s">
        <v>3703</v>
      </c>
    </row>
    <row r="5477" spans="1:1" x14ac:dyDescent="0.25">
      <c r="A5477" t="s">
        <v>3704</v>
      </c>
    </row>
    <row r="5478" spans="1:1" x14ac:dyDescent="0.25">
      <c r="A5478" t="s">
        <v>3705</v>
      </c>
    </row>
    <row r="5479" spans="1:1" x14ac:dyDescent="0.25">
      <c r="A5479" t="s">
        <v>3706</v>
      </c>
    </row>
    <row r="5480" spans="1:1" x14ac:dyDescent="0.25">
      <c r="A5480" t="s">
        <v>3707</v>
      </c>
    </row>
    <row r="5481" spans="1:1" x14ac:dyDescent="0.25">
      <c r="A5481" t="s">
        <v>3708</v>
      </c>
    </row>
    <row r="5482" spans="1:1" x14ac:dyDescent="0.25">
      <c r="A5482" t="s">
        <v>3709</v>
      </c>
    </row>
    <row r="5483" spans="1:1" x14ac:dyDescent="0.25">
      <c r="A5483" t="s">
        <v>3710</v>
      </c>
    </row>
    <row r="5484" spans="1:1" x14ac:dyDescent="0.25">
      <c r="A5484" t="s">
        <v>3711</v>
      </c>
    </row>
    <row r="5485" spans="1:1" x14ac:dyDescent="0.25">
      <c r="A5485" t="s">
        <v>3712</v>
      </c>
    </row>
    <row r="5486" spans="1:1" x14ac:dyDescent="0.25">
      <c r="A5486" t="s">
        <v>3713</v>
      </c>
    </row>
    <row r="5487" spans="1:1" x14ac:dyDescent="0.25">
      <c r="A5487" t="s">
        <v>3714</v>
      </c>
    </row>
    <row r="5488" spans="1:1" x14ac:dyDescent="0.25">
      <c r="A5488" t="s">
        <v>3715</v>
      </c>
    </row>
    <row r="5489" spans="1:1" x14ac:dyDescent="0.25">
      <c r="A5489" t="s">
        <v>3716</v>
      </c>
    </row>
    <row r="5490" spans="1:1" x14ac:dyDescent="0.25">
      <c r="A5490" t="s">
        <v>3717</v>
      </c>
    </row>
    <row r="5491" spans="1:1" x14ac:dyDescent="0.25">
      <c r="A5491" t="s">
        <v>3718</v>
      </c>
    </row>
    <row r="5492" spans="1:1" x14ac:dyDescent="0.25">
      <c r="A5492" t="s">
        <v>3719</v>
      </c>
    </row>
    <row r="5493" spans="1:1" x14ac:dyDescent="0.25">
      <c r="A5493" t="s">
        <v>3720</v>
      </c>
    </row>
    <row r="5494" spans="1:1" x14ac:dyDescent="0.25">
      <c r="A5494" t="s">
        <v>3721</v>
      </c>
    </row>
    <row r="5495" spans="1:1" x14ac:dyDescent="0.25">
      <c r="A5495" t="s">
        <v>3722</v>
      </c>
    </row>
    <row r="5496" spans="1:1" x14ac:dyDescent="0.25">
      <c r="A5496" t="s">
        <v>3723</v>
      </c>
    </row>
    <row r="5497" spans="1:1" x14ac:dyDescent="0.25">
      <c r="A5497" t="s">
        <v>3724</v>
      </c>
    </row>
    <row r="5498" spans="1:1" x14ac:dyDescent="0.25">
      <c r="A5498" t="s">
        <v>3725</v>
      </c>
    </row>
    <row r="5499" spans="1:1" x14ac:dyDescent="0.25">
      <c r="A5499" t="s">
        <v>3726</v>
      </c>
    </row>
    <row r="5500" spans="1:1" x14ac:dyDescent="0.25">
      <c r="A5500" t="s">
        <v>3727</v>
      </c>
    </row>
    <row r="5501" spans="1:1" x14ac:dyDescent="0.25">
      <c r="A5501" t="s">
        <v>3728</v>
      </c>
    </row>
    <row r="5502" spans="1:1" x14ac:dyDescent="0.25">
      <c r="A5502" t="s">
        <v>3729</v>
      </c>
    </row>
    <row r="5503" spans="1:1" x14ac:dyDescent="0.25">
      <c r="A5503" t="s">
        <v>3730</v>
      </c>
    </row>
    <row r="5504" spans="1:1" x14ac:dyDescent="0.25">
      <c r="A5504" t="s">
        <v>3731</v>
      </c>
    </row>
    <row r="5505" spans="1:1" x14ac:dyDescent="0.25">
      <c r="A5505" t="s">
        <v>3732</v>
      </c>
    </row>
    <row r="5506" spans="1:1" x14ac:dyDescent="0.25">
      <c r="A5506" t="s">
        <v>3733</v>
      </c>
    </row>
    <row r="5507" spans="1:1" x14ac:dyDescent="0.25">
      <c r="A5507" t="s">
        <v>3734</v>
      </c>
    </row>
    <row r="5508" spans="1:1" x14ac:dyDescent="0.25">
      <c r="A5508" t="s">
        <v>3735</v>
      </c>
    </row>
    <row r="5509" spans="1:1" x14ac:dyDescent="0.25">
      <c r="A5509" t="s">
        <v>3736</v>
      </c>
    </row>
    <row r="5510" spans="1:1" x14ac:dyDescent="0.25">
      <c r="A5510" t="s">
        <v>3737</v>
      </c>
    </row>
    <row r="5511" spans="1:1" x14ac:dyDescent="0.25">
      <c r="A5511" t="s">
        <v>3738</v>
      </c>
    </row>
    <row r="5512" spans="1:1" x14ac:dyDescent="0.25">
      <c r="A5512" t="s">
        <v>3739</v>
      </c>
    </row>
    <row r="5513" spans="1:1" x14ac:dyDescent="0.25">
      <c r="A5513" t="s">
        <v>3740</v>
      </c>
    </row>
    <row r="5514" spans="1:1" x14ac:dyDescent="0.25">
      <c r="A5514" t="s">
        <v>3741</v>
      </c>
    </row>
    <row r="5515" spans="1:1" x14ac:dyDescent="0.25">
      <c r="A5515" t="s">
        <v>3742</v>
      </c>
    </row>
    <row r="5516" spans="1:1" x14ac:dyDescent="0.25">
      <c r="A5516" t="s">
        <v>3743</v>
      </c>
    </row>
    <row r="5517" spans="1:1" x14ac:dyDescent="0.25">
      <c r="A5517" t="s">
        <v>3744</v>
      </c>
    </row>
    <row r="5518" spans="1:1" x14ac:dyDescent="0.25">
      <c r="A5518" t="s">
        <v>3745</v>
      </c>
    </row>
    <row r="5519" spans="1:1" x14ac:dyDescent="0.25">
      <c r="A5519" t="s">
        <v>3746</v>
      </c>
    </row>
    <row r="5520" spans="1:1" x14ac:dyDescent="0.25">
      <c r="A5520" t="s">
        <v>3747</v>
      </c>
    </row>
    <row r="5521" spans="1:1" x14ac:dyDescent="0.25">
      <c r="A5521" t="s">
        <v>3748</v>
      </c>
    </row>
    <row r="5522" spans="1:1" x14ac:dyDescent="0.25">
      <c r="A5522" t="s">
        <v>3749</v>
      </c>
    </row>
    <row r="5523" spans="1:1" x14ac:dyDescent="0.25">
      <c r="A5523" t="s">
        <v>3750</v>
      </c>
    </row>
    <row r="5524" spans="1:1" x14ac:dyDescent="0.25">
      <c r="A5524" t="s">
        <v>3751</v>
      </c>
    </row>
    <row r="5525" spans="1:1" x14ac:dyDescent="0.25">
      <c r="A5525" t="s">
        <v>3752</v>
      </c>
    </row>
    <row r="5526" spans="1:1" x14ac:dyDescent="0.25">
      <c r="A5526" t="s">
        <v>3753</v>
      </c>
    </row>
    <row r="5527" spans="1:1" x14ac:dyDescent="0.25">
      <c r="A5527" t="s">
        <v>3754</v>
      </c>
    </row>
    <row r="5528" spans="1:1" x14ac:dyDescent="0.25">
      <c r="A5528" t="s">
        <v>3755</v>
      </c>
    </row>
    <row r="5529" spans="1:1" x14ac:dyDescent="0.25">
      <c r="A5529" t="s">
        <v>3756</v>
      </c>
    </row>
    <row r="5530" spans="1:1" x14ac:dyDescent="0.25">
      <c r="A5530" t="s">
        <v>3757</v>
      </c>
    </row>
    <row r="5531" spans="1:1" x14ac:dyDescent="0.25">
      <c r="A5531" t="s">
        <v>3758</v>
      </c>
    </row>
    <row r="5532" spans="1:1" x14ac:dyDescent="0.25">
      <c r="A5532" t="s">
        <v>3759</v>
      </c>
    </row>
    <row r="5533" spans="1:1" x14ac:dyDescent="0.25">
      <c r="A5533" t="s">
        <v>3760</v>
      </c>
    </row>
    <row r="5534" spans="1:1" x14ac:dyDescent="0.25">
      <c r="A5534" t="s">
        <v>3761</v>
      </c>
    </row>
    <row r="5535" spans="1:1" x14ac:dyDescent="0.25">
      <c r="A5535" t="s">
        <v>3762</v>
      </c>
    </row>
    <row r="5536" spans="1:1" x14ac:dyDescent="0.25">
      <c r="A5536" t="s">
        <v>3763</v>
      </c>
    </row>
    <row r="5537" spans="1:1" x14ac:dyDescent="0.25">
      <c r="A5537" t="s">
        <v>3764</v>
      </c>
    </row>
    <row r="5538" spans="1:1" x14ac:dyDescent="0.25">
      <c r="A5538" t="s">
        <v>3765</v>
      </c>
    </row>
    <row r="5539" spans="1:1" x14ac:dyDescent="0.25">
      <c r="A5539" t="s">
        <v>3766</v>
      </c>
    </row>
    <row r="5540" spans="1:1" x14ac:dyDescent="0.25">
      <c r="A5540" t="s">
        <v>3767</v>
      </c>
    </row>
    <row r="5541" spans="1:1" x14ac:dyDescent="0.25">
      <c r="A5541" t="s">
        <v>3768</v>
      </c>
    </row>
    <row r="5542" spans="1:1" x14ac:dyDescent="0.25">
      <c r="A5542" t="s">
        <v>3769</v>
      </c>
    </row>
    <row r="5543" spans="1:1" x14ac:dyDescent="0.25">
      <c r="A5543" t="s">
        <v>3770</v>
      </c>
    </row>
    <row r="5544" spans="1:1" x14ac:dyDescent="0.25">
      <c r="A5544" t="s">
        <v>3771</v>
      </c>
    </row>
    <row r="5545" spans="1:1" x14ac:dyDescent="0.25">
      <c r="A5545" t="s">
        <v>3772</v>
      </c>
    </row>
    <row r="5546" spans="1:1" x14ac:dyDescent="0.25">
      <c r="A5546" t="s">
        <v>3773</v>
      </c>
    </row>
    <row r="5547" spans="1:1" x14ac:dyDescent="0.25">
      <c r="A5547" t="s">
        <v>3774</v>
      </c>
    </row>
    <row r="5548" spans="1:1" x14ac:dyDescent="0.25">
      <c r="A5548" t="s">
        <v>3775</v>
      </c>
    </row>
    <row r="5549" spans="1:1" x14ac:dyDescent="0.25">
      <c r="A5549" t="s">
        <v>3776</v>
      </c>
    </row>
    <row r="5550" spans="1:1" x14ac:dyDescent="0.25">
      <c r="A5550" t="s">
        <v>3777</v>
      </c>
    </row>
    <row r="5551" spans="1:1" x14ac:dyDescent="0.25">
      <c r="A5551" t="s">
        <v>3778</v>
      </c>
    </row>
    <row r="5552" spans="1:1" x14ac:dyDescent="0.25">
      <c r="A5552" t="s">
        <v>3779</v>
      </c>
    </row>
    <row r="5553" spans="1:1" x14ac:dyDescent="0.25">
      <c r="A5553" t="s">
        <v>3780</v>
      </c>
    </row>
    <row r="5554" spans="1:1" x14ac:dyDescent="0.25">
      <c r="A5554" t="s">
        <v>3781</v>
      </c>
    </row>
    <row r="5555" spans="1:1" x14ac:dyDescent="0.25">
      <c r="A5555" t="s">
        <v>3782</v>
      </c>
    </row>
    <row r="5556" spans="1:1" x14ac:dyDescent="0.25">
      <c r="A5556" t="s">
        <v>3783</v>
      </c>
    </row>
    <row r="5557" spans="1:1" x14ac:dyDescent="0.25">
      <c r="A5557" t="s">
        <v>3784</v>
      </c>
    </row>
    <row r="5558" spans="1:1" x14ac:dyDescent="0.25">
      <c r="A5558" t="s">
        <v>3785</v>
      </c>
    </row>
    <row r="5559" spans="1:1" x14ac:dyDescent="0.25">
      <c r="A5559" t="s">
        <v>3786</v>
      </c>
    </row>
    <row r="5560" spans="1:1" x14ac:dyDescent="0.25">
      <c r="A5560" t="s">
        <v>3787</v>
      </c>
    </row>
    <row r="5561" spans="1:1" x14ac:dyDescent="0.25">
      <c r="A5561" t="s">
        <v>3788</v>
      </c>
    </row>
    <row r="5562" spans="1:1" x14ac:dyDescent="0.25">
      <c r="A5562" t="s">
        <v>3789</v>
      </c>
    </row>
    <row r="5563" spans="1:1" x14ac:dyDescent="0.25">
      <c r="A5563" t="s">
        <v>3790</v>
      </c>
    </row>
    <row r="5564" spans="1:1" x14ac:dyDescent="0.25">
      <c r="A5564" t="s">
        <v>3791</v>
      </c>
    </row>
    <row r="5565" spans="1:1" x14ac:dyDescent="0.25">
      <c r="A5565" t="s">
        <v>3792</v>
      </c>
    </row>
    <row r="5566" spans="1:1" x14ac:dyDescent="0.25">
      <c r="A5566" t="s">
        <v>3793</v>
      </c>
    </row>
    <row r="5567" spans="1:1" x14ac:dyDescent="0.25">
      <c r="A5567" t="s">
        <v>3794</v>
      </c>
    </row>
    <row r="5568" spans="1:1" x14ac:dyDescent="0.25">
      <c r="A5568" t="s">
        <v>3795</v>
      </c>
    </row>
    <row r="5569" spans="1:1" x14ac:dyDescent="0.25">
      <c r="A5569" t="s">
        <v>3796</v>
      </c>
    </row>
    <row r="5570" spans="1:1" x14ac:dyDescent="0.25">
      <c r="A5570" t="s">
        <v>3797</v>
      </c>
    </row>
    <row r="5571" spans="1:1" x14ac:dyDescent="0.25">
      <c r="A5571" t="s">
        <v>3798</v>
      </c>
    </row>
    <row r="5572" spans="1:1" x14ac:dyDescent="0.25">
      <c r="A5572" t="s">
        <v>3799</v>
      </c>
    </row>
    <row r="5573" spans="1:1" x14ac:dyDescent="0.25">
      <c r="A5573" t="s">
        <v>3800</v>
      </c>
    </row>
    <row r="5574" spans="1:1" x14ac:dyDescent="0.25">
      <c r="A5574" t="s">
        <v>3801</v>
      </c>
    </row>
    <row r="5575" spans="1:1" x14ac:dyDescent="0.25">
      <c r="A5575" t="s">
        <v>3802</v>
      </c>
    </row>
    <row r="5576" spans="1:1" x14ac:dyDescent="0.25">
      <c r="A5576" t="s">
        <v>3803</v>
      </c>
    </row>
    <row r="5577" spans="1:1" x14ac:dyDescent="0.25">
      <c r="A5577" t="s">
        <v>3804</v>
      </c>
    </row>
    <row r="5578" spans="1:1" x14ac:dyDescent="0.25">
      <c r="A5578" t="s">
        <v>3805</v>
      </c>
    </row>
    <row r="5579" spans="1:1" x14ac:dyDescent="0.25">
      <c r="A5579" t="s">
        <v>3806</v>
      </c>
    </row>
    <row r="5580" spans="1:1" x14ac:dyDescent="0.25">
      <c r="A5580" t="s">
        <v>3807</v>
      </c>
    </row>
    <row r="5581" spans="1:1" x14ac:dyDescent="0.25">
      <c r="A5581" t="s">
        <v>3808</v>
      </c>
    </row>
    <row r="5582" spans="1:1" x14ac:dyDescent="0.25">
      <c r="A5582" t="s">
        <v>3809</v>
      </c>
    </row>
    <row r="5583" spans="1:1" x14ac:dyDescent="0.25">
      <c r="A5583" t="s">
        <v>3810</v>
      </c>
    </row>
    <row r="5584" spans="1:1" x14ac:dyDescent="0.25">
      <c r="A5584" t="s">
        <v>3811</v>
      </c>
    </row>
    <row r="5585" spans="1:1" x14ac:dyDescent="0.25">
      <c r="A5585" t="s">
        <v>3812</v>
      </c>
    </row>
    <row r="5586" spans="1:1" x14ac:dyDescent="0.25">
      <c r="A5586" t="s">
        <v>3813</v>
      </c>
    </row>
    <row r="5587" spans="1:1" x14ac:dyDescent="0.25">
      <c r="A5587" t="s">
        <v>3814</v>
      </c>
    </row>
    <row r="5588" spans="1:1" x14ac:dyDescent="0.25">
      <c r="A5588" t="s">
        <v>3815</v>
      </c>
    </row>
    <row r="5589" spans="1:1" x14ac:dyDescent="0.25">
      <c r="A5589" t="s">
        <v>3816</v>
      </c>
    </row>
    <row r="5590" spans="1:1" x14ac:dyDescent="0.25">
      <c r="A5590" t="s">
        <v>3817</v>
      </c>
    </row>
    <row r="5591" spans="1:1" x14ac:dyDescent="0.25">
      <c r="A5591" t="s">
        <v>3818</v>
      </c>
    </row>
    <row r="5592" spans="1:1" x14ac:dyDescent="0.25">
      <c r="A5592" t="s">
        <v>3819</v>
      </c>
    </row>
    <row r="5593" spans="1:1" x14ac:dyDescent="0.25">
      <c r="A5593" t="s">
        <v>3820</v>
      </c>
    </row>
    <row r="5594" spans="1:1" x14ac:dyDescent="0.25">
      <c r="A5594" t="s">
        <v>3821</v>
      </c>
    </row>
    <row r="5595" spans="1:1" x14ac:dyDescent="0.25">
      <c r="A5595" t="s">
        <v>3822</v>
      </c>
    </row>
    <row r="5596" spans="1:1" x14ac:dyDescent="0.25">
      <c r="A5596" t="s">
        <v>3823</v>
      </c>
    </row>
    <row r="5597" spans="1:1" x14ac:dyDescent="0.25">
      <c r="A5597" t="s">
        <v>3824</v>
      </c>
    </row>
    <row r="5598" spans="1:1" x14ac:dyDescent="0.25">
      <c r="A5598" t="s">
        <v>3825</v>
      </c>
    </row>
    <row r="5599" spans="1:1" x14ac:dyDescent="0.25">
      <c r="A5599" t="s">
        <v>3826</v>
      </c>
    </row>
    <row r="5600" spans="1:1" x14ac:dyDescent="0.25">
      <c r="A5600" t="s">
        <v>3827</v>
      </c>
    </row>
    <row r="5601" spans="1:1" x14ac:dyDescent="0.25">
      <c r="A5601" t="s">
        <v>3828</v>
      </c>
    </row>
    <row r="5602" spans="1:1" x14ac:dyDescent="0.25">
      <c r="A5602" t="s">
        <v>3829</v>
      </c>
    </row>
    <row r="5603" spans="1:1" x14ac:dyDescent="0.25">
      <c r="A5603" t="s">
        <v>3830</v>
      </c>
    </row>
    <row r="5604" spans="1:1" x14ac:dyDescent="0.25">
      <c r="A5604" t="s">
        <v>3831</v>
      </c>
    </row>
    <row r="5605" spans="1:1" x14ac:dyDescent="0.25">
      <c r="A5605" t="s">
        <v>3832</v>
      </c>
    </row>
    <row r="5606" spans="1:1" x14ac:dyDescent="0.25">
      <c r="A5606" t="s">
        <v>3833</v>
      </c>
    </row>
    <row r="5607" spans="1:1" x14ac:dyDescent="0.25">
      <c r="A5607" t="s">
        <v>3834</v>
      </c>
    </row>
    <row r="5608" spans="1:1" x14ac:dyDescent="0.25">
      <c r="A5608" t="s">
        <v>3835</v>
      </c>
    </row>
    <row r="5609" spans="1:1" x14ac:dyDescent="0.25">
      <c r="A5609" t="s">
        <v>3836</v>
      </c>
    </row>
    <row r="5610" spans="1:1" x14ac:dyDescent="0.25">
      <c r="A5610" t="s">
        <v>3837</v>
      </c>
    </row>
    <row r="5611" spans="1:1" x14ac:dyDescent="0.25">
      <c r="A5611" t="s">
        <v>3838</v>
      </c>
    </row>
    <row r="5612" spans="1:1" x14ac:dyDescent="0.25">
      <c r="A5612" t="s">
        <v>3839</v>
      </c>
    </row>
    <row r="5613" spans="1:1" x14ac:dyDescent="0.25">
      <c r="A5613" t="s">
        <v>3840</v>
      </c>
    </row>
    <row r="5614" spans="1:1" x14ac:dyDescent="0.25">
      <c r="A5614" t="s">
        <v>3841</v>
      </c>
    </row>
    <row r="5615" spans="1:1" x14ac:dyDescent="0.25">
      <c r="A5615" t="s">
        <v>3842</v>
      </c>
    </row>
    <row r="5616" spans="1:1" x14ac:dyDescent="0.25">
      <c r="A5616" t="s">
        <v>3843</v>
      </c>
    </row>
    <row r="5617" spans="1:1" x14ac:dyDescent="0.25">
      <c r="A5617" t="s">
        <v>3844</v>
      </c>
    </row>
    <row r="5618" spans="1:1" x14ac:dyDescent="0.25">
      <c r="A5618" t="s">
        <v>3845</v>
      </c>
    </row>
    <row r="5619" spans="1:1" x14ac:dyDescent="0.25">
      <c r="A5619" t="s">
        <v>3846</v>
      </c>
    </row>
    <row r="5620" spans="1:1" x14ac:dyDescent="0.25">
      <c r="A5620" t="s">
        <v>3847</v>
      </c>
    </row>
    <row r="5621" spans="1:1" x14ac:dyDescent="0.25">
      <c r="A5621" t="s">
        <v>3848</v>
      </c>
    </row>
    <row r="5622" spans="1:1" x14ac:dyDescent="0.25">
      <c r="A5622" t="s">
        <v>3849</v>
      </c>
    </row>
    <row r="5623" spans="1:1" x14ac:dyDescent="0.25">
      <c r="A5623" t="s">
        <v>3850</v>
      </c>
    </row>
    <row r="5624" spans="1:1" x14ac:dyDescent="0.25">
      <c r="A5624" t="s">
        <v>3851</v>
      </c>
    </row>
    <row r="5625" spans="1:1" x14ac:dyDescent="0.25">
      <c r="A5625" t="s">
        <v>3852</v>
      </c>
    </row>
    <row r="5626" spans="1:1" x14ac:dyDescent="0.25">
      <c r="A5626" t="s">
        <v>3853</v>
      </c>
    </row>
    <row r="5627" spans="1:1" x14ac:dyDescent="0.25">
      <c r="A5627" t="s">
        <v>3854</v>
      </c>
    </row>
    <row r="5628" spans="1:1" x14ac:dyDescent="0.25">
      <c r="A5628" t="s">
        <v>3855</v>
      </c>
    </row>
    <row r="5629" spans="1:1" x14ac:dyDescent="0.25">
      <c r="A5629" t="s">
        <v>3856</v>
      </c>
    </row>
    <row r="5630" spans="1:1" x14ac:dyDescent="0.25">
      <c r="A5630" t="s">
        <v>3857</v>
      </c>
    </row>
    <row r="5631" spans="1:1" x14ac:dyDescent="0.25">
      <c r="A5631" t="s">
        <v>3858</v>
      </c>
    </row>
    <row r="5632" spans="1:1" x14ac:dyDescent="0.25">
      <c r="A5632" t="s">
        <v>3859</v>
      </c>
    </row>
    <row r="5633" spans="1:1" x14ac:dyDescent="0.25">
      <c r="A5633" t="s">
        <v>3860</v>
      </c>
    </row>
    <row r="5634" spans="1:1" x14ac:dyDescent="0.25">
      <c r="A5634" t="s">
        <v>3861</v>
      </c>
    </row>
    <row r="5635" spans="1:1" x14ac:dyDescent="0.25">
      <c r="A5635" t="s">
        <v>3862</v>
      </c>
    </row>
    <row r="5636" spans="1:1" x14ac:dyDescent="0.25">
      <c r="A5636" t="s">
        <v>3863</v>
      </c>
    </row>
    <row r="5637" spans="1:1" x14ac:dyDescent="0.25">
      <c r="A5637" t="s">
        <v>3864</v>
      </c>
    </row>
    <row r="5638" spans="1:1" x14ac:dyDescent="0.25">
      <c r="A5638" t="s">
        <v>3865</v>
      </c>
    </row>
    <row r="5639" spans="1:1" x14ac:dyDescent="0.25">
      <c r="A5639" t="s">
        <v>3866</v>
      </c>
    </row>
    <row r="5640" spans="1:1" x14ac:dyDescent="0.25">
      <c r="A5640" t="s">
        <v>3867</v>
      </c>
    </row>
    <row r="5641" spans="1:1" x14ac:dyDescent="0.25">
      <c r="A5641" t="s">
        <v>3868</v>
      </c>
    </row>
    <row r="5642" spans="1:1" x14ac:dyDescent="0.25">
      <c r="A5642" t="s">
        <v>3869</v>
      </c>
    </row>
    <row r="5643" spans="1:1" x14ac:dyDescent="0.25">
      <c r="A5643" t="s">
        <v>3870</v>
      </c>
    </row>
    <row r="5644" spans="1:1" x14ac:dyDescent="0.25">
      <c r="A5644" t="s">
        <v>3871</v>
      </c>
    </row>
    <row r="5645" spans="1:1" x14ac:dyDescent="0.25">
      <c r="A5645" t="s">
        <v>3872</v>
      </c>
    </row>
    <row r="5646" spans="1:1" x14ac:dyDescent="0.25">
      <c r="A5646" t="s">
        <v>3873</v>
      </c>
    </row>
    <row r="5647" spans="1:1" x14ac:dyDescent="0.25">
      <c r="A5647" t="s">
        <v>3874</v>
      </c>
    </row>
    <row r="5648" spans="1:1" x14ac:dyDescent="0.25">
      <c r="A5648" t="s">
        <v>3875</v>
      </c>
    </row>
    <row r="5649" spans="1:1" x14ac:dyDescent="0.25">
      <c r="A5649" t="s">
        <v>3876</v>
      </c>
    </row>
    <row r="5650" spans="1:1" x14ac:dyDescent="0.25">
      <c r="A5650" t="s">
        <v>3877</v>
      </c>
    </row>
    <row r="5651" spans="1:1" x14ac:dyDescent="0.25">
      <c r="A5651" t="s">
        <v>3878</v>
      </c>
    </row>
    <row r="5652" spans="1:1" x14ac:dyDescent="0.25">
      <c r="A5652" t="s">
        <v>3879</v>
      </c>
    </row>
    <row r="5653" spans="1:1" x14ac:dyDescent="0.25">
      <c r="A5653" t="s">
        <v>3880</v>
      </c>
    </row>
    <row r="5654" spans="1:1" x14ac:dyDescent="0.25">
      <c r="A5654" t="s">
        <v>3881</v>
      </c>
    </row>
    <row r="5655" spans="1:1" x14ac:dyDescent="0.25">
      <c r="A5655" t="s">
        <v>3882</v>
      </c>
    </row>
    <row r="5656" spans="1:1" x14ac:dyDescent="0.25">
      <c r="A5656" t="s">
        <v>3883</v>
      </c>
    </row>
    <row r="5657" spans="1:1" x14ac:dyDescent="0.25">
      <c r="A5657" t="s">
        <v>3884</v>
      </c>
    </row>
    <row r="5658" spans="1:1" x14ac:dyDescent="0.25">
      <c r="A5658" t="s">
        <v>3885</v>
      </c>
    </row>
    <row r="5659" spans="1:1" x14ac:dyDescent="0.25">
      <c r="A5659" t="s">
        <v>3886</v>
      </c>
    </row>
    <row r="5660" spans="1:1" x14ac:dyDescent="0.25">
      <c r="A5660" t="s">
        <v>3887</v>
      </c>
    </row>
    <row r="5661" spans="1:1" x14ac:dyDescent="0.25">
      <c r="A5661" t="s">
        <v>3888</v>
      </c>
    </row>
    <row r="5662" spans="1:1" x14ac:dyDescent="0.25">
      <c r="A5662" t="s">
        <v>3889</v>
      </c>
    </row>
    <row r="5663" spans="1:1" x14ac:dyDescent="0.25">
      <c r="A5663" t="s">
        <v>3890</v>
      </c>
    </row>
    <row r="5664" spans="1:1" x14ac:dyDescent="0.25">
      <c r="A5664" t="s">
        <v>3891</v>
      </c>
    </row>
    <row r="5665" spans="1:1" x14ac:dyDescent="0.25">
      <c r="A5665" t="s">
        <v>3892</v>
      </c>
    </row>
    <row r="5666" spans="1:1" x14ac:dyDescent="0.25">
      <c r="A5666" t="s">
        <v>3893</v>
      </c>
    </row>
    <row r="5667" spans="1:1" x14ac:dyDescent="0.25">
      <c r="A5667" t="s">
        <v>3894</v>
      </c>
    </row>
    <row r="5668" spans="1:1" x14ac:dyDescent="0.25">
      <c r="A5668" t="s">
        <v>3895</v>
      </c>
    </row>
    <row r="5669" spans="1:1" x14ac:dyDescent="0.25">
      <c r="A5669" t="s">
        <v>3896</v>
      </c>
    </row>
    <row r="5670" spans="1:1" x14ac:dyDescent="0.25">
      <c r="A5670" t="s">
        <v>3897</v>
      </c>
    </row>
    <row r="5671" spans="1:1" x14ac:dyDescent="0.25">
      <c r="A5671" t="s">
        <v>3898</v>
      </c>
    </row>
    <row r="5672" spans="1:1" x14ac:dyDescent="0.25">
      <c r="A5672" t="s">
        <v>3899</v>
      </c>
    </row>
    <row r="5673" spans="1:1" x14ac:dyDescent="0.25">
      <c r="A5673" t="s">
        <v>3900</v>
      </c>
    </row>
    <row r="5674" spans="1:1" x14ac:dyDescent="0.25">
      <c r="A5674" t="s">
        <v>3901</v>
      </c>
    </row>
    <row r="5675" spans="1:1" x14ac:dyDescent="0.25">
      <c r="A5675" t="s">
        <v>3902</v>
      </c>
    </row>
    <row r="5676" spans="1:1" x14ac:dyDescent="0.25">
      <c r="A5676" t="s">
        <v>3903</v>
      </c>
    </row>
    <row r="5677" spans="1:1" x14ac:dyDescent="0.25">
      <c r="A5677" t="s">
        <v>3904</v>
      </c>
    </row>
    <row r="5678" spans="1:1" x14ac:dyDescent="0.25">
      <c r="A5678" t="s">
        <v>3905</v>
      </c>
    </row>
    <row r="5679" spans="1:1" x14ac:dyDescent="0.25">
      <c r="A5679" t="s">
        <v>3906</v>
      </c>
    </row>
    <row r="5680" spans="1:1" x14ac:dyDescent="0.25">
      <c r="A5680" t="s">
        <v>3907</v>
      </c>
    </row>
    <row r="5681" spans="1:1" x14ac:dyDescent="0.25">
      <c r="A5681" t="s">
        <v>3908</v>
      </c>
    </row>
    <row r="5682" spans="1:1" x14ac:dyDescent="0.25">
      <c r="A5682" t="s">
        <v>3909</v>
      </c>
    </row>
    <row r="5683" spans="1:1" x14ac:dyDescent="0.25">
      <c r="A5683" t="s">
        <v>3910</v>
      </c>
    </row>
    <row r="5684" spans="1:1" x14ac:dyDescent="0.25">
      <c r="A5684" t="s">
        <v>3911</v>
      </c>
    </row>
    <row r="5685" spans="1:1" x14ac:dyDescent="0.25">
      <c r="A5685" t="s">
        <v>3912</v>
      </c>
    </row>
    <row r="5686" spans="1:1" x14ac:dyDescent="0.25">
      <c r="A5686" t="s">
        <v>3913</v>
      </c>
    </row>
    <row r="5687" spans="1:1" x14ac:dyDescent="0.25">
      <c r="A5687" t="s">
        <v>3914</v>
      </c>
    </row>
    <row r="5688" spans="1:1" x14ac:dyDescent="0.25">
      <c r="A5688" t="s">
        <v>3915</v>
      </c>
    </row>
    <row r="5689" spans="1:1" x14ac:dyDescent="0.25">
      <c r="A5689" t="s">
        <v>3916</v>
      </c>
    </row>
    <row r="5690" spans="1:1" x14ac:dyDescent="0.25">
      <c r="A5690" t="s">
        <v>3917</v>
      </c>
    </row>
    <row r="5691" spans="1:1" x14ac:dyDescent="0.25">
      <c r="A5691" t="s">
        <v>3918</v>
      </c>
    </row>
    <row r="5692" spans="1:1" x14ac:dyDescent="0.25">
      <c r="A5692" t="s">
        <v>3919</v>
      </c>
    </row>
    <row r="5693" spans="1:1" x14ac:dyDescent="0.25">
      <c r="A5693" t="s">
        <v>3920</v>
      </c>
    </row>
    <row r="5694" spans="1:1" x14ac:dyDescent="0.25">
      <c r="A5694" t="s">
        <v>3921</v>
      </c>
    </row>
    <row r="5695" spans="1:1" x14ac:dyDescent="0.25">
      <c r="A5695" t="s">
        <v>3922</v>
      </c>
    </row>
    <row r="5696" spans="1:1" x14ac:dyDescent="0.25">
      <c r="A5696" t="s">
        <v>3923</v>
      </c>
    </row>
    <row r="5697" spans="1:1" x14ac:dyDescent="0.25">
      <c r="A5697" t="s">
        <v>3924</v>
      </c>
    </row>
    <row r="5698" spans="1:1" x14ac:dyDescent="0.25">
      <c r="A5698" t="s">
        <v>3925</v>
      </c>
    </row>
    <row r="5699" spans="1:1" x14ac:dyDescent="0.25">
      <c r="A5699" t="s">
        <v>3926</v>
      </c>
    </row>
    <row r="5700" spans="1:1" x14ac:dyDescent="0.25">
      <c r="A5700" t="s">
        <v>3927</v>
      </c>
    </row>
    <row r="5701" spans="1:1" x14ac:dyDescent="0.25">
      <c r="A5701" t="s">
        <v>3928</v>
      </c>
    </row>
    <row r="5702" spans="1:1" x14ac:dyDescent="0.25">
      <c r="A5702" t="s">
        <v>3929</v>
      </c>
    </row>
    <row r="5703" spans="1:1" x14ac:dyDescent="0.25">
      <c r="A5703" t="s">
        <v>3930</v>
      </c>
    </row>
    <row r="5704" spans="1:1" x14ac:dyDescent="0.25">
      <c r="A5704" t="s">
        <v>3931</v>
      </c>
    </row>
    <row r="5705" spans="1:1" x14ac:dyDescent="0.25">
      <c r="A5705" t="s">
        <v>3932</v>
      </c>
    </row>
    <row r="5706" spans="1:1" x14ac:dyDescent="0.25">
      <c r="A5706" t="s">
        <v>3933</v>
      </c>
    </row>
    <row r="5707" spans="1:1" x14ac:dyDescent="0.25">
      <c r="A5707" t="s">
        <v>3934</v>
      </c>
    </row>
    <row r="5708" spans="1:1" x14ac:dyDescent="0.25">
      <c r="A5708" t="s">
        <v>3935</v>
      </c>
    </row>
    <row r="5709" spans="1:1" x14ac:dyDescent="0.25">
      <c r="A5709" t="s">
        <v>3936</v>
      </c>
    </row>
    <row r="5710" spans="1:1" x14ac:dyDescent="0.25">
      <c r="A5710" t="s">
        <v>3937</v>
      </c>
    </row>
    <row r="5711" spans="1:1" x14ac:dyDescent="0.25">
      <c r="A5711" t="s">
        <v>3938</v>
      </c>
    </row>
    <row r="5712" spans="1:1" x14ac:dyDescent="0.25">
      <c r="A5712" t="s">
        <v>3939</v>
      </c>
    </row>
    <row r="5713" spans="1:1" x14ac:dyDescent="0.25">
      <c r="A5713" t="s">
        <v>3940</v>
      </c>
    </row>
    <row r="5714" spans="1:1" x14ac:dyDescent="0.25">
      <c r="A5714" t="s">
        <v>3941</v>
      </c>
    </row>
    <row r="5715" spans="1:1" x14ac:dyDescent="0.25">
      <c r="A5715" t="s">
        <v>3942</v>
      </c>
    </row>
    <row r="5716" spans="1:1" x14ac:dyDescent="0.25">
      <c r="A5716" t="s">
        <v>3943</v>
      </c>
    </row>
    <row r="5717" spans="1:1" x14ac:dyDescent="0.25">
      <c r="A5717" t="s">
        <v>3944</v>
      </c>
    </row>
    <row r="5718" spans="1:1" x14ac:dyDescent="0.25">
      <c r="A5718" t="s">
        <v>3945</v>
      </c>
    </row>
    <row r="5719" spans="1:1" x14ac:dyDescent="0.25">
      <c r="A5719" t="s">
        <v>3946</v>
      </c>
    </row>
    <row r="5720" spans="1:1" x14ac:dyDescent="0.25">
      <c r="A5720" t="s">
        <v>3947</v>
      </c>
    </row>
    <row r="5721" spans="1:1" x14ac:dyDescent="0.25">
      <c r="A5721" t="s">
        <v>3948</v>
      </c>
    </row>
    <row r="5722" spans="1:1" x14ac:dyDescent="0.25">
      <c r="A5722" t="s">
        <v>3949</v>
      </c>
    </row>
    <row r="5723" spans="1:1" x14ac:dyDescent="0.25">
      <c r="A5723" t="s">
        <v>3950</v>
      </c>
    </row>
    <row r="5724" spans="1:1" x14ac:dyDescent="0.25">
      <c r="A5724" t="s">
        <v>3951</v>
      </c>
    </row>
    <row r="5725" spans="1:1" x14ac:dyDescent="0.25">
      <c r="A5725" t="s">
        <v>3952</v>
      </c>
    </row>
    <row r="5726" spans="1:1" x14ac:dyDescent="0.25">
      <c r="A5726" t="s">
        <v>3953</v>
      </c>
    </row>
    <row r="5727" spans="1:1" x14ac:dyDescent="0.25">
      <c r="A5727" t="s">
        <v>3954</v>
      </c>
    </row>
    <row r="5728" spans="1:1" x14ac:dyDescent="0.25">
      <c r="A5728" t="s">
        <v>3955</v>
      </c>
    </row>
    <row r="5729" spans="1:1" x14ac:dyDescent="0.25">
      <c r="A5729" t="s">
        <v>3956</v>
      </c>
    </row>
    <row r="5730" spans="1:1" x14ac:dyDescent="0.25">
      <c r="A5730" t="s">
        <v>3957</v>
      </c>
    </row>
    <row r="5731" spans="1:1" x14ac:dyDescent="0.25">
      <c r="A5731" t="s">
        <v>3958</v>
      </c>
    </row>
    <row r="5732" spans="1:1" x14ac:dyDescent="0.25">
      <c r="A5732" t="s">
        <v>3959</v>
      </c>
    </row>
    <row r="5733" spans="1:1" x14ac:dyDescent="0.25">
      <c r="A5733" t="s">
        <v>3960</v>
      </c>
    </row>
    <row r="5734" spans="1:1" x14ac:dyDescent="0.25">
      <c r="A5734" t="s">
        <v>3961</v>
      </c>
    </row>
    <row r="5735" spans="1:1" x14ac:dyDescent="0.25">
      <c r="A5735" t="s">
        <v>3962</v>
      </c>
    </row>
    <row r="5736" spans="1:1" x14ac:dyDescent="0.25">
      <c r="A5736" t="s">
        <v>3963</v>
      </c>
    </row>
    <row r="5737" spans="1:1" x14ac:dyDescent="0.25">
      <c r="A5737" t="s">
        <v>3964</v>
      </c>
    </row>
    <row r="5738" spans="1:1" x14ac:dyDescent="0.25">
      <c r="A5738" t="s">
        <v>3965</v>
      </c>
    </row>
    <row r="5739" spans="1:1" x14ac:dyDescent="0.25">
      <c r="A5739" t="s">
        <v>3966</v>
      </c>
    </row>
    <row r="5740" spans="1:1" x14ac:dyDescent="0.25">
      <c r="A5740" t="s">
        <v>3967</v>
      </c>
    </row>
    <row r="5741" spans="1:1" x14ac:dyDescent="0.25">
      <c r="A5741" t="s">
        <v>3968</v>
      </c>
    </row>
    <row r="5742" spans="1:1" x14ac:dyDescent="0.25">
      <c r="A5742" t="s">
        <v>3969</v>
      </c>
    </row>
    <row r="5743" spans="1:1" x14ac:dyDescent="0.25">
      <c r="A5743" t="s">
        <v>3970</v>
      </c>
    </row>
    <row r="5744" spans="1:1" x14ac:dyDescent="0.25">
      <c r="A5744" t="s">
        <v>3971</v>
      </c>
    </row>
    <row r="5745" spans="1:1" x14ac:dyDescent="0.25">
      <c r="A5745" t="s">
        <v>3972</v>
      </c>
    </row>
    <row r="5746" spans="1:1" x14ac:dyDescent="0.25">
      <c r="A5746" t="s">
        <v>3973</v>
      </c>
    </row>
    <row r="5747" spans="1:1" x14ac:dyDescent="0.25">
      <c r="A5747" t="s">
        <v>3974</v>
      </c>
    </row>
    <row r="5748" spans="1:1" x14ac:dyDescent="0.25">
      <c r="A5748" t="s">
        <v>3975</v>
      </c>
    </row>
    <row r="5749" spans="1:1" x14ac:dyDescent="0.25">
      <c r="A5749" t="s">
        <v>3976</v>
      </c>
    </row>
    <row r="5750" spans="1:1" x14ac:dyDescent="0.25">
      <c r="A5750" t="s">
        <v>3977</v>
      </c>
    </row>
    <row r="5751" spans="1:1" x14ac:dyDescent="0.25">
      <c r="A5751" t="s">
        <v>3978</v>
      </c>
    </row>
    <row r="5752" spans="1:1" x14ac:dyDescent="0.25">
      <c r="A5752" t="s">
        <v>3979</v>
      </c>
    </row>
    <row r="5753" spans="1:1" x14ac:dyDescent="0.25">
      <c r="A5753" t="s">
        <v>3980</v>
      </c>
    </row>
    <row r="5754" spans="1:1" x14ac:dyDescent="0.25">
      <c r="A5754" t="s">
        <v>3981</v>
      </c>
    </row>
    <row r="5755" spans="1:1" x14ac:dyDescent="0.25">
      <c r="A5755" t="s">
        <v>3982</v>
      </c>
    </row>
    <row r="5756" spans="1:1" x14ac:dyDescent="0.25">
      <c r="A5756" t="s">
        <v>3983</v>
      </c>
    </row>
    <row r="5757" spans="1:1" x14ac:dyDescent="0.25">
      <c r="A5757" t="s">
        <v>3984</v>
      </c>
    </row>
    <row r="5758" spans="1:1" x14ac:dyDescent="0.25">
      <c r="A5758" t="s">
        <v>3985</v>
      </c>
    </row>
    <row r="5759" spans="1:1" x14ac:dyDescent="0.25">
      <c r="A5759" t="s">
        <v>3986</v>
      </c>
    </row>
    <row r="5760" spans="1:1" x14ac:dyDescent="0.25">
      <c r="A5760" t="s">
        <v>3987</v>
      </c>
    </row>
    <row r="5761" spans="1:1" x14ac:dyDescent="0.25">
      <c r="A5761" t="s">
        <v>3988</v>
      </c>
    </row>
    <row r="5762" spans="1:1" x14ac:dyDescent="0.25">
      <c r="A5762" t="s">
        <v>3989</v>
      </c>
    </row>
    <row r="5763" spans="1:1" x14ac:dyDescent="0.25">
      <c r="A5763" t="s">
        <v>3990</v>
      </c>
    </row>
    <row r="5764" spans="1:1" x14ac:dyDescent="0.25">
      <c r="A5764" t="s">
        <v>3991</v>
      </c>
    </row>
    <row r="5765" spans="1:1" x14ac:dyDescent="0.25">
      <c r="A5765" t="s">
        <v>3992</v>
      </c>
    </row>
    <row r="5766" spans="1:1" x14ac:dyDescent="0.25">
      <c r="A5766" t="s">
        <v>3993</v>
      </c>
    </row>
    <row r="5767" spans="1:1" x14ac:dyDescent="0.25">
      <c r="A5767" t="s">
        <v>3994</v>
      </c>
    </row>
    <row r="5768" spans="1:1" x14ac:dyDescent="0.25">
      <c r="A5768" t="s">
        <v>3995</v>
      </c>
    </row>
    <row r="5769" spans="1:1" x14ac:dyDescent="0.25">
      <c r="A5769" t="s">
        <v>3996</v>
      </c>
    </row>
    <row r="5770" spans="1:1" x14ac:dyDescent="0.25">
      <c r="A5770" t="s">
        <v>3997</v>
      </c>
    </row>
    <row r="5771" spans="1:1" x14ac:dyDescent="0.25">
      <c r="A5771" t="s">
        <v>3998</v>
      </c>
    </row>
    <row r="5772" spans="1:1" x14ac:dyDescent="0.25">
      <c r="A5772" t="s">
        <v>3999</v>
      </c>
    </row>
    <row r="5773" spans="1:1" x14ac:dyDescent="0.25">
      <c r="A5773" t="s">
        <v>4000</v>
      </c>
    </row>
    <row r="5774" spans="1:1" x14ac:dyDescent="0.25">
      <c r="A5774" t="s">
        <v>4001</v>
      </c>
    </row>
    <row r="5775" spans="1:1" x14ac:dyDescent="0.25">
      <c r="A5775" t="s">
        <v>4002</v>
      </c>
    </row>
    <row r="5776" spans="1:1" x14ac:dyDescent="0.25">
      <c r="A5776" t="s">
        <v>4003</v>
      </c>
    </row>
    <row r="5777" spans="1:1" x14ac:dyDescent="0.25">
      <c r="A5777" t="s">
        <v>4004</v>
      </c>
    </row>
    <row r="5778" spans="1:1" x14ac:dyDescent="0.25">
      <c r="A5778" t="s">
        <v>4005</v>
      </c>
    </row>
    <row r="5779" spans="1:1" x14ac:dyDescent="0.25">
      <c r="A5779" t="s">
        <v>4006</v>
      </c>
    </row>
    <row r="5780" spans="1:1" x14ac:dyDescent="0.25">
      <c r="A5780" t="s">
        <v>4007</v>
      </c>
    </row>
    <row r="5781" spans="1:1" x14ac:dyDescent="0.25">
      <c r="A5781" t="s">
        <v>4008</v>
      </c>
    </row>
    <row r="5782" spans="1:1" x14ac:dyDescent="0.25">
      <c r="A5782" t="s">
        <v>4009</v>
      </c>
    </row>
    <row r="5783" spans="1:1" x14ac:dyDescent="0.25">
      <c r="A5783" t="s">
        <v>4010</v>
      </c>
    </row>
    <row r="5784" spans="1:1" x14ac:dyDescent="0.25">
      <c r="A5784" t="s">
        <v>4011</v>
      </c>
    </row>
    <row r="5785" spans="1:1" x14ac:dyDescent="0.25">
      <c r="A5785" t="s">
        <v>4012</v>
      </c>
    </row>
    <row r="5786" spans="1:1" x14ac:dyDescent="0.25">
      <c r="A5786" t="s">
        <v>4013</v>
      </c>
    </row>
    <row r="5787" spans="1:1" x14ac:dyDescent="0.25">
      <c r="A5787" t="s">
        <v>4014</v>
      </c>
    </row>
    <row r="5788" spans="1:1" x14ac:dyDescent="0.25">
      <c r="A5788" t="s">
        <v>4015</v>
      </c>
    </row>
    <row r="5789" spans="1:1" x14ac:dyDescent="0.25">
      <c r="A5789" t="s">
        <v>4016</v>
      </c>
    </row>
    <row r="5790" spans="1:1" x14ac:dyDescent="0.25">
      <c r="A5790" t="s">
        <v>4017</v>
      </c>
    </row>
    <row r="5791" spans="1:1" x14ac:dyDescent="0.25">
      <c r="A5791" t="s">
        <v>4018</v>
      </c>
    </row>
    <row r="5792" spans="1:1" x14ac:dyDescent="0.25">
      <c r="A5792" t="s">
        <v>4019</v>
      </c>
    </row>
    <row r="5793" spans="1:1" x14ac:dyDescent="0.25">
      <c r="A5793" t="s">
        <v>4020</v>
      </c>
    </row>
    <row r="5794" spans="1:1" x14ac:dyDescent="0.25">
      <c r="A5794" t="s">
        <v>4021</v>
      </c>
    </row>
    <row r="5795" spans="1:1" x14ac:dyDescent="0.25">
      <c r="A5795" t="s">
        <v>4022</v>
      </c>
    </row>
    <row r="5796" spans="1:1" x14ac:dyDescent="0.25">
      <c r="A5796" t="s">
        <v>4023</v>
      </c>
    </row>
    <row r="5797" spans="1:1" x14ac:dyDescent="0.25">
      <c r="A5797" t="s">
        <v>4024</v>
      </c>
    </row>
    <row r="5798" spans="1:1" x14ac:dyDescent="0.25">
      <c r="A5798" t="s">
        <v>4025</v>
      </c>
    </row>
    <row r="5799" spans="1:1" x14ac:dyDescent="0.25">
      <c r="A5799" t="s">
        <v>4026</v>
      </c>
    </row>
    <row r="5800" spans="1:1" x14ac:dyDescent="0.25">
      <c r="A5800" t="s">
        <v>4027</v>
      </c>
    </row>
    <row r="5801" spans="1:1" x14ac:dyDescent="0.25">
      <c r="A5801" t="s">
        <v>4028</v>
      </c>
    </row>
    <row r="5802" spans="1:1" x14ac:dyDescent="0.25">
      <c r="A5802" t="s">
        <v>4029</v>
      </c>
    </row>
    <row r="5803" spans="1:1" x14ac:dyDescent="0.25">
      <c r="A5803" t="s">
        <v>4030</v>
      </c>
    </row>
    <row r="5804" spans="1:1" x14ac:dyDescent="0.25">
      <c r="A5804" t="s">
        <v>4031</v>
      </c>
    </row>
    <row r="5805" spans="1:1" x14ac:dyDescent="0.25">
      <c r="A5805" t="s">
        <v>4032</v>
      </c>
    </row>
    <row r="5806" spans="1:1" x14ac:dyDescent="0.25">
      <c r="A5806" t="s">
        <v>4033</v>
      </c>
    </row>
    <row r="5807" spans="1:1" x14ac:dyDescent="0.25">
      <c r="A5807" t="s">
        <v>4034</v>
      </c>
    </row>
    <row r="5808" spans="1:1" x14ac:dyDescent="0.25">
      <c r="A5808" t="s">
        <v>4035</v>
      </c>
    </row>
    <row r="5809" spans="1:1" x14ac:dyDescent="0.25">
      <c r="A5809" t="s">
        <v>4036</v>
      </c>
    </row>
    <row r="5810" spans="1:1" x14ac:dyDescent="0.25">
      <c r="A5810" t="s">
        <v>4037</v>
      </c>
    </row>
    <row r="5811" spans="1:1" x14ac:dyDescent="0.25">
      <c r="A5811" t="s">
        <v>4038</v>
      </c>
    </row>
    <row r="5812" spans="1:1" x14ac:dyDescent="0.25">
      <c r="A5812" t="s">
        <v>4039</v>
      </c>
    </row>
    <row r="5813" spans="1:1" x14ac:dyDescent="0.25">
      <c r="A5813" t="s">
        <v>4040</v>
      </c>
    </row>
    <row r="5814" spans="1:1" x14ac:dyDescent="0.25">
      <c r="A5814" t="s">
        <v>4041</v>
      </c>
    </row>
    <row r="5815" spans="1:1" x14ac:dyDescent="0.25">
      <c r="A5815" t="s">
        <v>4042</v>
      </c>
    </row>
    <row r="5816" spans="1:1" x14ac:dyDescent="0.25">
      <c r="A5816" t="s">
        <v>4043</v>
      </c>
    </row>
    <row r="5817" spans="1:1" x14ac:dyDescent="0.25">
      <c r="A5817" t="s">
        <v>4044</v>
      </c>
    </row>
    <row r="5818" spans="1:1" x14ac:dyDescent="0.25">
      <c r="A5818" t="s">
        <v>4045</v>
      </c>
    </row>
    <row r="5819" spans="1:1" x14ac:dyDescent="0.25">
      <c r="A5819" t="s">
        <v>4046</v>
      </c>
    </row>
    <row r="5820" spans="1:1" x14ac:dyDescent="0.25">
      <c r="A5820" t="s">
        <v>4047</v>
      </c>
    </row>
    <row r="5821" spans="1:1" x14ac:dyDescent="0.25">
      <c r="A5821" t="s">
        <v>4048</v>
      </c>
    </row>
    <row r="5822" spans="1:1" x14ac:dyDescent="0.25">
      <c r="A5822" t="s">
        <v>4049</v>
      </c>
    </row>
    <row r="5823" spans="1:1" x14ac:dyDescent="0.25">
      <c r="A5823" t="s">
        <v>4050</v>
      </c>
    </row>
    <row r="5824" spans="1:1" x14ac:dyDescent="0.25">
      <c r="A5824" t="s">
        <v>4051</v>
      </c>
    </row>
    <row r="5825" spans="1:1" x14ac:dyDescent="0.25">
      <c r="A5825" t="s">
        <v>4052</v>
      </c>
    </row>
    <row r="5826" spans="1:1" x14ac:dyDescent="0.25">
      <c r="A5826" t="s">
        <v>4053</v>
      </c>
    </row>
    <row r="5827" spans="1:1" x14ac:dyDescent="0.25">
      <c r="A5827" t="s">
        <v>4054</v>
      </c>
    </row>
    <row r="5828" spans="1:1" x14ac:dyDescent="0.25">
      <c r="A5828" t="s">
        <v>4055</v>
      </c>
    </row>
    <row r="5829" spans="1:1" x14ac:dyDescent="0.25">
      <c r="A5829" t="s">
        <v>4056</v>
      </c>
    </row>
    <row r="5830" spans="1:1" x14ac:dyDescent="0.25">
      <c r="A5830" t="s">
        <v>4057</v>
      </c>
    </row>
    <row r="5831" spans="1:1" x14ac:dyDescent="0.25">
      <c r="A5831" t="s">
        <v>4058</v>
      </c>
    </row>
    <row r="5832" spans="1:1" x14ac:dyDescent="0.25">
      <c r="A5832" t="s">
        <v>4059</v>
      </c>
    </row>
    <row r="5833" spans="1:1" x14ac:dyDescent="0.25">
      <c r="A5833" t="s">
        <v>4060</v>
      </c>
    </row>
    <row r="5834" spans="1:1" x14ac:dyDescent="0.25">
      <c r="A5834" t="s">
        <v>4061</v>
      </c>
    </row>
    <row r="5835" spans="1:1" x14ac:dyDescent="0.25">
      <c r="A5835" t="s">
        <v>4062</v>
      </c>
    </row>
    <row r="5836" spans="1:1" x14ac:dyDescent="0.25">
      <c r="A5836" t="s">
        <v>4063</v>
      </c>
    </row>
    <row r="5837" spans="1:1" x14ac:dyDescent="0.25">
      <c r="A5837" t="s">
        <v>4064</v>
      </c>
    </row>
    <row r="5838" spans="1:1" x14ac:dyDescent="0.25">
      <c r="A5838" t="s">
        <v>4065</v>
      </c>
    </row>
    <row r="5839" spans="1:1" x14ac:dyDescent="0.25">
      <c r="A5839" t="s">
        <v>4066</v>
      </c>
    </row>
    <row r="5840" spans="1:1" x14ac:dyDescent="0.25">
      <c r="A5840" t="s">
        <v>4067</v>
      </c>
    </row>
    <row r="5841" spans="1:1" x14ac:dyDescent="0.25">
      <c r="A5841" t="s">
        <v>4068</v>
      </c>
    </row>
    <row r="5842" spans="1:1" x14ac:dyDescent="0.25">
      <c r="A5842" t="s">
        <v>4069</v>
      </c>
    </row>
    <row r="5843" spans="1:1" x14ac:dyDescent="0.25">
      <c r="A5843" t="s">
        <v>4070</v>
      </c>
    </row>
    <row r="5844" spans="1:1" x14ac:dyDescent="0.25">
      <c r="A5844" t="s">
        <v>4071</v>
      </c>
    </row>
    <row r="5845" spans="1:1" x14ac:dyDescent="0.25">
      <c r="A5845" t="s">
        <v>4072</v>
      </c>
    </row>
    <row r="5846" spans="1:1" x14ac:dyDescent="0.25">
      <c r="A5846" t="s">
        <v>4073</v>
      </c>
    </row>
    <row r="5847" spans="1:1" x14ac:dyDescent="0.25">
      <c r="A5847" t="s">
        <v>4074</v>
      </c>
    </row>
    <row r="5848" spans="1:1" x14ac:dyDescent="0.25">
      <c r="A5848" t="s">
        <v>4075</v>
      </c>
    </row>
    <row r="5849" spans="1:1" x14ac:dyDescent="0.25">
      <c r="A5849" t="s">
        <v>4076</v>
      </c>
    </row>
    <row r="5850" spans="1:1" x14ac:dyDescent="0.25">
      <c r="A5850" t="s">
        <v>4077</v>
      </c>
    </row>
    <row r="5851" spans="1:1" x14ac:dyDescent="0.25">
      <c r="A5851" t="s">
        <v>4078</v>
      </c>
    </row>
    <row r="5852" spans="1:1" x14ac:dyDescent="0.25">
      <c r="A5852" t="s">
        <v>4079</v>
      </c>
    </row>
    <row r="5853" spans="1:1" x14ac:dyDescent="0.25">
      <c r="A5853" t="s">
        <v>4080</v>
      </c>
    </row>
    <row r="5854" spans="1:1" x14ac:dyDescent="0.25">
      <c r="A5854" t="s">
        <v>4081</v>
      </c>
    </row>
    <row r="5855" spans="1:1" x14ac:dyDescent="0.25">
      <c r="A5855" t="s">
        <v>4082</v>
      </c>
    </row>
    <row r="5856" spans="1:1" x14ac:dyDescent="0.25">
      <c r="A5856" t="s">
        <v>4083</v>
      </c>
    </row>
    <row r="5857" spans="1:1" x14ac:dyDescent="0.25">
      <c r="A5857" t="s">
        <v>4084</v>
      </c>
    </row>
    <row r="5858" spans="1:1" x14ac:dyDescent="0.25">
      <c r="A5858" t="s">
        <v>4085</v>
      </c>
    </row>
    <row r="5859" spans="1:1" x14ac:dyDescent="0.25">
      <c r="A5859" t="s">
        <v>4086</v>
      </c>
    </row>
    <row r="5860" spans="1:1" x14ac:dyDescent="0.25">
      <c r="A5860" t="s">
        <v>4087</v>
      </c>
    </row>
    <row r="5861" spans="1:1" x14ac:dyDescent="0.25">
      <c r="A5861" t="s">
        <v>4088</v>
      </c>
    </row>
    <row r="5862" spans="1:1" x14ac:dyDescent="0.25">
      <c r="A5862" t="s">
        <v>4089</v>
      </c>
    </row>
    <row r="5863" spans="1:1" x14ac:dyDescent="0.25">
      <c r="A5863" t="s">
        <v>4090</v>
      </c>
    </row>
    <row r="5864" spans="1:1" x14ac:dyDescent="0.25">
      <c r="A5864" t="s">
        <v>4091</v>
      </c>
    </row>
    <row r="5865" spans="1:1" x14ac:dyDescent="0.25">
      <c r="A5865" t="s">
        <v>4092</v>
      </c>
    </row>
    <row r="5866" spans="1:1" x14ac:dyDescent="0.25">
      <c r="A5866" t="s">
        <v>4093</v>
      </c>
    </row>
    <row r="5867" spans="1:1" x14ac:dyDescent="0.25">
      <c r="A5867" t="s">
        <v>4094</v>
      </c>
    </row>
    <row r="5868" spans="1:1" x14ac:dyDescent="0.25">
      <c r="A5868" t="s">
        <v>4095</v>
      </c>
    </row>
    <row r="5869" spans="1:1" x14ac:dyDescent="0.25">
      <c r="A5869" t="s">
        <v>4096</v>
      </c>
    </row>
    <row r="5870" spans="1:1" x14ac:dyDescent="0.25">
      <c r="A5870" t="s">
        <v>4097</v>
      </c>
    </row>
    <row r="5871" spans="1:1" x14ac:dyDescent="0.25">
      <c r="A5871" t="s">
        <v>4098</v>
      </c>
    </row>
    <row r="5872" spans="1:1" x14ac:dyDescent="0.25">
      <c r="A5872" t="s">
        <v>4099</v>
      </c>
    </row>
    <row r="5873" spans="1:1" x14ac:dyDescent="0.25">
      <c r="A5873" t="s">
        <v>4100</v>
      </c>
    </row>
    <row r="5874" spans="1:1" x14ac:dyDescent="0.25">
      <c r="A5874" t="s">
        <v>4101</v>
      </c>
    </row>
    <row r="5875" spans="1:1" x14ac:dyDescent="0.25">
      <c r="A5875" t="s">
        <v>4102</v>
      </c>
    </row>
    <row r="5876" spans="1:1" x14ac:dyDescent="0.25">
      <c r="A5876" t="s">
        <v>4103</v>
      </c>
    </row>
    <row r="5877" spans="1:1" x14ac:dyDescent="0.25">
      <c r="A5877" t="s">
        <v>4104</v>
      </c>
    </row>
    <row r="5878" spans="1:1" x14ac:dyDescent="0.25">
      <c r="A5878" t="s">
        <v>4105</v>
      </c>
    </row>
    <row r="5879" spans="1:1" x14ac:dyDescent="0.25">
      <c r="A5879" t="s">
        <v>4106</v>
      </c>
    </row>
    <row r="5880" spans="1:1" x14ac:dyDescent="0.25">
      <c r="A5880" t="s">
        <v>4107</v>
      </c>
    </row>
    <row r="5881" spans="1:1" x14ac:dyDescent="0.25">
      <c r="A5881" t="s">
        <v>4108</v>
      </c>
    </row>
    <row r="5882" spans="1:1" x14ac:dyDescent="0.25">
      <c r="A5882" t="s">
        <v>4109</v>
      </c>
    </row>
    <row r="5883" spans="1:1" x14ac:dyDescent="0.25">
      <c r="A5883" t="s">
        <v>4110</v>
      </c>
    </row>
    <row r="5884" spans="1:1" x14ac:dyDescent="0.25">
      <c r="A5884" t="s">
        <v>4111</v>
      </c>
    </row>
    <row r="5885" spans="1:1" x14ac:dyDescent="0.25">
      <c r="A5885" t="s">
        <v>4112</v>
      </c>
    </row>
    <row r="5886" spans="1:1" x14ac:dyDescent="0.25">
      <c r="A5886" t="s">
        <v>4113</v>
      </c>
    </row>
    <row r="5887" spans="1:1" x14ac:dyDescent="0.25">
      <c r="A5887" t="s">
        <v>4114</v>
      </c>
    </row>
    <row r="5888" spans="1:1" x14ac:dyDescent="0.25">
      <c r="A5888" t="s">
        <v>4115</v>
      </c>
    </row>
    <row r="5889" spans="1:1" x14ac:dyDescent="0.25">
      <c r="A5889" t="s">
        <v>4116</v>
      </c>
    </row>
    <row r="5890" spans="1:1" x14ac:dyDescent="0.25">
      <c r="A5890" t="s">
        <v>4117</v>
      </c>
    </row>
    <row r="5891" spans="1:1" x14ac:dyDescent="0.25">
      <c r="A5891" t="s">
        <v>4118</v>
      </c>
    </row>
    <row r="5892" spans="1:1" x14ac:dyDescent="0.25">
      <c r="A5892" t="s">
        <v>4119</v>
      </c>
    </row>
    <row r="5893" spans="1:1" x14ac:dyDescent="0.25">
      <c r="A5893" t="s">
        <v>4120</v>
      </c>
    </row>
    <row r="5894" spans="1:1" x14ac:dyDescent="0.25">
      <c r="A5894" t="s">
        <v>4121</v>
      </c>
    </row>
    <row r="5895" spans="1:1" x14ac:dyDescent="0.25">
      <c r="A5895" t="s">
        <v>4122</v>
      </c>
    </row>
    <row r="5896" spans="1:1" x14ac:dyDescent="0.25">
      <c r="A5896" t="s">
        <v>4123</v>
      </c>
    </row>
    <row r="5897" spans="1:1" x14ac:dyDescent="0.25">
      <c r="A5897" t="s">
        <v>4124</v>
      </c>
    </row>
    <row r="5898" spans="1:1" x14ac:dyDescent="0.25">
      <c r="A5898" t="s">
        <v>4125</v>
      </c>
    </row>
    <row r="5899" spans="1:1" x14ac:dyDescent="0.25">
      <c r="A5899" t="s">
        <v>4126</v>
      </c>
    </row>
    <row r="5900" spans="1:1" x14ac:dyDescent="0.25">
      <c r="A5900" t="s">
        <v>4127</v>
      </c>
    </row>
    <row r="5901" spans="1:1" x14ac:dyDescent="0.25">
      <c r="A5901" t="s">
        <v>4128</v>
      </c>
    </row>
    <row r="5902" spans="1:1" x14ac:dyDescent="0.25">
      <c r="A5902" t="s">
        <v>4129</v>
      </c>
    </row>
    <row r="5903" spans="1:1" x14ac:dyDescent="0.25">
      <c r="A5903" t="s">
        <v>4130</v>
      </c>
    </row>
    <row r="5904" spans="1:1" x14ac:dyDescent="0.25">
      <c r="A5904" t="s">
        <v>4131</v>
      </c>
    </row>
    <row r="5905" spans="1:1" x14ac:dyDescent="0.25">
      <c r="A5905" t="s">
        <v>4132</v>
      </c>
    </row>
    <row r="5906" spans="1:1" x14ac:dyDescent="0.25">
      <c r="A5906" t="s">
        <v>4133</v>
      </c>
    </row>
    <row r="5907" spans="1:1" x14ac:dyDescent="0.25">
      <c r="A5907" t="s">
        <v>4134</v>
      </c>
    </row>
    <row r="5908" spans="1:1" x14ac:dyDescent="0.25">
      <c r="A5908" t="s">
        <v>4135</v>
      </c>
    </row>
    <row r="5909" spans="1:1" x14ac:dyDescent="0.25">
      <c r="A5909" t="s">
        <v>4136</v>
      </c>
    </row>
    <row r="5910" spans="1:1" x14ac:dyDescent="0.25">
      <c r="A5910" t="s">
        <v>4137</v>
      </c>
    </row>
    <row r="5911" spans="1:1" x14ac:dyDescent="0.25">
      <c r="A5911" t="s">
        <v>4138</v>
      </c>
    </row>
    <row r="5912" spans="1:1" x14ac:dyDescent="0.25">
      <c r="A5912" t="s">
        <v>4139</v>
      </c>
    </row>
    <row r="5913" spans="1:1" x14ac:dyDescent="0.25">
      <c r="A5913" t="s">
        <v>4140</v>
      </c>
    </row>
    <row r="5914" spans="1:1" x14ac:dyDescent="0.25">
      <c r="A5914" t="s">
        <v>4141</v>
      </c>
    </row>
    <row r="5915" spans="1:1" x14ac:dyDescent="0.25">
      <c r="A5915" t="s">
        <v>4142</v>
      </c>
    </row>
    <row r="5916" spans="1:1" x14ac:dyDescent="0.25">
      <c r="A5916" t="s">
        <v>4143</v>
      </c>
    </row>
    <row r="5917" spans="1:1" x14ac:dyDescent="0.25">
      <c r="A5917" t="s">
        <v>4144</v>
      </c>
    </row>
    <row r="5918" spans="1:1" x14ac:dyDescent="0.25">
      <c r="A5918" t="s">
        <v>4145</v>
      </c>
    </row>
    <row r="5919" spans="1:1" x14ac:dyDescent="0.25">
      <c r="A5919" t="s">
        <v>4146</v>
      </c>
    </row>
    <row r="5920" spans="1:1" x14ac:dyDescent="0.25">
      <c r="A5920" t="s">
        <v>4147</v>
      </c>
    </row>
    <row r="5921" spans="1:1" x14ac:dyDescent="0.25">
      <c r="A5921" t="s">
        <v>4148</v>
      </c>
    </row>
    <row r="5922" spans="1:1" x14ac:dyDescent="0.25">
      <c r="A5922" t="s">
        <v>4149</v>
      </c>
    </row>
    <row r="5923" spans="1:1" x14ac:dyDescent="0.25">
      <c r="A5923" t="s">
        <v>4150</v>
      </c>
    </row>
    <row r="5924" spans="1:1" x14ac:dyDescent="0.25">
      <c r="A5924" t="s">
        <v>4151</v>
      </c>
    </row>
    <row r="5925" spans="1:1" x14ac:dyDescent="0.25">
      <c r="A5925" t="s">
        <v>4152</v>
      </c>
    </row>
    <row r="5926" spans="1:1" x14ac:dyDescent="0.25">
      <c r="A5926" t="s">
        <v>4153</v>
      </c>
    </row>
    <row r="5927" spans="1:1" x14ac:dyDescent="0.25">
      <c r="A5927" t="s">
        <v>4154</v>
      </c>
    </row>
    <row r="5928" spans="1:1" x14ac:dyDescent="0.25">
      <c r="A5928" t="s">
        <v>4155</v>
      </c>
    </row>
    <row r="5929" spans="1:1" x14ac:dyDescent="0.25">
      <c r="A5929" t="s">
        <v>4156</v>
      </c>
    </row>
    <row r="5930" spans="1:1" x14ac:dyDescent="0.25">
      <c r="A5930" t="s">
        <v>4157</v>
      </c>
    </row>
    <row r="5931" spans="1:1" x14ac:dyDescent="0.25">
      <c r="A5931" t="s">
        <v>4158</v>
      </c>
    </row>
    <row r="5932" spans="1:1" x14ac:dyDescent="0.25">
      <c r="A5932" t="s">
        <v>4159</v>
      </c>
    </row>
    <row r="5933" spans="1:1" x14ac:dyDescent="0.25">
      <c r="A5933" t="s">
        <v>4160</v>
      </c>
    </row>
    <row r="5934" spans="1:1" x14ac:dyDescent="0.25">
      <c r="A5934" t="s">
        <v>4161</v>
      </c>
    </row>
    <row r="5935" spans="1:1" x14ac:dyDescent="0.25">
      <c r="A5935" t="s">
        <v>4162</v>
      </c>
    </row>
    <row r="5936" spans="1:1" x14ac:dyDescent="0.25">
      <c r="A5936" t="s">
        <v>4163</v>
      </c>
    </row>
    <row r="5937" spans="1:1" x14ac:dyDescent="0.25">
      <c r="A5937" t="s">
        <v>4164</v>
      </c>
    </row>
    <row r="5938" spans="1:1" x14ac:dyDescent="0.25">
      <c r="A5938" t="s">
        <v>4165</v>
      </c>
    </row>
    <row r="5939" spans="1:1" x14ac:dyDescent="0.25">
      <c r="A5939" t="s">
        <v>4166</v>
      </c>
    </row>
    <row r="5940" spans="1:1" x14ac:dyDescent="0.25">
      <c r="A5940" t="s">
        <v>4167</v>
      </c>
    </row>
    <row r="5941" spans="1:1" x14ac:dyDescent="0.25">
      <c r="A5941" t="s">
        <v>4168</v>
      </c>
    </row>
    <row r="5942" spans="1:1" x14ac:dyDescent="0.25">
      <c r="A5942" t="s">
        <v>4169</v>
      </c>
    </row>
    <row r="5943" spans="1:1" x14ac:dyDescent="0.25">
      <c r="A5943" t="s">
        <v>4170</v>
      </c>
    </row>
    <row r="5944" spans="1:1" x14ac:dyDescent="0.25">
      <c r="A5944" t="s">
        <v>4171</v>
      </c>
    </row>
    <row r="5945" spans="1:1" x14ac:dyDescent="0.25">
      <c r="A5945" t="s">
        <v>4172</v>
      </c>
    </row>
    <row r="5946" spans="1:1" x14ac:dyDescent="0.25">
      <c r="A5946" t="s">
        <v>4173</v>
      </c>
    </row>
    <row r="5947" spans="1:1" x14ac:dyDescent="0.25">
      <c r="A5947" t="s">
        <v>4174</v>
      </c>
    </row>
    <row r="5948" spans="1:1" x14ac:dyDescent="0.25">
      <c r="A5948" t="s">
        <v>4175</v>
      </c>
    </row>
    <row r="5949" spans="1:1" x14ac:dyDescent="0.25">
      <c r="A5949" t="s">
        <v>4176</v>
      </c>
    </row>
    <row r="5950" spans="1:1" x14ac:dyDescent="0.25">
      <c r="A5950" t="s">
        <v>4177</v>
      </c>
    </row>
    <row r="5951" spans="1:1" x14ac:dyDescent="0.25">
      <c r="A5951" t="s">
        <v>4178</v>
      </c>
    </row>
    <row r="5952" spans="1:1" x14ac:dyDescent="0.25">
      <c r="A5952" t="s">
        <v>4179</v>
      </c>
    </row>
    <row r="5953" spans="1:1" x14ac:dyDescent="0.25">
      <c r="A5953" t="s">
        <v>4180</v>
      </c>
    </row>
    <row r="5954" spans="1:1" x14ac:dyDescent="0.25">
      <c r="A5954" t="s">
        <v>4181</v>
      </c>
    </row>
    <row r="5955" spans="1:1" x14ac:dyDescent="0.25">
      <c r="A5955" t="s">
        <v>4182</v>
      </c>
    </row>
    <row r="5956" spans="1:1" x14ac:dyDescent="0.25">
      <c r="A5956" t="s">
        <v>4183</v>
      </c>
    </row>
    <row r="5957" spans="1:1" x14ac:dyDescent="0.25">
      <c r="A5957" t="s">
        <v>4184</v>
      </c>
    </row>
    <row r="5958" spans="1:1" x14ac:dyDescent="0.25">
      <c r="A5958" t="s">
        <v>4185</v>
      </c>
    </row>
    <row r="5959" spans="1:1" x14ac:dyDescent="0.25">
      <c r="A5959" t="s">
        <v>4186</v>
      </c>
    </row>
    <row r="5960" spans="1:1" x14ac:dyDescent="0.25">
      <c r="A5960" t="s">
        <v>4187</v>
      </c>
    </row>
    <row r="5961" spans="1:1" x14ac:dyDescent="0.25">
      <c r="A5961" t="s">
        <v>4188</v>
      </c>
    </row>
    <row r="5962" spans="1:1" x14ac:dyDescent="0.25">
      <c r="A5962" t="s">
        <v>4189</v>
      </c>
    </row>
    <row r="5963" spans="1:1" x14ac:dyDescent="0.25">
      <c r="A5963" t="s">
        <v>4190</v>
      </c>
    </row>
    <row r="5964" spans="1:1" x14ac:dyDescent="0.25">
      <c r="A5964" t="s">
        <v>4191</v>
      </c>
    </row>
    <row r="5965" spans="1:1" x14ac:dyDescent="0.25">
      <c r="A5965" t="s">
        <v>4192</v>
      </c>
    </row>
    <row r="5966" spans="1:1" x14ac:dyDescent="0.25">
      <c r="A5966" t="s">
        <v>4193</v>
      </c>
    </row>
    <row r="5967" spans="1:1" x14ac:dyDescent="0.25">
      <c r="A5967" t="s">
        <v>4194</v>
      </c>
    </row>
    <row r="5968" spans="1:1" x14ac:dyDescent="0.25">
      <c r="A5968" t="s">
        <v>4195</v>
      </c>
    </row>
    <row r="5969" spans="1:1" x14ac:dyDescent="0.25">
      <c r="A5969" t="s">
        <v>4196</v>
      </c>
    </row>
    <row r="5970" spans="1:1" x14ac:dyDescent="0.25">
      <c r="A5970" t="s">
        <v>4197</v>
      </c>
    </row>
    <row r="5971" spans="1:1" x14ac:dyDescent="0.25">
      <c r="A5971" t="s">
        <v>4198</v>
      </c>
    </row>
    <row r="5972" spans="1:1" x14ac:dyDescent="0.25">
      <c r="A5972" t="s">
        <v>4199</v>
      </c>
    </row>
    <row r="5973" spans="1:1" x14ac:dyDescent="0.25">
      <c r="A5973" t="s">
        <v>4200</v>
      </c>
    </row>
    <row r="5974" spans="1:1" x14ac:dyDescent="0.25">
      <c r="A5974" t="s">
        <v>4201</v>
      </c>
    </row>
    <row r="5975" spans="1:1" x14ac:dyDescent="0.25">
      <c r="A5975" t="s">
        <v>4202</v>
      </c>
    </row>
    <row r="5976" spans="1:1" x14ac:dyDescent="0.25">
      <c r="A5976" t="s">
        <v>4203</v>
      </c>
    </row>
    <row r="5977" spans="1:1" x14ac:dyDescent="0.25">
      <c r="A5977" t="s">
        <v>4204</v>
      </c>
    </row>
    <row r="5978" spans="1:1" x14ac:dyDescent="0.25">
      <c r="A5978" t="s">
        <v>4205</v>
      </c>
    </row>
    <row r="5979" spans="1:1" x14ac:dyDescent="0.25">
      <c r="A5979" t="s">
        <v>4206</v>
      </c>
    </row>
    <row r="5980" spans="1:1" x14ac:dyDescent="0.25">
      <c r="A5980" t="s">
        <v>4207</v>
      </c>
    </row>
    <row r="5981" spans="1:1" x14ac:dyDescent="0.25">
      <c r="A5981" t="s">
        <v>4208</v>
      </c>
    </row>
    <row r="5982" spans="1:1" x14ac:dyDescent="0.25">
      <c r="A5982" t="s">
        <v>4209</v>
      </c>
    </row>
    <row r="5983" spans="1:1" x14ac:dyDescent="0.25">
      <c r="A5983" t="s">
        <v>4210</v>
      </c>
    </row>
    <row r="5984" spans="1:1" x14ac:dyDescent="0.25">
      <c r="A5984" t="s">
        <v>4211</v>
      </c>
    </row>
    <row r="5985" spans="1:1" x14ac:dyDescent="0.25">
      <c r="A5985" t="s">
        <v>4212</v>
      </c>
    </row>
    <row r="5986" spans="1:1" x14ac:dyDescent="0.25">
      <c r="A5986" t="s">
        <v>4213</v>
      </c>
    </row>
    <row r="5987" spans="1:1" x14ac:dyDescent="0.25">
      <c r="A5987" t="s">
        <v>4214</v>
      </c>
    </row>
    <row r="5988" spans="1:1" x14ac:dyDescent="0.25">
      <c r="A5988" t="s">
        <v>4215</v>
      </c>
    </row>
    <row r="5989" spans="1:1" x14ac:dyDescent="0.25">
      <c r="A5989" t="s">
        <v>4216</v>
      </c>
    </row>
    <row r="5990" spans="1:1" x14ac:dyDescent="0.25">
      <c r="A5990" t="s">
        <v>4217</v>
      </c>
    </row>
    <row r="5991" spans="1:1" x14ac:dyDescent="0.25">
      <c r="A5991" t="s">
        <v>4218</v>
      </c>
    </row>
    <row r="5992" spans="1:1" x14ac:dyDescent="0.25">
      <c r="A5992" t="s">
        <v>4219</v>
      </c>
    </row>
    <row r="5993" spans="1:1" x14ac:dyDescent="0.25">
      <c r="A5993" t="s">
        <v>4220</v>
      </c>
    </row>
    <row r="5994" spans="1:1" x14ac:dyDescent="0.25">
      <c r="A5994" t="s">
        <v>4221</v>
      </c>
    </row>
    <row r="5995" spans="1:1" x14ac:dyDescent="0.25">
      <c r="A5995" t="s">
        <v>4222</v>
      </c>
    </row>
    <row r="5996" spans="1:1" x14ac:dyDescent="0.25">
      <c r="A5996" t="s">
        <v>4223</v>
      </c>
    </row>
    <row r="5997" spans="1:1" x14ac:dyDescent="0.25">
      <c r="A5997" t="s">
        <v>4224</v>
      </c>
    </row>
    <row r="5998" spans="1:1" x14ac:dyDescent="0.25">
      <c r="A5998" t="s">
        <v>4225</v>
      </c>
    </row>
    <row r="5999" spans="1:1" x14ac:dyDescent="0.25">
      <c r="A5999" t="s">
        <v>4226</v>
      </c>
    </row>
    <row r="6000" spans="1:1" x14ac:dyDescent="0.25">
      <c r="A6000" t="s">
        <v>4227</v>
      </c>
    </row>
    <row r="6001" spans="1:1" x14ac:dyDescent="0.25">
      <c r="A6001" t="s">
        <v>4228</v>
      </c>
    </row>
    <row r="6002" spans="1:1" x14ac:dyDescent="0.25">
      <c r="A6002" t="s">
        <v>4229</v>
      </c>
    </row>
    <row r="6003" spans="1:1" x14ac:dyDescent="0.25">
      <c r="A6003" t="s">
        <v>4230</v>
      </c>
    </row>
    <row r="6004" spans="1:1" x14ac:dyDescent="0.25">
      <c r="A6004" t="s">
        <v>4231</v>
      </c>
    </row>
    <row r="6005" spans="1:1" x14ac:dyDescent="0.25">
      <c r="A6005" t="s">
        <v>4232</v>
      </c>
    </row>
    <row r="6006" spans="1:1" x14ac:dyDescent="0.25">
      <c r="A6006" t="s">
        <v>4233</v>
      </c>
    </row>
    <row r="6007" spans="1:1" x14ac:dyDescent="0.25">
      <c r="A6007" t="s">
        <v>4234</v>
      </c>
    </row>
    <row r="6008" spans="1:1" x14ac:dyDescent="0.25">
      <c r="A6008" t="s">
        <v>4235</v>
      </c>
    </row>
    <row r="6009" spans="1:1" x14ac:dyDescent="0.25">
      <c r="A6009" t="s">
        <v>4236</v>
      </c>
    </row>
    <row r="6010" spans="1:1" x14ac:dyDescent="0.25">
      <c r="A6010" t="s">
        <v>4237</v>
      </c>
    </row>
    <row r="6011" spans="1:1" x14ac:dyDescent="0.25">
      <c r="A6011" t="s">
        <v>4238</v>
      </c>
    </row>
    <row r="6012" spans="1:1" x14ac:dyDescent="0.25">
      <c r="A6012" t="s">
        <v>4239</v>
      </c>
    </row>
    <row r="6013" spans="1:1" x14ac:dyDescent="0.25">
      <c r="A6013" t="s">
        <v>4240</v>
      </c>
    </row>
    <row r="6014" spans="1:1" x14ac:dyDescent="0.25">
      <c r="A6014" t="s">
        <v>4241</v>
      </c>
    </row>
    <row r="6015" spans="1:1" x14ac:dyDescent="0.25">
      <c r="A6015" t="s">
        <v>4242</v>
      </c>
    </row>
    <row r="6016" spans="1:1" x14ac:dyDescent="0.25">
      <c r="A6016" t="s">
        <v>4243</v>
      </c>
    </row>
    <row r="6017" spans="1:1" x14ac:dyDescent="0.25">
      <c r="A6017" t="s">
        <v>4244</v>
      </c>
    </row>
    <row r="6018" spans="1:1" x14ac:dyDescent="0.25">
      <c r="A6018" t="s">
        <v>4245</v>
      </c>
    </row>
    <row r="6019" spans="1:1" x14ac:dyDescent="0.25">
      <c r="A6019" t="s">
        <v>4246</v>
      </c>
    </row>
    <row r="6020" spans="1:1" x14ac:dyDescent="0.25">
      <c r="A6020" t="s">
        <v>4247</v>
      </c>
    </row>
    <row r="6021" spans="1:1" x14ac:dyDescent="0.25">
      <c r="A6021" t="s">
        <v>4248</v>
      </c>
    </row>
    <row r="6022" spans="1:1" x14ac:dyDescent="0.25">
      <c r="A6022" t="s">
        <v>4249</v>
      </c>
    </row>
    <row r="6023" spans="1:1" x14ac:dyDescent="0.25">
      <c r="A6023" t="s">
        <v>4250</v>
      </c>
    </row>
    <row r="6024" spans="1:1" x14ac:dyDescent="0.25">
      <c r="A6024" t="s">
        <v>4251</v>
      </c>
    </row>
    <row r="6025" spans="1:1" x14ac:dyDescent="0.25">
      <c r="A6025" t="s">
        <v>4252</v>
      </c>
    </row>
    <row r="6026" spans="1:1" x14ac:dyDescent="0.25">
      <c r="A6026" t="s">
        <v>4253</v>
      </c>
    </row>
    <row r="6027" spans="1:1" x14ac:dyDescent="0.25">
      <c r="A6027" t="s">
        <v>4254</v>
      </c>
    </row>
    <row r="6028" spans="1:1" x14ac:dyDescent="0.25">
      <c r="A6028" t="s">
        <v>4255</v>
      </c>
    </row>
    <row r="6029" spans="1:1" x14ac:dyDescent="0.25">
      <c r="A6029" t="s">
        <v>4256</v>
      </c>
    </row>
    <row r="6030" spans="1:1" x14ac:dyDescent="0.25">
      <c r="A6030" t="s">
        <v>4257</v>
      </c>
    </row>
    <row r="6031" spans="1:1" x14ac:dyDescent="0.25">
      <c r="A6031" t="s">
        <v>4258</v>
      </c>
    </row>
    <row r="6032" spans="1:1" x14ac:dyDescent="0.25">
      <c r="A6032" t="s">
        <v>4259</v>
      </c>
    </row>
    <row r="6033" spans="1:1" x14ac:dyDescent="0.25">
      <c r="A6033" t="s">
        <v>4260</v>
      </c>
    </row>
    <row r="6034" spans="1:1" x14ac:dyDescent="0.25">
      <c r="A6034" t="s">
        <v>4261</v>
      </c>
    </row>
    <row r="6035" spans="1:1" x14ac:dyDescent="0.25">
      <c r="A6035" t="s">
        <v>4262</v>
      </c>
    </row>
    <row r="6036" spans="1:1" x14ac:dyDescent="0.25">
      <c r="A6036" t="s">
        <v>4263</v>
      </c>
    </row>
    <row r="6037" spans="1:1" x14ac:dyDescent="0.25">
      <c r="A6037" t="s">
        <v>4264</v>
      </c>
    </row>
    <row r="6038" spans="1:1" x14ac:dyDescent="0.25">
      <c r="A6038" t="s">
        <v>4265</v>
      </c>
    </row>
    <row r="6039" spans="1:1" x14ac:dyDescent="0.25">
      <c r="A6039" t="s">
        <v>4266</v>
      </c>
    </row>
    <row r="6040" spans="1:1" x14ac:dyDescent="0.25">
      <c r="A6040" t="s">
        <v>4267</v>
      </c>
    </row>
    <row r="6041" spans="1:1" x14ac:dyDescent="0.25">
      <c r="A6041" t="s">
        <v>4268</v>
      </c>
    </row>
    <row r="6042" spans="1:1" x14ac:dyDescent="0.25">
      <c r="A6042" t="s">
        <v>4269</v>
      </c>
    </row>
    <row r="6043" spans="1:1" x14ac:dyDescent="0.25">
      <c r="A6043" t="s">
        <v>4270</v>
      </c>
    </row>
    <row r="6044" spans="1:1" x14ac:dyDescent="0.25">
      <c r="A6044" t="s">
        <v>4271</v>
      </c>
    </row>
    <row r="6045" spans="1:1" x14ac:dyDescent="0.25">
      <c r="A6045" t="s">
        <v>4272</v>
      </c>
    </row>
    <row r="6046" spans="1:1" x14ac:dyDescent="0.25">
      <c r="A6046" t="s">
        <v>4273</v>
      </c>
    </row>
    <row r="6047" spans="1:1" x14ac:dyDescent="0.25">
      <c r="A6047" t="s">
        <v>4274</v>
      </c>
    </row>
    <row r="6048" spans="1:1" x14ac:dyDescent="0.25">
      <c r="A6048" t="s">
        <v>4275</v>
      </c>
    </row>
    <row r="6049" spans="1:1" x14ac:dyDescent="0.25">
      <c r="A6049" t="s">
        <v>4276</v>
      </c>
    </row>
    <row r="6050" spans="1:1" x14ac:dyDescent="0.25">
      <c r="A6050" t="s">
        <v>4277</v>
      </c>
    </row>
    <row r="6051" spans="1:1" x14ac:dyDescent="0.25">
      <c r="A6051" t="s">
        <v>4278</v>
      </c>
    </row>
    <row r="6052" spans="1:1" x14ac:dyDescent="0.25">
      <c r="A6052" t="s">
        <v>4279</v>
      </c>
    </row>
    <row r="6053" spans="1:1" x14ac:dyDescent="0.25">
      <c r="A6053" t="s">
        <v>4280</v>
      </c>
    </row>
    <row r="6054" spans="1:1" x14ac:dyDescent="0.25">
      <c r="A6054" t="s">
        <v>4281</v>
      </c>
    </row>
    <row r="6055" spans="1:1" x14ac:dyDescent="0.25">
      <c r="A6055" t="s">
        <v>4282</v>
      </c>
    </row>
    <row r="6056" spans="1:1" x14ac:dyDescent="0.25">
      <c r="A6056" t="s">
        <v>4283</v>
      </c>
    </row>
    <row r="6057" spans="1:1" x14ac:dyDescent="0.25">
      <c r="A6057" t="s">
        <v>4284</v>
      </c>
    </row>
    <row r="6058" spans="1:1" x14ac:dyDescent="0.25">
      <c r="A6058" t="s">
        <v>4285</v>
      </c>
    </row>
    <row r="6059" spans="1:1" x14ac:dyDescent="0.25">
      <c r="A6059" t="s">
        <v>4286</v>
      </c>
    </row>
    <row r="6060" spans="1:1" x14ac:dyDescent="0.25">
      <c r="A6060" t="s">
        <v>4287</v>
      </c>
    </row>
    <row r="6061" spans="1:1" x14ac:dyDescent="0.25">
      <c r="A6061" t="s">
        <v>4288</v>
      </c>
    </row>
    <row r="6062" spans="1:1" x14ac:dyDescent="0.25">
      <c r="A6062" t="s">
        <v>4289</v>
      </c>
    </row>
    <row r="6063" spans="1:1" x14ac:dyDescent="0.25">
      <c r="A6063" t="s">
        <v>4290</v>
      </c>
    </row>
    <row r="6064" spans="1:1" x14ac:dyDescent="0.25">
      <c r="A6064" t="s">
        <v>4291</v>
      </c>
    </row>
    <row r="6065" spans="1:1" x14ac:dyDescent="0.25">
      <c r="A6065" t="s">
        <v>4292</v>
      </c>
    </row>
    <row r="6066" spans="1:1" x14ac:dyDescent="0.25">
      <c r="A6066" t="s">
        <v>4293</v>
      </c>
    </row>
    <row r="6067" spans="1:1" x14ac:dyDescent="0.25">
      <c r="A6067" t="s">
        <v>4294</v>
      </c>
    </row>
    <row r="6068" spans="1:1" x14ac:dyDescent="0.25">
      <c r="A6068" t="s">
        <v>4295</v>
      </c>
    </row>
    <row r="6069" spans="1:1" x14ac:dyDescent="0.25">
      <c r="A6069" t="s">
        <v>4296</v>
      </c>
    </row>
    <row r="6070" spans="1:1" x14ac:dyDescent="0.25">
      <c r="A6070" t="s">
        <v>4297</v>
      </c>
    </row>
    <row r="6071" spans="1:1" x14ac:dyDescent="0.25">
      <c r="A6071" t="s">
        <v>4298</v>
      </c>
    </row>
    <row r="6072" spans="1:1" x14ac:dyDescent="0.25">
      <c r="A6072" t="s">
        <v>4299</v>
      </c>
    </row>
    <row r="6073" spans="1:1" x14ac:dyDescent="0.25">
      <c r="A6073" t="s">
        <v>4300</v>
      </c>
    </row>
    <row r="6074" spans="1:1" x14ac:dyDescent="0.25">
      <c r="A6074" t="s">
        <v>4301</v>
      </c>
    </row>
    <row r="6075" spans="1:1" x14ac:dyDescent="0.25">
      <c r="A6075" t="s">
        <v>4302</v>
      </c>
    </row>
    <row r="6076" spans="1:1" x14ac:dyDescent="0.25">
      <c r="A6076" t="s">
        <v>4303</v>
      </c>
    </row>
    <row r="6077" spans="1:1" x14ac:dyDescent="0.25">
      <c r="A6077" t="s">
        <v>4304</v>
      </c>
    </row>
    <row r="6078" spans="1:1" x14ac:dyDescent="0.25">
      <c r="A6078" t="s">
        <v>4305</v>
      </c>
    </row>
    <row r="6079" spans="1:1" x14ac:dyDescent="0.25">
      <c r="A6079" t="s">
        <v>4306</v>
      </c>
    </row>
    <row r="6080" spans="1:1" x14ac:dyDescent="0.25">
      <c r="A6080" t="s">
        <v>4307</v>
      </c>
    </row>
    <row r="6081" spans="1:1" x14ac:dyDescent="0.25">
      <c r="A6081" t="s">
        <v>4308</v>
      </c>
    </row>
    <row r="6082" spans="1:1" x14ac:dyDescent="0.25">
      <c r="A6082" t="s">
        <v>4309</v>
      </c>
    </row>
    <row r="6083" spans="1:1" x14ac:dyDescent="0.25">
      <c r="A6083" t="s">
        <v>4310</v>
      </c>
    </row>
    <row r="6084" spans="1:1" x14ac:dyDescent="0.25">
      <c r="A6084" t="s">
        <v>4311</v>
      </c>
    </row>
    <row r="6085" spans="1:1" x14ac:dyDescent="0.25">
      <c r="A6085" t="s">
        <v>4312</v>
      </c>
    </row>
    <row r="6086" spans="1:1" x14ac:dyDescent="0.25">
      <c r="A6086" t="s">
        <v>4313</v>
      </c>
    </row>
    <row r="6087" spans="1:1" x14ac:dyDescent="0.25">
      <c r="A6087" t="s">
        <v>4314</v>
      </c>
    </row>
    <row r="6088" spans="1:1" x14ac:dyDescent="0.25">
      <c r="A6088" t="s">
        <v>4315</v>
      </c>
    </row>
    <row r="6089" spans="1:1" x14ac:dyDescent="0.25">
      <c r="A6089" t="s">
        <v>4316</v>
      </c>
    </row>
    <row r="6090" spans="1:1" x14ac:dyDescent="0.25">
      <c r="A6090" t="s">
        <v>4317</v>
      </c>
    </row>
    <row r="6091" spans="1:1" x14ac:dyDescent="0.25">
      <c r="A6091" t="s">
        <v>4318</v>
      </c>
    </row>
    <row r="6092" spans="1:1" x14ac:dyDescent="0.25">
      <c r="A6092" t="s">
        <v>4319</v>
      </c>
    </row>
    <row r="6093" spans="1:1" x14ac:dyDescent="0.25">
      <c r="A6093" t="s">
        <v>4320</v>
      </c>
    </row>
    <row r="6094" spans="1:1" x14ac:dyDescent="0.25">
      <c r="A6094" t="s">
        <v>4321</v>
      </c>
    </row>
    <row r="6095" spans="1:1" x14ac:dyDescent="0.25">
      <c r="A6095" t="s">
        <v>4322</v>
      </c>
    </row>
    <row r="6096" spans="1:1" x14ac:dyDescent="0.25">
      <c r="A6096" t="s">
        <v>4323</v>
      </c>
    </row>
    <row r="6097" spans="1:1" x14ac:dyDescent="0.25">
      <c r="A6097" t="s">
        <v>4324</v>
      </c>
    </row>
    <row r="6098" spans="1:1" x14ac:dyDescent="0.25">
      <c r="A6098" t="s">
        <v>4325</v>
      </c>
    </row>
    <row r="6099" spans="1:1" x14ac:dyDescent="0.25">
      <c r="A6099" t="s">
        <v>4326</v>
      </c>
    </row>
    <row r="6100" spans="1:1" x14ac:dyDescent="0.25">
      <c r="A6100" t="s">
        <v>4327</v>
      </c>
    </row>
    <row r="6101" spans="1:1" x14ac:dyDescent="0.25">
      <c r="A6101" t="s">
        <v>4328</v>
      </c>
    </row>
    <row r="6102" spans="1:1" x14ac:dyDescent="0.25">
      <c r="A6102" t="s">
        <v>4329</v>
      </c>
    </row>
    <row r="6103" spans="1:1" x14ac:dyDescent="0.25">
      <c r="A6103" t="s">
        <v>4330</v>
      </c>
    </row>
    <row r="6104" spans="1:1" x14ac:dyDescent="0.25">
      <c r="A6104" t="s">
        <v>4331</v>
      </c>
    </row>
    <row r="6105" spans="1:1" x14ac:dyDescent="0.25">
      <c r="A6105" t="s">
        <v>4332</v>
      </c>
    </row>
    <row r="6106" spans="1:1" x14ac:dyDescent="0.25">
      <c r="A6106" t="s">
        <v>4333</v>
      </c>
    </row>
    <row r="6107" spans="1:1" x14ac:dyDescent="0.25">
      <c r="A6107" t="s">
        <v>4334</v>
      </c>
    </row>
    <row r="6108" spans="1:1" x14ac:dyDescent="0.25">
      <c r="A6108" t="s">
        <v>4335</v>
      </c>
    </row>
    <row r="6109" spans="1:1" x14ac:dyDescent="0.25">
      <c r="A6109" t="s">
        <v>4336</v>
      </c>
    </row>
    <row r="6110" spans="1:1" x14ac:dyDescent="0.25">
      <c r="A6110" t="s">
        <v>4337</v>
      </c>
    </row>
    <row r="6111" spans="1:1" x14ac:dyDescent="0.25">
      <c r="A6111" t="s">
        <v>4338</v>
      </c>
    </row>
    <row r="6112" spans="1:1" x14ac:dyDescent="0.25">
      <c r="A6112" t="s">
        <v>4339</v>
      </c>
    </row>
    <row r="6113" spans="1:1" x14ac:dyDescent="0.25">
      <c r="A6113" t="s">
        <v>4340</v>
      </c>
    </row>
    <row r="6114" spans="1:1" x14ac:dyDescent="0.25">
      <c r="A6114" t="s">
        <v>4341</v>
      </c>
    </row>
    <row r="6115" spans="1:1" x14ac:dyDescent="0.25">
      <c r="A6115" t="s">
        <v>4342</v>
      </c>
    </row>
    <row r="6116" spans="1:1" x14ac:dyDescent="0.25">
      <c r="A6116" t="s">
        <v>4343</v>
      </c>
    </row>
    <row r="6117" spans="1:1" x14ac:dyDescent="0.25">
      <c r="A6117" t="s">
        <v>4344</v>
      </c>
    </row>
    <row r="6118" spans="1:1" x14ac:dyDescent="0.25">
      <c r="A6118" t="s">
        <v>4345</v>
      </c>
    </row>
    <row r="6119" spans="1:1" x14ac:dyDescent="0.25">
      <c r="A6119" t="s">
        <v>4346</v>
      </c>
    </row>
    <row r="6120" spans="1:1" x14ac:dyDescent="0.25">
      <c r="A6120" t="s">
        <v>4347</v>
      </c>
    </row>
    <row r="6121" spans="1:1" x14ac:dyDescent="0.25">
      <c r="A6121" t="s">
        <v>4348</v>
      </c>
    </row>
    <row r="6122" spans="1:1" x14ac:dyDescent="0.25">
      <c r="A6122" t="s">
        <v>4349</v>
      </c>
    </row>
    <row r="6123" spans="1:1" x14ac:dyDescent="0.25">
      <c r="A6123" t="s">
        <v>4350</v>
      </c>
    </row>
    <row r="6124" spans="1:1" x14ac:dyDescent="0.25">
      <c r="A6124" t="s">
        <v>4351</v>
      </c>
    </row>
    <row r="6125" spans="1:1" x14ac:dyDescent="0.25">
      <c r="A6125" t="s">
        <v>4352</v>
      </c>
    </row>
    <row r="6126" spans="1:1" x14ac:dyDescent="0.25">
      <c r="A6126" t="s">
        <v>4353</v>
      </c>
    </row>
    <row r="6127" spans="1:1" x14ac:dyDescent="0.25">
      <c r="A6127" t="s">
        <v>4354</v>
      </c>
    </row>
    <row r="6128" spans="1:1" x14ac:dyDescent="0.25">
      <c r="A6128" t="s">
        <v>4355</v>
      </c>
    </row>
    <row r="6129" spans="1:1" x14ac:dyDescent="0.25">
      <c r="A6129" t="s">
        <v>4356</v>
      </c>
    </row>
    <row r="6130" spans="1:1" x14ac:dyDescent="0.25">
      <c r="A6130" t="s">
        <v>4357</v>
      </c>
    </row>
    <row r="6131" spans="1:1" x14ac:dyDescent="0.25">
      <c r="A6131" t="s">
        <v>4358</v>
      </c>
    </row>
    <row r="6132" spans="1:1" x14ac:dyDescent="0.25">
      <c r="A6132" t="s">
        <v>4359</v>
      </c>
    </row>
    <row r="6133" spans="1:1" x14ac:dyDescent="0.25">
      <c r="A6133" t="s">
        <v>4360</v>
      </c>
    </row>
    <row r="6134" spans="1:1" x14ac:dyDescent="0.25">
      <c r="A6134" t="s">
        <v>4361</v>
      </c>
    </row>
    <row r="6135" spans="1:1" x14ac:dyDescent="0.25">
      <c r="A6135" t="s">
        <v>4362</v>
      </c>
    </row>
    <row r="6136" spans="1:1" x14ac:dyDescent="0.25">
      <c r="A6136" t="s">
        <v>4363</v>
      </c>
    </row>
    <row r="6137" spans="1:1" x14ac:dyDescent="0.25">
      <c r="A6137" t="s">
        <v>4364</v>
      </c>
    </row>
    <row r="6138" spans="1:1" x14ac:dyDescent="0.25">
      <c r="A6138" t="s">
        <v>4365</v>
      </c>
    </row>
    <row r="6139" spans="1:1" x14ac:dyDescent="0.25">
      <c r="A6139" t="s">
        <v>4366</v>
      </c>
    </row>
    <row r="6140" spans="1:1" x14ac:dyDescent="0.25">
      <c r="A6140" t="s">
        <v>4367</v>
      </c>
    </row>
    <row r="6141" spans="1:1" x14ac:dyDescent="0.25">
      <c r="A6141" t="s">
        <v>4368</v>
      </c>
    </row>
    <row r="6142" spans="1:1" x14ac:dyDescent="0.25">
      <c r="A6142" t="s">
        <v>4369</v>
      </c>
    </row>
    <row r="6143" spans="1:1" x14ac:dyDescent="0.25">
      <c r="A6143" t="s">
        <v>4370</v>
      </c>
    </row>
    <row r="6144" spans="1:1" x14ac:dyDescent="0.25">
      <c r="A6144" t="s">
        <v>4371</v>
      </c>
    </row>
    <row r="6145" spans="1:1" x14ac:dyDescent="0.25">
      <c r="A6145" t="s">
        <v>4372</v>
      </c>
    </row>
    <row r="6146" spans="1:1" x14ac:dyDescent="0.25">
      <c r="A6146" t="s">
        <v>4373</v>
      </c>
    </row>
    <row r="6147" spans="1:1" x14ac:dyDescent="0.25">
      <c r="A6147" t="s">
        <v>4374</v>
      </c>
    </row>
    <row r="6148" spans="1:1" x14ac:dyDescent="0.25">
      <c r="A6148" t="s">
        <v>4375</v>
      </c>
    </row>
    <row r="6149" spans="1:1" x14ac:dyDescent="0.25">
      <c r="A6149" t="s">
        <v>4376</v>
      </c>
    </row>
    <row r="6150" spans="1:1" x14ac:dyDescent="0.25">
      <c r="A6150" t="s">
        <v>4377</v>
      </c>
    </row>
    <row r="6151" spans="1:1" x14ac:dyDescent="0.25">
      <c r="A6151" t="s">
        <v>4378</v>
      </c>
    </row>
    <row r="6152" spans="1:1" x14ac:dyDescent="0.25">
      <c r="A6152" t="s">
        <v>4379</v>
      </c>
    </row>
    <row r="6153" spans="1:1" x14ac:dyDescent="0.25">
      <c r="A6153" t="s">
        <v>4380</v>
      </c>
    </row>
    <row r="6154" spans="1:1" x14ac:dyDescent="0.25">
      <c r="A6154" t="s">
        <v>4381</v>
      </c>
    </row>
    <row r="6155" spans="1:1" x14ac:dyDescent="0.25">
      <c r="A6155" t="s">
        <v>4382</v>
      </c>
    </row>
    <row r="6156" spans="1:1" x14ac:dyDescent="0.25">
      <c r="A6156" t="s">
        <v>4383</v>
      </c>
    </row>
    <row r="6157" spans="1:1" x14ac:dyDescent="0.25">
      <c r="A6157" t="s">
        <v>4384</v>
      </c>
    </row>
    <row r="6158" spans="1:1" x14ac:dyDescent="0.25">
      <c r="A6158" t="s">
        <v>4385</v>
      </c>
    </row>
    <row r="6159" spans="1:1" x14ac:dyDescent="0.25">
      <c r="A6159" t="s">
        <v>4386</v>
      </c>
    </row>
    <row r="6160" spans="1:1" x14ac:dyDescent="0.25">
      <c r="A6160" t="s">
        <v>4387</v>
      </c>
    </row>
    <row r="6161" spans="1:1" x14ac:dyDescent="0.25">
      <c r="A6161" t="s">
        <v>4388</v>
      </c>
    </row>
    <row r="6162" spans="1:1" x14ac:dyDescent="0.25">
      <c r="A6162" t="s">
        <v>4389</v>
      </c>
    </row>
    <row r="6163" spans="1:1" x14ac:dyDescent="0.25">
      <c r="A6163" t="s">
        <v>4390</v>
      </c>
    </row>
    <row r="6164" spans="1:1" x14ac:dyDescent="0.25">
      <c r="A6164" t="s">
        <v>4391</v>
      </c>
    </row>
    <row r="6165" spans="1:1" x14ac:dyDescent="0.25">
      <c r="A6165" t="s">
        <v>4392</v>
      </c>
    </row>
    <row r="6166" spans="1:1" x14ac:dyDescent="0.25">
      <c r="A6166" t="s">
        <v>4393</v>
      </c>
    </row>
    <row r="6167" spans="1:1" x14ac:dyDescent="0.25">
      <c r="A6167" t="s">
        <v>4394</v>
      </c>
    </row>
    <row r="6168" spans="1:1" x14ac:dyDescent="0.25">
      <c r="A6168" t="s">
        <v>4395</v>
      </c>
    </row>
    <row r="6169" spans="1:1" x14ac:dyDescent="0.25">
      <c r="A6169" t="s">
        <v>4396</v>
      </c>
    </row>
    <row r="6170" spans="1:1" x14ac:dyDescent="0.25">
      <c r="A6170" t="s">
        <v>4397</v>
      </c>
    </row>
    <row r="6171" spans="1:1" x14ac:dyDescent="0.25">
      <c r="A6171" t="s">
        <v>4398</v>
      </c>
    </row>
    <row r="6172" spans="1:1" x14ac:dyDescent="0.25">
      <c r="A6172" t="s">
        <v>4399</v>
      </c>
    </row>
    <row r="6173" spans="1:1" x14ac:dyDescent="0.25">
      <c r="A6173" t="s">
        <v>4400</v>
      </c>
    </row>
    <row r="6174" spans="1:1" x14ac:dyDescent="0.25">
      <c r="A6174" t="s">
        <v>4401</v>
      </c>
    </row>
    <row r="6175" spans="1:1" x14ac:dyDescent="0.25">
      <c r="A6175" t="s">
        <v>4402</v>
      </c>
    </row>
    <row r="6176" spans="1:1" x14ac:dyDescent="0.25">
      <c r="A6176" t="s">
        <v>4403</v>
      </c>
    </row>
    <row r="6177" spans="1:1" x14ac:dyDescent="0.25">
      <c r="A6177" t="s">
        <v>4404</v>
      </c>
    </row>
    <row r="6178" spans="1:1" x14ac:dyDescent="0.25">
      <c r="A6178" t="s">
        <v>4405</v>
      </c>
    </row>
    <row r="6179" spans="1:1" x14ac:dyDescent="0.25">
      <c r="A6179" t="s">
        <v>4406</v>
      </c>
    </row>
    <row r="6180" spans="1:1" x14ac:dyDescent="0.25">
      <c r="A6180" t="s">
        <v>4407</v>
      </c>
    </row>
    <row r="6181" spans="1:1" x14ac:dyDescent="0.25">
      <c r="A6181" t="s">
        <v>4408</v>
      </c>
    </row>
    <row r="6182" spans="1:1" x14ac:dyDescent="0.25">
      <c r="A6182" t="s">
        <v>4409</v>
      </c>
    </row>
    <row r="6183" spans="1:1" x14ac:dyDescent="0.25">
      <c r="A6183" t="s">
        <v>4410</v>
      </c>
    </row>
    <row r="6184" spans="1:1" x14ac:dyDescent="0.25">
      <c r="A6184" t="s">
        <v>4411</v>
      </c>
    </row>
    <row r="6185" spans="1:1" x14ac:dyDescent="0.25">
      <c r="A6185" t="s">
        <v>4412</v>
      </c>
    </row>
    <row r="6186" spans="1:1" x14ac:dyDescent="0.25">
      <c r="A6186" t="s">
        <v>4413</v>
      </c>
    </row>
    <row r="6187" spans="1:1" x14ac:dyDescent="0.25">
      <c r="A6187" t="s">
        <v>4414</v>
      </c>
    </row>
    <row r="6188" spans="1:1" x14ac:dyDescent="0.25">
      <c r="A6188" t="s">
        <v>4415</v>
      </c>
    </row>
    <row r="6189" spans="1:1" x14ac:dyDescent="0.25">
      <c r="A6189" t="s">
        <v>4416</v>
      </c>
    </row>
    <row r="6190" spans="1:1" x14ac:dyDescent="0.25">
      <c r="A6190" t="s">
        <v>4417</v>
      </c>
    </row>
    <row r="6191" spans="1:1" x14ac:dyDescent="0.25">
      <c r="A6191" t="s">
        <v>4418</v>
      </c>
    </row>
    <row r="6192" spans="1:1" x14ac:dyDescent="0.25">
      <c r="A6192" t="s">
        <v>4419</v>
      </c>
    </row>
    <row r="6193" spans="1:1" x14ac:dyDescent="0.25">
      <c r="A6193" t="s">
        <v>4420</v>
      </c>
    </row>
    <row r="6194" spans="1:1" x14ac:dyDescent="0.25">
      <c r="A6194" t="s">
        <v>4421</v>
      </c>
    </row>
    <row r="6195" spans="1:1" x14ac:dyDescent="0.25">
      <c r="A6195" t="s">
        <v>4422</v>
      </c>
    </row>
    <row r="6196" spans="1:1" x14ac:dyDescent="0.25">
      <c r="A6196" t="s">
        <v>4423</v>
      </c>
    </row>
    <row r="6197" spans="1:1" x14ac:dyDescent="0.25">
      <c r="A6197" t="s">
        <v>4424</v>
      </c>
    </row>
    <row r="6198" spans="1:1" x14ac:dyDescent="0.25">
      <c r="A6198" t="s">
        <v>4425</v>
      </c>
    </row>
    <row r="6199" spans="1:1" x14ac:dyDescent="0.25">
      <c r="A6199" t="s">
        <v>4426</v>
      </c>
    </row>
    <row r="6200" spans="1:1" x14ac:dyDescent="0.25">
      <c r="A6200" t="s">
        <v>4427</v>
      </c>
    </row>
    <row r="6201" spans="1:1" x14ac:dyDescent="0.25">
      <c r="A6201" t="s">
        <v>4428</v>
      </c>
    </row>
    <row r="6202" spans="1:1" x14ac:dyDescent="0.25">
      <c r="A6202" t="s">
        <v>4429</v>
      </c>
    </row>
    <row r="6203" spans="1:1" x14ac:dyDescent="0.25">
      <c r="A6203" t="s">
        <v>4430</v>
      </c>
    </row>
    <row r="6204" spans="1:1" x14ac:dyDescent="0.25">
      <c r="A6204" t="s">
        <v>4431</v>
      </c>
    </row>
    <row r="6205" spans="1:1" x14ac:dyDescent="0.25">
      <c r="A6205" t="s">
        <v>4432</v>
      </c>
    </row>
    <row r="6206" spans="1:1" x14ac:dyDescent="0.25">
      <c r="A6206" t="s">
        <v>4433</v>
      </c>
    </row>
    <row r="6207" spans="1:1" x14ac:dyDescent="0.25">
      <c r="A6207" t="s">
        <v>4434</v>
      </c>
    </row>
    <row r="6208" spans="1:1" x14ac:dyDescent="0.25">
      <c r="A6208" t="s">
        <v>4435</v>
      </c>
    </row>
    <row r="6209" spans="1:1" x14ac:dyDescent="0.25">
      <c r="A6209" t="s">
        <v>4436</v>
      </c>
    </row>
    <row r="6210" spans="1:1" x14ac:dyDescent="0.25">
      <c r="A6210" t="s">
        <v>4437</v>
      </c>
    </row>
    <row r="6211" spans="1:1" x14ac:dyDescent="0.25">
      <c r="A6211" t="s">
        <v>4438</v>
      </c>
    </row>
    <row r="6212" spans="1:1" x14ac:dyDescent="0.25">
      <c r="A6212" t="s">
        <v>4439</v>
      </c>
    </row>
    <row r="6213" spans="1:1" x14ac:dyDescent="0.25">
      <c r="A6213" t="s">
        <v>4440</v>
      </c>
    </row>
    <row r="6214" spans="1:1" x14ac:dyDescent="0.25">
      <c r="A6214" t="s">
        <v>4441</v>
      </c>
    </row>
    <row r="6215" spans="1:1" x14ac:dyDescent="0.25">
      <c r="A6215" t="s">
        <v>4442</v>
      </c>
    </row>
    <row r="6216" spans="1:1" x14ac:dyDescent="0.25">
      <c r="A6216" t="s">
        <v>4443</v>
      </c>
    </row>
    <row r="6217" spans="1:1" x14ac:dyDescent="0.25">
      <c r="A6217" t="s">
        <v>4444</v>
      </c>
    </row>
    <row r="6218" spans="1:1" x14ac:dyDescent="0.25">
      <c r="A6218" t="s">
        <v>4445</v>
      </c>
    </row>
    <row r="6219" spans="1:1" x14ac:dyDescent="0.25">
      <c r="A6219" t="s">
        <v>4446</v>
      </c>
    </row>
    <row r="6220" spans="1:1" x14ac:dyDescent="0.25">
      <c r="A6220" t="s">
        <v>4447</v>
      </c>
    </row>
    <row r="6221" spans="1:1" x14ac:dyDescent="0.25">
      <c r="A6221" t="s">
        <v>4448</v>
      </c>
    </row>
    <row r="6222" spans="1:1" x14ac:dyDescent="0.25">
      <c r="A6222" t="s">
        <v>4449</v>
      </c>
    </row>
    <row r="6223" spans="1:1" x14ac:dyDescent="0.25">
      <c r="A6223" t="s">
        <v>4450</v>
      </c>
    </row>
    <row r="6224" spans="1:1" x14ac:dyDescent="0.25">
      <c r="A6224" t="s">
        <v>4451</v>
      </c>
    </row>
    <row r="6225" spans="1:1" x14ac:dyDescent="0.25">
      <c r="A6225" t="s">
        <v>4452</v>
      </c>
    </row>
    <row r="6226" spans="1:1" x14ac:dyDescent="0.25">
      <c r="A6226" t="s">
        <v>4453</v>
      </c>
    </row>
    <row r="6227" spans="1:1" x14ac:dyDescent="0.25">
      <c r="A6227" t="s">
        <v>4454</v>
      </c>
    </row>
    <row r="6228" spans="1:1" x14ac:dyDescent="0.25">
      <c r="A6228" t="s">
        <v>4455</v>
      </c>
    </row>
    <row r="6229" spans="1:1" x14ac:dyDescent="0.25">
      <c r="A6229" t="s">
        <v>4456</v>
      </c>
    </row>
    <row r="6230" spans="1:1" x14ac:dyDescent="0.25">
      <c r="A6230" t="s">
        <v>4457</v>
      </c>
    </row>
    <row r="6231" spans="1:1" x14ac:dyDescent="0.25">
      <c r="A6231" t="s">
        <v>4458</v>
      </c>
    </row>
    <row r="6232" spans="1:1" x14ac:dyDescent="0.25">
      <c r="A6232" t="s">
        <v>4459</v>
      </c>
    </row>
    <row r="6233" spans="1:1" x14ac:dyDescent="0.25">
      <c r="A6233" t="s">
        <v>4460</v>
      </c>
    </row>
    <row r="6234" spans="1:1" x14ac:dyDescent="0.25">
      <c r="A6234" t="s">
        <v>4461</v>
      </c>
    </row>
    <row r="6235" spans="1:1" x14ac:dyDescent="0.25">
      <c r="A6235" t="s">
        <v>4462</v>
      </c>
    </row>
    <row r="6236" spans="1:1" x14ac:dyDescent="0.25">
      <c r="A6236" t="s">
        <v>4463</v>
      </c>
    </row>
    <row r="6237" spans="1:1" x14ac:dyDescent="0.25">
      <c r="A6237" t="s">
        <v>4464</v>
      </c>
    </row>
    <row r="6238" spans="1:1" x14ac:dyDescent="0.25">
      <c r="A6238" t="s">
        <v>4465</v>
      </c>
    </row>
    <row r="6239" spans="1:1" x14ac:dyDescent="0.25">
      <c r="A6239" t="s">
        <v>4466</v>
      </c>
    </row>
    <row r="6240" spans="1:1" x14ac:dyDescent="0.25">
      <c r="A6240" t="s">
        <v>4467</v>
      </c>
    </row>
    <row r="6241" spans="1:1" x14ac:dyDescent="0.25">
      <c r="A6241" t="s">
        <v>4468</v>
      </c>
    </row>
    <row r="6242" spans="1:1" x14ac:dyDescent="0.25">
      <c r="A6242" t="s">
        <v>4469</v>
      </c>
    </row>
    <row r="6243" spans="1:1" x14ac:dyDescent="0.25">
      <c r="A6243" t="s">
        <v>4470</v>
      </c>
    </row>
    <row r="6244" spans="1:1" x14ac:dyDescent="0.25">
      <c r="A6244" t="s">
        <v>4471</v>
      </c>
    </row>
    <row r="6245" spans="1:1" x14ac:dyDescent="0.25">
      <c r="A6245" t="s">
        <v>4472</v>
      </c>
    </row>
    <row r="6246" spans="1:1" x14ac:dyDescent="0.25">
      <c r="A6246" t="s">
        <v>4473</v>
      </c>
    </row>
    <row r="6247" spans="1:1" x14ac:dyDescent="0.25">
      <c r="A6247" t="s">
        <v>4474</v>
      </c>
    </row>
    <row r="6248" spans="1:1" x14ac:dyDescent="0.25">
      <c r="A6248" t="s">
        <v>4475</v>
      </c>
    </row>
    <row r="6249" spans="1:1" x14ac:dyDescent="0.25">
      <c r="A6249" t="s">
        <v>4476</v>
      </c>
    </row>
    <row r="6250" spans="1:1" x14ac:dyDescent="0.25">
      <c r="A6250" t="s">
        <v>4477</v>
      </c>
    </row>
    <row r="6251" spans="1:1" x14ac:dyDescent="0.25">
      <c r="A6251" t="s">
        <v>4478</v>
      </c>
    </row>
    <row r="6252" spans="1:1" x14ac:dyDescent="0.25">
      <c r="A6252" t="s">
        <v>4479</v>
      </c>
    </row>
    <row r="6253" spans="1:1" x14ac:dyDescent="0.25">
      <c r="A6253" t="s">
        <v>4480</v>
      </c>
    </row>
    <row r="6254" spans="1:1" x14ac:dyDescent="0.25">
      <c r="A6254" t="s">
        <v>4481</v>
      </c>
    </row>
    <row r="6255" spans="1:1" x14ac:dyDescent="0.25">
      <c r="A6255" t="s">
        <v>4482</v>
      </c>
    </row>
    <row r="6256" spans="1:1" x14ac:dyDescent="0.25">
      <c r="A6256" t="s">
        <v>4483</v>
      </c>
    </row>
    <row r="6257" spans="1:1" x14ac:dyDescent="0.25">
      <c r="A6257" t="s">
        <v>4484</v>
      </c>
    </row>
    <row r="6258" spans="1:1" x14ac:dyDescent="0.25">
      <c r="A6258" t="s">
        <v>4485</v>
      </c>
    </row>
    <row r="6259" spans="1:1" x14ac:dyDescent="0.25">
      <c r="A6259" t="s">
        <v>4486</v>
      </c>
    </row>
    <row r="6260" spans="1:1" x14ac:dyDescent="0.25">
      <c r="A6260" t="s">
        <v>4487</v>
      </c>
    </row>
    <row r="6261" spans="1:1" x14ac:dyDescent="0.25">
      <c r="A6261" t="s">
        <v>4488</v>
      </c>
    </row>
    <row r="6262" spans="1:1" x14ac:dyDescent="0.25">
      <c r="A6262" t="s">
        <v>4489</v>
      </c>
    </row>
    <row r="6263" spans="1:1" x14ac:dyDescent="0.25">
      <c r="A6263" t="s">
        <v>4490</v>
      </c>
    </row>
    <row r="6264" spans="1:1" x14ac:dyDescent="0.25">
      <c r="A6264" t="s">
        <v>4491</v>
      </c>
    </row>
    <row r="6265" spans="1:1" x14ac:dyDescent="0.25">
      <c r="A6265" t="s">
        <v>4492</v>
      </c>
    </row>
    <row r="6266" spans="1:1" x14ac:dyDescent="0.25">
      <c r="A6266" t="s">
        <v>4493</v>
      </c>
    </row>
    <row r="6267" spans="1:1" x14ac:dyDescent="0.25">
      <c r="A6267" t="s">
        <v>4494</v>
      </c>
    </row>
    <row r="6268" spans="1:1" x14ac:dyDescent="0.25">
      <c r="A6268" t="s">
        <v>4495</v>
      </c>
    </row>
    <row r="6269" spans="1:1" x14ac:dyDescent="0.25">
      <c r="A6269" t="s">
        <v>4496</v>
      </c>
    </row>
    <row r="6270" spans="1:1" x14ac:dyDescent="0.25">
      <c r="A6270" t="s">
        <v>4497</v>
      </c>
    </row>
    <row r="6271" spans="1:1" x14ac:dyDescent="0.25">
      <c r="A6271" t="s">
        <v>4498</v>
      </c>
    </row>
    <row r="6272" spans="1:1" x14ac:dyDescent="0.25">
      <c r="A6272" t="s">
        <v>4499</v>
      </c>
    </row>
    <row r="6273" spans="1:1" x14ac:dyDescent="0.25">
      <c r="A6273" t="s">
        <v>4500</v>
      </c>
    </row>
    <row r="6274" spans="1:1" x14ac:dyDescent="0.25">
      <c r="A6274" t="s">
        <v>4501</v>
      </c>
    </row>
    <row r="6275" spans="1:1" x14ac:dyDescent="0.25">
      <c r="A6275" t="s">
        <v>4502</v>
      </c>
    </row>
    <row r="6276" spans="1:1" x14ac:dyDescent="0.25">
      <c r="A6276" t="s">
        <v>4503</v>
      </c>
    </row>
    <row r="6277" spans="1:1" x14ac:dyDescent="0.25">
      <c r="A6277" t="s">
        <v>4504</v>
      </c>
    </row>
    <row r="6278" spans="1:1" x14ac:dyDescent="0.25">
      <c r="A6278" t="s">
        <v>4505</v>
      </c>
    </row>
    <row r="6279" spans="1:1" x14ac:dyDescent="0.25">
      <c r="A6279" t="s">
        <v>4506</v>
      </c>
    </row>
    <row r="6280" spans="1:1" x14ac:dyDescent="0.25">
      <c r="A6280" t="s">
        <v>4507</v>
      </c>
    </row>
    <row r="6281" spans="1:1" x14ac:dyDescent="0.25">
      <c r="A6281" t="s">
        <v>4508</v>
      </c>
    </row>
    <row r="6282" spans="1:1" x14ac:dyDescent="0.25">
      <c r="A6282" t="s">
        <v>4509</v>
      </c>
    </row>
    <row r="6283" spans="1:1" x14ac:dyDescent="0.25">
      <c r="A6283" t="s">
        <v>4510</v>
      </c>
    </row>
    <row r="6284" spans="1:1" x14ac:dyDescent="0.25">
      <c r="A6284" t="s">
        <v>4511</v>
      </c>
    </row>
    <row r="6285" spans="1:1" x14ac:dyDescent="0.25">
      <c r="A6285" t="s">
        <v>4512</v>
      </c>
    </row>
    <row r="6286" spans="1:1" x14ac:dyDescent="0.25">
      <c r="A6286" t="s">
        <v>4513</v>
      </c>
    </row>
    <row r="6287" spans="1:1" x14ac:dyDescent="0.25">
      <c r="A6287" t="s">
        <v>4514</v>
      </c>
    </row>
    <row r="6288" spans="1:1" x14ac:dyDescent="0.25">
      <c r="A6288" t="s">
        <v>4515</v>
      </c>
    </row>
    <row r="6289" spans="1:1" x14ac:dyDescent="0.25">
      <c r="A6289" t="s">
        <v>4516</v>
      </c>
    </row>
    <row r="6290" spans="1:1" x14ac:dyDescent="0.25">
      <c r="A6290" t="s">
        <v>4517</v>
      </c>
    </row>
    <row r="6291" spans="1:1" x14ac:dyDescent="0.25">
      <c r="A6291" t="s">
        <v>4518</v>
      </c>
    </row>
    <row r="6292" spans="1:1" x14ac:dyDescent="0.25">
      <c r="A6292" t="s">
        <v>4519</v>
      </c>
    </row>
    <row r="6293" spans="1:1" x14ac:dyDescent="0.25">
      <c r="A6293" t="s">
        <v>4520</v>
      </c>
    </row>
    <row r="6294" spans="1:1" x14ac:dyDescent="0.25">
      <c r="A6294" t="s">
        <v>4521</v>
      </c>
    </row>
    <row r="6295" spans="1:1" x14ac:dyDescent="0.25">
      <c r="A6295" t="s">
        <v>4522</v>
      </c>
    </row>
    <row r="6296" spans="1:1" x14ac:dyDescent="0.25">
      <c r="A6296" t="s">
        <v>4523</v>
      </c>
    </row>
    <row r="6297" spans="1:1" x14ac:dyDescent="0.25">
      <c r="A6297" t="s">
        <v>4524</v>
      </c>
    </row>
    <row r="6298" spans="1:1" x14ac:dyDescent="0.25">
      <c r="A6298" t="s">
        <v>4525</v>
      </c>
    </row>
    <row r="6299" spans="1:1" x14ac:dyDescent="0.25">
      <c r="A6299" t="s">
        <v>4526</v>
      </c>
    </row>
    <row r="6300" spans="1:1" x14ac:dyDescent="0.25">
      <c r="A6300" t="s">
        <v>4527</v>
      </c>
    </row>
    <row r="6301" spans="1:1" x14ac:dyDescent="0.25">
      <c r="A6301" t="s">
        <v>4528</v>
      </c>
    </row>
    <row r="6302" spans="1:1" x14ac:dyDescent="0.25">
      <c r="A6302" t="s">
        <v>4529</v>
      </c>
    </row>
    <row r="6303" spans="1:1" x14ac:dyDescent="0.25">
      <c r="A6303" t="s">
        <v>4530</v>
      </c>
    </row>
    <row r="6304" spans="1:1" x14ac:dyDescent="0.25">
      <c r="A6304" t="s">
        <v>4531</v>
      </c>
    </row>
    <row r="6305" spans="1:1" x14ac:dyDescent="0.25">
      <c r="A6305" t="s">
        <v>4532</v>
      </c>
    </row>
    <row r="6306" spans="1:1" x14ac:dyDescent="0.25">
      <c r="A6306" t="s">
        <v>4533</v>
      </c>
    </row>
    <row r="6307" spans="1:1" x14ac:dyDescent="0.25">
      <c r="A6307" t="s">
        <v>4534</v>
      </c>
    </row>
    <row r="6308" spans="1:1" x14ac:dyDescent="0.25">
      <c r="A6308" t="s">
        <v>4535</v>
      </c>
    </row>
    <row r="6309" spans="1:1" x14ac:dyDescent="0.25">
      <c r="A6309" t="s">
        <v>4536</v>
      </c>
    </row>
    <row r="6310" spans="1:1" x14ac:dyDescent="0.25">
      <c r="A6310" t="s">
        <v>4537</v>
      </c>
    </row>
    <row r="6311" spans="1:1" x14ac:dyDescent="0.25">
      <c r="A6311" t="s">
        <v>4538</v>
      </c>
    </row>
    <row r="6312" spans="1:1" x14ac:dyDescent="0.25">
      <c r="A6312" t="s">
        <v>4539</v>
      </c>
    </row>
    <row r="6313" spans="1:1" x14ac:dyDescent="0.25">
      <c r="A6313" t="s">
        <v>4540</v>
      </c>
    </row>
    <row r="6314" spans="1:1" x14ac:dyDescent="0.25">
      <c r="A6314" t="s">
        <v>4541</v>
      </c>
    </row>
    <row r="6315" spans="1:1" x14ac:dyDescent="0.25">
      <c r="A6315" t="s">
        <v>4542</v>
      </c>
    </row>
    <row r="6316" spans="1:1" x14ac:dyDescent="0.25">
      <c r="A6316" t="s">
        <v>4543</v>
      </c>
    </row>
    <row r="6317" spans="1:1" x14ac:dyDescent="0.25">
      <c r="A6317" t="s">
        <v>4544</v>
      </c>
    </row>
    <row r="6318" spans="1:1" x14ac:dyDescent="0.25">
      <c r="A6318" t="s">
        <v>4545</v>
      </c>
    </row>
    <row r="6319" spans="1:1" x14ac:dyDescent="0.25">
      <c r="A6319" t="s">
        <v>4546</v>
      </c>
    </row>
    <row r="6320" spans="1:1" x14ac:dyDescent="0.25">
      <c r="A6320" t="s">
        <v>4547</v>
      </c>
    </row>
    <row r="6321" spans="1:1" x14ac:dyDescent="0.25">
      <c r="A6321" t="s">
        <v>4548</v>
      </c>
    </row>
    <row r="6322" spans="1:1" x14ac:dyDescent="0.25">
      <c r="A6322" t="s">
        <v>4549</v>
      </c>
    </row>
    <row r="6323" spans="1:1" x14ac:dyDescent="0.25">
      <c r="A6323" t="s">
        <v>4550</v>
      </c>
    </row>
    <row r="6324" spans="1:1" x14ac:dyDescent="0.25">
      <c r="A6324" t="s">
        <v>4551</v>
      </c>
    </row>
    <row r="6325" spans="1:1" x14ac:dyDescent="0.25">
      <c r="A6325" t="s">
        <v>4552</v>
      </c>
    </row>
    <row r="6326" spans="1:1" x14ac:dyDescent="0.25">
      <c r="A6326" t="s">
        <v>4553</v>
      </c>
    </row>
    <row r="6327" spans="1:1" x14ac:dyDescent="0.25">
      <c r="A6327" t="s">
        <v>4554</v>
      </c>
    </row>
    <row r="6328" spans="1:1" x14ac:dyDescent="0.25">
      <c r="A6328" t="s">
        <v>4555</v>
      </c>
    </row>
    <row r="6329" spans="1:1" x14ac:dyDescent="0.25">
      <c r="A6329" t="s">
        <v>4556</v>
      </c>
    </row>
    <row r="6330" spans="1:1" x14ac:dyDescent="0.25">
      <c r="A6330" t="s">
        <v>4557</v>
      </c>
    </row>
    <row r="6331" spans="1:1" x14ac:dyDescent="0.25">
      <c r="A6331" t="s">
        <v>4558</v>
      </c>
    </row>
    <row r="6332" spans="1:1" x14ac:dyDescent="0.25">
      <c r="A6332" t="s">
        <v>4559</v>
      </c>
    </row>
    <row r="6333" spans="1:1" x14ac:dyDescent="0.25">
      <c r="A6333" t="s">
        <v>4560</v>
      </c>
    </row>
    <row r="6334" spans="1:1" x14ac:dyDescent="0.25">
      <c r="A6334" t="s">
        <v>4561</v>
      </c>
    </row>
    <row r="6335" spans="1:1" x14ac:dyDescent="0.25">
      <c r="A6335" t="s">
        <v>4562</v>
      </c>
    </row>
    <row r="6336" spans="1:1" x14ac:dyDescent="0.25">
      <c r="A6336" t="s">
        <v>4563</v>
      </c>
    </row>
    <row r="6337" spans="1:1" x14ac:dyDescent="0.25">
      <c r="A6337" t="s">
        <v>4564</v>
      </c>
    </row>
    <row r="6338" spans="1:1" x14ac:dyDescent="0.25">
      <c r="A6338" t="s">
        <v>4565</v>
      </c>
    </row>
    <row r="6339" spans="1:1" x14ac:dyDescent="0.25">
      <c r="A6339" t="s">
        <v>4566</v>
      </c>
    </row>
    <row r="6340" spans="1:1" x14ac:dyDescent="0.25">
      <c r="A6340" t="s">
        <v>4567</v>
      </c>
    </row>
    <row r="6341" spans="1:1" x14ac:dyDescent="0.25">
      <c r="A6341" t="s">
        <v>4568</v>
      </c>
    </row>
    <row r="6342" spans="1:1" x14ac:dyDescent="0.25">
      <c r="A6342" t="s">
        <v>4569</v>
      </c>
    </row>
    <row r="6343" spans="1:1" x14ac:dyDescent="0.25">
      <c r="A6343" t="s">
        <v>4570</v>
      </c>
    </row>
    <row r="6344" spans="1:1" x14ac:dyDescent="0.25">
      <c r="A6344" t="s">
        <v>4571</v>
      </c>
    </row>
    <row r="6345" spans="1:1" x14ac:dyDescent="0.25">
      <c r="A6345" t="s">
        <v>4572</v>
      </c>
    </row>
    <row r="6346" spans="1:1" x14ac:dyDescent="0.25">
      <c r="A6346" t="s">
        <v>4573</v>
      </c>
    </row>
    <row r="6347" spans="1:1" x14ac:dyDescent="0.25">
      <c r="A6347" t="s">
        <v>4574</v>
      </c>
    </row>
    <row r="6348" spans="1:1" x14ac:dyDescent="0.25">
      <c r="A6348" t="s">
        <v>4575</v>
      </c>
    </row>
    <row r="6349" spans="1:1" x14ac:dyDescent="0.25">
      <c r="A6349" t="s">
        <v>4576</v>
      </c>
    </row>
    <row r="6350" spans="1:1" x14ac:dyDescent="0.25">
      <c r="A6350" t="s">
        <v>4577</v>
      </c>
    </row>
    <row r="6351" spans="1:1" x14ac:dyDescent="0.25">
      <c r="A6351" t="s">
        <v>4578</v>
      </c>
    </row>
    <row r="6352" spans="1:1" x14ac:dyDescent="0.25">
      <c r="A6352" t="s">
        <v>4579</v>
      </c>
    </row>
    <row r="6353" spans="1:1" x14ac:dyDescent="0.25">
      <c r="A6353" t="s">
        <v>4580</v>
      </c>
    </row>
    <row r="6354" spans="1:1" x14ac:dyDescent="0.25">
      <c r="A6354" t="s">
        <v>4581</v>
      </c>
    </row>
    <row r="6355" spans="1:1" x14ac:dyDescent="0.25">
      <c r="A6355" t="s">
        <v>4582</v>
      </c>
    </row>
    <row r="6356" spans="1:1" x14ac:dyDescent="0.25">
      <c r="A6356" t="s">
        <v>4583</v>
      </c>
    </row>
    <row r="6357" spans="1:1" x14ac:dyDescent="0.25">
      <c r="A6357" t="s">
        <v>4584</v>
      </c>
    </row>
    <row r="6358" spans="1:1" x14ac:dyDescent="0.25">
      <c r="A6358" t="s">
        <v>4585</v>
      </c>
    </row>
    <row r="6359" spans="1:1" x14ac:dyDescent="0.25">
      <c r="A6359" t="s">
        <v>4586</v>
      </c>
    </row>
    <row r="6360" spans="1:1" x14ac:dyDescent="0.25">
      <c r="A6360" t="s">
        <v>4587</v>
      </c>
    </row>
    <row r="6361" spans="1:1" x14ac:dyDescent="0.25">
      <c r="A6361" t="s">
        <v>4588</v>
      </c>
    </row>
    <row r="6362" spans="1:1" x14ac:dyDescent="0.25">
      <c r="A6362" t="s">
        <v>4589</v>
      </c>
    </row>
    <row r="6363" spans="1:1" x14ac:dyDescent="0.25">
      <c r="A6363" t="s">
        <v>4590</v>
      </c>
    </row>
    <row r="6364" spans="1:1" x14ac:dyDescent="0.25">
      <c r="A6364" t="s">
        <v>4591</v>
      </c>
    </row>
    <row r="6365" spans="1:1" x14ac:dyDescent="0.25">
      <c r="A6365" t="s">
        <v>4592</v>
      </c>
    </row>
    <row r="6366" spans="1:1" x14ac:dyDescent="0.25">
      <c r="A6366" t="s">
        <v>4593</v>
      </c>
    </row>
    <row r="6367" spans="1:1" x14ac:dyDescent="0.25">
      <c r="A6367" t="s">
        <v>4594</v>
      </c>
    </row>
    <row r="6368" spans="1:1" x14ac:dyDescent="0.25">
      <c r="A6368" t="s">
        <v>4595</v>
      </c>
    </row>
    <row r="6369" spans="1:1" x14ac:dyDescent="0.25">
      <c r="A6369" t="s">
        <v>4596</v>
      </c>
    </row>
    <row r="6370" spans="1:1" x14ac:dyDescent="0.25">
      <c r="A6370" t="s">
        <v>4597</v>
      </c>
    </row>
    <row r="6371" spans="1:1" x14ac:dyDescent="0.25">
      <c r="A6371" t="s">
        <v>4598</v>
      </c>
    </row>
    <row r="6372" spans="1:1" x14ac:dyDescent="0.25">
      <c r="A6372" t="s">
        <v>4599</v>
      </c>
    </row>
    <row r="6373" spans="1:1" x14ac:dyDescent="0.25">
      <c r="A6373" t="s">
        <v>4600</v>
      </c>
    </row>
    <row r="6374" spans="1:1" x14ac:dyDescent="0.25">
      <c r="A6374" t="s">
        <v>4601</v>
      </c>
    </row>
    <row r="6375" spans="1:1" x14ac:dyDescent="0.25">
      <c r="A6375" t="s">
        <v>4602</v>
      </c>
    </row>
    <row r="6376" spans="1:1" x14ac:dyDescent="0.25">
      <c r="A6376" t="s">
        <v>4603</v>
      </c>
    </row>
    <row r="6377" spans="1:1" x14ac:dyDescent="0.25">
      <c r="A6377" t="s">
        <v>4604</v>
      </c>
    </row>
    <row r="6378" spans="1:1" x14ac:dyDescent="0.25">
      <c r="A6378" t="s">
        <v>4605</v>
      </c>
    </row>
    <row r="6379" spans="1:1" x14ac:dyDescent="0.25">
      <c r="A6379" t="s">
        <v>4606</v>
      </c>
    </row>
    <row r="6380" spans="1:1" x14ac:dyDescent="0.25">
      <c r="A6380" t="s">
        <v>4607</v>
      </c>
    </row>
    <row r="6381" spans="1:1" x14ac:dyDescent="0.25">
      <c r="A6381" t="s">
        <v>4608</v>
      </c>
    </row>
    <row r="6382" spans="1:1" x14ac:dyDescent="0.25">
      <c r="A6382" t="s">
        <v>4609</v>
      </c>
    </row>
    <row r="6383" spans="1:1" x14ac:dyDescent="0.25">
      <c r="A6383" t="s">
        <v>4610</v>
      </c>
    </row>
    <row r="6384" spans="1:1" x14ac:dyDescent="0.25">
      <c r="A6384" t="s">
        <v>4611</v>
      </c>
    </row>
    <row r="6385" spans="1:1" x14ac:dyDescent="0.25">
      <c r="A6385" t="s">
        <v>4612</v>
      </c>
    </row>
    <row r="6386" spans="1:1" x14ac:dyDescent="0.25">
      <c r="A6386" t="s">
        <v>4613</v>
      </c>
    </row>
    <row r="6387" spans="1:1" x14ac:dyDescent="0.25">
      <c r="A6387" t="s">
        <v>4614</v>
      </c>
    </row>
    <row r="6388" spans="1:1" x14ac:dyDescent="0.25">
      <c r="A6388" t="s">
        <v>4615</v>
      </c>
    </row>
    <row r="6389" spans="1:1" x14ac:dyDescent="0.25">
      <c r="A6389" t="s">
        <v>4616</v>
      </c>
    </row>
    <row r="6390" spans="1:1" x14ac:dyDescent="0.25">
      <c r="A6390" t="s">
        <v>4617</v>
      </c>
    </row>
    <row r="6391" spans="1:1" x14ac:dyDescent="0.25">
      <c r="A6391" t="s">
        <v>4618</v>
      </c>
    </row>
    <row r="6392" spans="1:1" x14ac:dyDescent="0.25">
      <c r="A6392" t="s">
        <v>4619</v>
      </c>
    </row>
    <row r="6393" spans="1:1" x14ac:dyDescent="0.25">
      <c r="A6393" t="s">
        <v>4620</v>
      </c>
    </row>
    <row r="6394" spans="1:1" x14ac:dyDescent="0.25">
      <c r="A6394" t="s">
        <v>4621</v>
      </c>
    </row>
    <row r="6395" spans="1:1" x14ac:dyDescent="0.25">
      <c r="A6395" t="s">
        <v>4622</v>
      </c>
    </row>
    <row r="6396" spans="1:1" x14ac:dyDescent="0.25">
      <c r="A6396" t="s">
        <v>4623</v>
      </c>
    </row>
    <row r="6397" spans="1:1" x14ac:dyDescent="0.25">
      <c r="A6397" t="s">
        <v>4624</v>
      </c>
    </row>
    <row r="6398" spans="1:1" x14ac:dyDescent="0.25">
      <c r="A6398" t="s">
        <v>4625</v>
      </c>
    </row>
    <row r="6399" spans="1:1" x14ac:dyDescent="0.25">
      <c r="A6399" t="s">
        <v>4626</v>
      </c>
    </row>
    <row r="6400" spans="1:1" x14ac:dyDescent="0.25">
      <c r="A6400" t="s">
        <v>4627</v>
      </c>
    </row>
    <row r="6401" spans="1:1" x14ac:dyDescent="0.25">
      <c r="A6401" t="s">
        <v>4628</v>
      </c>
    </row>
    <row r="6402" spans="1:1" x14ac:dyDescent="0.25">
      <c r="A6402" t="s">
        <v>4629</v>
      </c>
    </row>
    <row r="6403" spans="1:1" x14ac:dyDescent="0.25">
      <c r="A6403" t="s">
        <v>4630</v>
      </c>
    </row>
    <row r="6404" spans="1:1" x14ac:dyDescent="0.25">
      <c r="A6404" t="s">
        <v>4631</v>
      </c>
    </row>
    <row r="6405" spans="1:1" x14ac:dyDescent="0.25">
      <c r="A6405" t="s">
        <v>4632</v>
      </c>
    </row>
    <row r="6406" spans="1:1" x14ac:dyDescent="0.25">
      <c r="A6406" t="s">
        <v>4633</v>
      </c>
    </row>
    <row r="6407" spans="1:1" x14ac:dyDescent="0.25">
      <c r="A6407" t="s">
        <v>4634</v>
      </c>
    </row>
    <row r="6408" spans="1:1" x14ac:dyDescent="0.25">
      <c r="A6408" t="s">
        <v>4635</v>
      </c>
    </row>
    <row r="6409" spans="1:1" x14ac:dyDescent="0.25">
      <c r="A6409" t="s">
        <v>4636</v>
      </c>
    </row>
    <row r="6410" spans="1:1" x14ac:dyDescent="0.25">
      <c r="A6410" t="s">
        <v>4637</v>
      </c>
    </row>
    <row r="6411" spans="1:1" x14ac:dyDescent="0.25">
      <c r="A6411" t="s">
        <v>4638</v>
      </c>
    </row>
    <row r="6412" spans="1:1" x14ac:dyDescent="0.25">
      <c r="A6412" t="s">
        <v>4639</v>
      </c>
    </row>
    <row r="6413" spans="1:1" x14ac:dyDescent="0.25">
      <c r="A6413" t="s">
        <v>4640</v>
      </c>
    </row>
    <row r="6414" spans="1:1" x14ac:dyDescent="0.25">
      <c r="A6414" t="s">
        <v>4641</v>
      </c>
    </row>
    <row r="6415" spans="1:1" x14ac:dyDescent="0.25">
      <c r="A6415" t="s">
        <v>4642</v>
      </c>
    </row>
    <row r="6416" spans="1:1" x14ac:dyDescent="0.25">
      <c r="A6416" t="s">
        <v>4643</v>
      </c>
    </row>
    <row r="6417" spans="1:1" x14ac:dyDescent="0.25">
      <c r="A6417" t="s">
        <v>4644</v>
      </c>
    </row>
    <row r="6418" spans="1:1" x14ac:dyDescent="0.25">
      <c r="A6418" t="s">
        <v>4645</v>
      </c>
    </row>
    <row r="6419" spans="1:1" x14ac:dyDescent="0.25">
      <c r="A6419" t="s">
        <v>4646</v>
      </c>
    </row>
    <row r="6420" spans="1:1" x14ac:dyDescent="0.25">
      <c r="A6420" t="s">
        <v>4647</v>
      </c>
    </row>
    <row r="6421" spans="1:1" x14ac:dyDescent="0.25">
      <c r="A6421" t="s">
        <v>4648</v>
      </c>
    </row>
    <row r="6422" spans="1:1" x14ac:dyDescent="0.25">
      <c r="A6422" t="s">
        <v>4649</v>
      </c>
    </row>
    <row r="6423" spans="1:1" x14ac:dyDescent="0.25">
      <c r="A6423" t="s">
        <v>4650</v>
      </c>
    </row>
    <row r="6424" spans="1:1" x14ac:dyDescent="0.25">
      <c r="A6424" t="s">
        <v>4651</v>
      </c>
    </row>
    <row r="6425" spans="1:1" x14ac:dyDescent="0.25">
      <c r="A6425" t="s">
        <v>4652</v>
      </c>
    </row>
    <row r="6426" spans="1:1" x14ac:dyDescent="0.25">
      <c r="A6426" t="s">
        <v>4653</v>
      </c>
    </row>
    <row r="6427" spans="1:1" x14ac:dyDescent="0.25">
      <c r="A6427" t="s">
        <v>4654</v>
      </c>
    </row>
    <row r="6428" spans="1:1" x14ac:dyDescent="0.25">
      <c r="A6428" t="s">
        <v>4655</v>
      </c>
    </row>
    <row r="6429" spans="1:1" x14ac:dyDescent="0.25">
      <c r="A6429" t="s">
        <v>4656</v>
      </c>
    </row>
    <row r="6430" spans="1:1" x14ac:dyDescent="0.25">
      <c r="A6430" t="s">
        <v>4657</v>
      </c>
    </row>
    <row r="6431" spans="1:1" x14ac:dyDescent="0.25">
      <c r="A6431" t="s">
        <v>4658</v>
      </c>
    </row>
    <row r="6432" spans="1:1" x14ac:dyDescent="0.25">
      <c r="A6432" t="s">
        <v>4659</v>
      </c>
    </row>
    <row r="6433" spans="1:1" x14ac:dyDescent="0.25">
      <c r="A6433" t="s">
        <v>4660</v>
      </c>
    </row>
    <row r="6434" spans="1:1" x14ac:dyDescent="0.25">
      <c r="A6434" t="s">
        <v>4661</v>
      </c>
    </row>
    <row r="6435" spans="1:1" x14ac:dyDescent="0.25">
      <c r="A6435" t="s">
        <v>4662</v>
      </c>
    </row>
    <row r="6436" spans="1:1" x14ac:dyDescent="0.25">
      <c r="A6436" t="s">
        <v>4663</v>
      </c>
    </row>
    <row r="6437" spans="1:1" x14ac:dyDescent="0.25">
      <c r="A6437" t="s">
        <v>4664</v>
      </c>
    </row>
    <row r="6438" spans="1:1" x14ac:dyDescent="0.25">
      <c r="A6438" t="s">
        <v>4665</v>
      </c>
    </row>
    <row r="6439" spans="1:1" x14ac:dyDescent="0.25">
      <c r="A6439" t="s">
        <v>4666</v>
      </c>
    </row>
    <row r="6440" spans="1:1" x14ac:dyDescent="0.25">
      <c r="A6440" t="s">
        <v>4667</v>
      </c>
    </row>
    <row r="6441" spans="1:1" x14ac:dyDescent="0.25">
      <c r="A6441" t="s">
        <v>4668</v>
      </c>
    </row>
    <row r="6442" spans="1:1" x14ac:dyDescent="0.25">
      <c r="A6442" t="s">
        <v>4669</v>
      </c>
    </row>
    <row r="6443" spans="1:1" x14ac:dyDescent="0.25">
      <c r="A6443" t="s">
        <v>4670</v>
      </c>
    </row>
    <row r="6444" spans="1:1" x14ac:dyDescent="0.25">
      <c r="A6444" t="s">
        <v>4671</v>
      </c>
    </row>
    <row r="6445" spans="1:1" x14ac:dyDescent="0.25">
      <c r="A6445" t="s">
        <v>4672</v>
      </c>
    </row>
    <row r="6446" spans="1:1" x14ac:dyDescent="0.25">
      <c r="A6446" t="s">
        <v>4673</v>
      </c>
    </row>
    <row r="6447" spans="1:1" x14ac:dyDescent="0.25">
      <c r="A6447" t="s">
        <v>4674</v>
      </c>
    </row>
    <row r="6448" spans="1:1" x14ac:dyDescent="0.25">
      <c r="A6448" t="s">
        <v>4675</v>
      </c>
    </row>
    <row r="6449" spans="1:1" x14ac:dyDescent="0.25">
      <c r="A6449" t="s">
        <v>4676</v>
      </c>
    </row>
    <row r="6450" spans="1:1" x14ac:dyDescent="0.25">
      <c r="A6450" t="s">
        <v>4677</v>
      </c>
    </row>
    <row r="6451" spans="1:1" x14ac:dyDescent="0.25">
      <c r="A6451" t="s">
        <v>4678</v>
      </c>
    </row>
    <row r="6452" spans="1:1" x14ac:dyDescent="0.25">
      <c r="A6452" t="s">
        <v>4679</v>
      </c>
    </row>
    <row r="6453" spans="1:1" x14ac:dyDescent="0.25">
      <c r="A6453" t="s">
        <v>4680</v>
      </c>
    </row>
    <row r="6454" spans="1:1" x14ac:dyDescent="0.25">
      <c r="A6454" t="s">
        <v>4681</v>
      </c>
    </row>
    <row r="6455" spans="1:1" x14ac:dyDescent="0.25">
      <c r="A6455" t="s">
        <v>4682</v>
      </c>
    </row>
    <row r="6456" spans="1:1" x14ac:dyDescent="0.25">
      <c r="A6456" t="s">
        <v>4683</v>
      </c>
    </row>
    <row r="6457" spans="1:1" x14ac:dyDescent="0.25">
      <c r="A6457" t="s">
        <v>4684</v>
      </c>
    </row>
    <row r="6458" spans="1:1" x14ac:dyDescent="0.25">
      <c r="A6458" t="s">
        <v>4685</v>
      </c>
    </row>
    <row r="6459" spans="1:1" x14ac:dyDescent="0.25">
      <c r="A6459" t="s">
        <v>4686</v>
      </c>
    </row>
    <row r="6460" spans="1:1" x14ac:dyDescent="0.25">
      <c r="A6460" t="s">
        <v>4687</v>
      </c>
    </row>
    <row r="6461" spans="1:1" x14ac:dyDescent="0.25">
      <c r="A6461" t="s">
        <v>4688</v>
      </c>
    </row>
    <row r="6462" spans="1:1" x14ac:dyDescent="0.25">
      <c r="A6462" t="s">
        <v>4689</v>
      </c>
    </row>
    <row r="6463" spans="1:1" x14ac:dyDescent="0.25">
      <c r="A6463" t="s">
        <v>4690</v>
      </c>
    </row>
    <row r="6464" spans="1:1" x14ac:dyDescent="0.25">
      <c r="A6464" t="s">
        <v>4691</v>
      </c>
    </row>
    <row r="6465" spans="1:1" x14ac:dyDescent="0.25">
      <c r="A6465" t="s">
        <v>4692</v>
      </c>
    </row>
    <row r="6466" spans="1:1" x14ac:dyDescent="0.25">
      <c r="A6466" t="s">
        <v>4693</v>
      </c>
    </row>
    <row r="6467" spans="1:1" x14ac:dyDescent="0.25">
      <c r="A6467" t="s">
        <v>4694</v>
      </c>
    </row>
    <row r="6468" spans="1:1" x14ac:dyDescent="0.25">
      <c r="A6468" t="s">
        <v>4695</v>
      </c>
    </row>
    <row r="6469" spans="1:1" x14ac:dyDescent="0.25">
      <c r="A6469" t="s">
        <v>4696</v>
      </c>
    </row>
    <row r="6470" spans="1:1" x14ac:dyDescent="0.25">
      <c r="A6470" t="s">
        <v>4697</v>
      </c>
    </row>
    <row r="6471" spans="1:1" x14ac:dyDescent="0.25">
      <c r="A6471" t="s">
        <v>4698</v>
      </c>
    </row>
    <row r="6472" spans="1:1" x14ac:dyDescent="0.25">
      <c r="A6472" t="s">
        <v>4699</v>
      </c>
    </row>
    <row r="6473" spans="1:1" x14ac:dyDescent="0.25">
      <c r="A6473" t="s">
        <v>4700</v>
      </c>
    </row>
    <row r="6474" spans="1:1" x14ac:dyDescent="0.25">
      <c r="A6474" t="s">
        <v>4701</v>
      </c>
    </row>
    <row r="6475" spans="1:1" x14ac:dyDescent="0.25">
      <c r="A6475" t="s">
        <v>4702</v>
      </c>
    </row>
    <row r="6476" spans="1:1" x14ac:dyDescent="0.25">
      <c r="A6476" t="s">
        <v>4703</v>
      </c>
    </row>
    <row r="6477" spans="1:1" x14ac:dyDescent="0.25">
      <c r="A6477" t="s">
        <v>4704</v>
      </c>
    </row>
    <row r="6478" spans="1:1" x14ac:dyDescent="0.25">
      <c r="A6478" t="s">
        <v>4705</v>
      </c>
    </row>
    <row r="6479" spans="1:1" x14ac:dyDescent="0.25">
      <c r="A6479" t="s">
        <v>4706</v>
      </c>
    </row>
    <row r="6480" spans="1:1" x14ac:dyDescent="0.25">
      <c r="A6480" t="s">
        <v>4707</v>
      </c>
    </row>
    <row r="6481" spans="1:1" x14ac:dyDescent="0.25">
      <c r="A6481" t="s">
        <v>4708</v>
      </c>
    </row>
    <row r="6482" spans="1:1" x14ac:dyDescent="0.25">
      <c r="A6482" t="s">
        <v>4709</v>
      </c>
    </row>
    <row r="6483" spans="1:1" x14ac:dyDescent="0.25">
      <c r="A6483" t="s">
        <v>4710</v>
      </c>
    </row>
    <row r="6484" spans="1:1" x14ac:dyDescent="0.25">
      <c r="A6484" t="s">
        <v>4711</v>
      </c>
    </row>
    <row r="6485" spans="1:1" x14ac:dyDescent="0.25">
      <c r="A6485" t="s">
        <v>4712</v>
      </c>
    </row>
    <row r="6486" spans="1:1" x14ac:dyDescent="0.25">
      <c r="A6486" t="s">
        <v>4713</v>
      </c>
    </row>
    <row r="6487" spans="1:1" x14ac:dyDescent="0.25">
      <c r="A6487" t="s">
        <v>4714</v>
      </c>
    </row>
    <row r="6488" spans="1:1" x14ac:dyDescent="0.25">
      <c r="A6488" t="s">
        <v>4715</v>
      </c>
    </row>
    <row r="6489" spans="1:1" x14ac:dyDescent="0.25">
      <c r="A6489" t="s">
        <v>4716</v>
      </c>
    </row>
    <row r="6490" spans="1:1" x14ac:dyDescent="0.25">
      <c r="A6490" t="s">
        <v>4717</v>
      </c>
    </row>
    <row r="6491" spans="1:1" x14ac:dyDescent="0.25">
      <c r="A6491" t="s">
        <v>4718</v>
      </c>
    </row>
    <row r="6492" spans="1:1" x14ac:dyDescent="0.25">
      <c r="A6492" t="s">
        <v>4719</v>
      </c>
    </row>
    <row r="6493" spans="1:1" x14ac:dyDescent="0.25">
      <c r="A6493" t="s">
        <v>4720</v>
      </c>
    </row>
    <row r="6494" spans="1:1" x14ac:dyDescent="0.25">
      <c r="A6494" t="s">
        <v>4721</v>
      </c>
    </row>
    <row r="6495" spans="1:1" x14ac:dyDescent="0.25">
      <c r="A6495" t="s">
        <v>4722</v>
      </c>
    </row>
    <row r="6496" spans="1:1" x14ac:dyDescent="0.25">
      <c r="A6496" t="s">
        <v>4723</v>
      </c>
    </row>
    <row r="6497" spans="1:1" x14ac:dyDescent="0.25">
      <c r="A6497" t="s">
        <v>4724</v>
      </c>
    </row>
    <row r="6498" spans="1:1" x14ac:dyDescent="0.25">
      <c r="A6498" t="s">
        <v>4725</v>
      </c>
    </row>
    <row r="6499" spans="1:1" x14ac:dyDescent="0.25">
      <c r="A6499" t="s">
        <v>4726</v>
      </c>
    </row>
    <row r="6500" spans="1:1" x14ac:dyDescent="0.25">
      <c r="A6500" t="s">
        <v>4727</v>
      </c>
    </row>
    <row r="6501" spans="1:1" x14ac:dyDescent="0.25">
      <c r="A6501" t="s">
        <v>4728</v>
      </c>
    </row>
    <row r="6502" spans="1:1" x14ac:dyDescent="0.25">
      <c r="A6502" t="s">
        <v>4729</v>
      </c>
    </row>
    <row r="6503" spans="1:1" x14ac:dyDescent="0.25">
      <c r="A6503" t="s">
        <v>4730</v>
      </c>
    </row>
    <row r="6504" spans="1:1" x14ac:dyDescent="0.25">
      <c r="A6504" t="s">
        <v>4731</v>
      </c>
    </row>
    <row r="6505" spans="1:1" x14ac:dyDescent="0.25">
      <c r="A6505" t="s">
        <v>4732</v>
      </c>
    </row>
    <row r="6506" spans="1:1" x14ac:dyDescent="0.25">
      <c r="A6506" t="s">
        <v>4733</v>
      </c>
    </row>
    <row r="6507" spans="1:1" x14ac:dyDescent="0.25">
      <c r="A6507" t="s">
        <v>4734</v>
      </c>
    </row>
    <row r="6508" spans="1:1" x14ac:dyDescent="0.25">
      <c r="A6508" t="s">
        <v>4735</v>
      </c>
    </row>
    <row r="6509" spans="1:1" x14ac:dyDescent="0.25">
      <c r="A6509" t="s">
        <v>4736</v>
      </c>
    </row>
    <row r="6510" spans="1:1" x14ac:dyDescent="0.25">
      <c r="A6510" t="s">
        <v>4737</v>
      </c>
    </row>
    <row r="6511" spans="1:1" x14ac:dyDescent="0.25">
      <c r="A6511" t="s">
        <v>4738</v>
      </c>
    </row>
    <row r="6512" spans="1:1" x14ac:dyDescent="0.25">
      <c r="A6512" t="s">
        <v>4739</v>
      </c>
    </row>
    <row r="6513" spans="1:1" x14ac:dyDescent="0.25">
      <c r="A6513" t="s">
        <v>4740</v>
      </c>
    </row>
    <row r="6514" spans="1:1" x14ac:dyDescent="0.25">
      <c r="A6514" t="s">
        <v>4741</v>
      </c>
    </row>
    <row r="6515" spans="1:1" x14ac:dyDescent="0.25">
      <c r="A6515" t="s">
        <v>4742</v>
      </c>
    </row>
    <row r="6516" spans="1:1" x14ac:dyDescent="0.25">
      <c r="A6516" t="s">
        <v>4743</v>
      </c>
    </row>
    <row r="6517" spans="1:1" x14ac:dyDescent="0.25">
      <c r="A6517" t="s">
        <v>4744</v>
      </c>
    </row>
    <row r="6518" spans="1:1" x14ac:dyDescent="0.25">
      <c r="A6518" t="s">
        <v>4745</v>
      </c>
    </row>
    <row r="6519" spans="1:1" x14ac:dyDescent="0.25">
      <c r="A6519" t="s">
        <v>4746</v>
      </c>
    </row>
    <row r="6520" spans="1:1" x14ac:dyDescent="0.25">
      <c r="A6520" t="s">
        <v>4747</v>
      </c>
    </row>
    <row r="6521" spans="1:1" x14ac:dyDescent="0.25">
      <c r="A6521" t="s">
        <v>4748</v>
      </c>
    </row>
    <row r="6522" spans="1:1" x14ac:dyDescent="0.25">
      <c r="A6522" t="s">
        <v>4749</v>
      </c>
    </row>
    <row r="6523" spans="1:1" x14ac:dyDescent="0.25">
      <c r="A6523" t="s">
        <v>4750</v>
      </c>
    </row>
    <row r="6524" spans="1:1" x14ac:dyDescent="0.25">
      <c r="A6524" t="s">
        <v>4751</v>
      </c>
    </row>
    <row r="6525" spans="1:1" x14ac:dyDescent="0.25">
      <c r="A6525" t="s">
        <v>4752</v>
      </c>
    </row>
    <row r="6526" spans="1:1" x14ac:dyDescent="0.25">
      <c r="A6526" t="s">
        <v>4753</v>
      </c>
    </row>
    <row r="6527" spans="1:1" x14ac:dyDescent="0.25">
      <c r="A6527" t="s">
        <v>4754</v>
      </c>
    </row>
    <row r="6528" spans="1:1" x14ac:dyDescent="0.25">
      <c r="A6528" t="s">
        <v>4755</v>
      </c>
    </row>
    <row r="6529" spans="1:1" x14ac:dyDescent="0.25">
      <c r="A6529" t="s">
        <v>4756</v>
      </c>
    </row>
    <row r="6530" spans="1:1" x14ac:dyDescent="0.25">
      <c r="A6530" t="s">
        <v>4757</v>
      </c>
    </row>
    <row r="6531" spans="1:1" x14ac:dyDescent="0.25">
      <c r="A6531" t="s">
        <v>4758</v>
      </c>
    </row>
    <row r="6532" spans="1:1" x14ac:dyDescent="0.25">
      <c r="A6532" t="s">
        <v>4759</v>
      </c>
    </row>
    <row r="6533" spans="1:1" x14ac:dyDescent="0.25">
      <c r="A6533" t="s">
        <v>4760</v>
      </c>
    </row>
    <row r="6534" spans="1:1" x14ac:dyDescent="0.25">
      <c r="A6534" t="s">
        <v>4761</v>
      </c>
    </row>
    <row r="6535" spans="1:1" x14ac:dyDescent="0.25">
      <c r="A6535" t="s">
        <v>4762</v>
      </c>
    </row>
    <row r="6536" spans="1:1" x14ac:dyDescent="0.25">
      <c r="A6536" t="s">
        <v>4763</v>
      </c>
    </row>
    <row r="6537" spans="1:1" x14ac:dyDescent="0.25">
      <c r="A6537" t="s">
        <v>4764</v>
      </c>
    </row>
    <row r="6538" spans="1:1" x14ac:dyDescent="0.25">
      <c r="A6538" t="s">
        <v>4765</v>
      </c>
    </row>
    <row r="6539" spans="1:1" x14ac:dyDescent="0.25">
      <c r="A6539" t="s">
        <v>4766</v>
      </c>
    </row>
    <row r="6540" spans="1:1" x14ac:dyDescent="0.25">
      <c r="A6540" t="s">
        <v>4767</v>
      </c>
    </row>
    <row r="6541" spans="1:1" x14ac:dyDescent="0.25">
      <c r="A6541" t="s">
        <v>4768</v>
      </c>
    </row>
    <row r="6542" spans="1:1" x14ac:dyDescent="0.25">
      <c r="A6542" t="s">
        <v>4769</v>
      </c>
    </row>
    <row r="6543" spans="1:1" x14ac:dyDescent="0.25">
      <c r="A6543" t="s">
        <v>4770</v>
      </c>
    </row>
    <row r="6544" spans="1:1" x14ac:dyDescent="0.25">
      <c r="A6544" t="s">
        <v>4771</v>
      </c>
    </row>
    <row r="6545" spans="1:1" x14ac:dyDescent="0.25">
      <c r="A6545" t="s">
        <v>4772</v>
      </c>
    </row>
    <row r="6546" spans="1:1" x14ac:dyDescent="0.25">
      <c r="A6546" t="s">
        <v>4773</v>
      </c>
    </row>
    <row r="6547" spans="1:1" x14ac:dyDescent="0.25">
      <c r="A6547" t="s">
        <v>4774</v>
      </c>
    </row>
    <row r="6548" spans="1:1" x14ac:dyDescent="0.25">
      <c r="A6548" t="s">
        <v>4775</v>
      </c>
    </row>
    <row r="6549" spans="1:1" x14ac:dyDescent="0.25">
      <c r="A6549" t="s">
        <v>4776</v>
      </c>
    </row>
    <row r="6550" spans="1:1" x14ac:dyDescent="0.25">
      <c r="A6550" t="s">
        <v>4777</v>
      </c>
    </row>
    <row r="6551" spans="1:1" x14ac:dyDescent="0.25">
      <c r="A6551" t="s">
        <v>4778</v>
      </c>
    </row>
    <row r="6552" spans="1:1" x14ac:dyDescent="0.25">
      <c r="A6552" t="s">
        <v>4779</v>
      </c>
    </row>
    <row r="6553" spans="1:1" x14ac:dyDescent="0.25">
      <c r="A6553" t="s">
        <v>4780</v>
      </c>
    </row>
    <row r="6554" spans="1:1" x14ac:dyDescent="0.25">
      <c r="A6554" t="s">
        <v>4781</v>
      </c>
    </row>
    <row r="6555" spans="1:1" x14ac:dyDescent="0.25">
      <c r="A6555" t="s">
        <v>4782</v>
      </c>
    </row>
    <row r="6556" spans="1:1" x14ac:dyDescent="0.25">
      <c r="A6556" t="s">
        <v>4783</v>
      </c>
    </row>
    <row r="6557" spans="1:1" x14ac:dyDescent="0.25">
      <c r="A6557" t="s">
        <v>4784</v>
      </c>
    </row>
    <row r="6558" spans="1:1" x14ac:dyDescent="0.25">
      <c r="A6558" t="s">
        <v>4785</v>
      </c>
    </row>
    <row r="6559" spans="1:1" x14ac:dyDescent="0.25">
      <c r="A6559" t="s">
        <v>4786</v>
      </c>
    </row>
    <row r="6560" spans="1:1" x14ac:dyDescent="0.25">
      <c r="A6560" t="s">
        <v>4787</v>
      </c>
    </row>
    <row r="6561" spans="1:1" x14ac:dyDescent="0.25">
      <c r="A6561" t="s">
        <v>4788</v>
      </c>
    </row>
    <row r="6562" spans="1:1" x14ac:dyDescent="0.25">
      <c r="A6562" t="s">
        <v>4789</v>
      </c>
    </row>
    <row r="6563" spans="1:1" x14ac:dyDescent="0.25">
      <c r="A6563" t="s">
        <v>4790</v>
      </c>
    </row>
    <row r="6564" spans="1:1" x14ac:dyDescent="0.25">
      <c r="A6564" t="s">
        <v>4791</v>
      </c>
    </row>
    <row r="6565" spans="1:1" x14ac:dyDescent="0.25">
      <c r="A6565" t="s">
        <v>4792</v>
      </c>
    </row>
    <row r="6566" spans="1:1" x14ac:dyDescent="0.25">
      <c r="A6566" t="s">
        <v>4793</v>
      </c>
    </row>
    <row r="6567" spans="1:1" x14ac:dyDescent="0.25">
      <c r="A6567" t="s">
        <v>4794</v>
      </c>
    </row>
    <row r="6568" spans="1:1" x14ac:dyDescent="0.25">
      <c r="A6568" t="s">
        <v>4795</v>
      </c>
    </row>
    <row r="6569" spans="1:1" x14ac:dyDescent="0.25">
      <c r="A6569" t="s">
        <v>4796</v>
      </c>
    </row>
    <row r="6570" spans="1:1" x14ac:dyDescent="0.25">
      <c r="A6570" t="s">
        <v>4797</v>
      </c>
    </row>
    <row r="6571" spans="1:1" x14ac:dyDescent="0.25">
      <c r="A6571" t="s">
        <v>4798</v>
      </c>
    </row>
    <row r="6572" spans="1:1" x14ac:dyDescent="0.25">
      <c r="A6572" t="s">
        <v>4799</v>
      </c>
    </row>
    <row r="6573" spans="1:1" x14ac:dyDescent="0.25">
      <c r="A6573" t="s">
        <v>4800</v>
      </c>
    </row>
    <row r="6574" spans="1:1" x14ac:dyDescent="0.25">
      <c r="A6574" t="s">
        <v>4801</v>
      </c>
    </row>
    <row r="6575" spans="1:1" x14ac:dyDescent="0.25">
      <c r="A6575" t="s">
        <v>4802</v>
      </c>
    </row>
    <row r="6576" spans="1:1" x14ac:dyDescent="0.25">
      <c r="A6576" t="s">
        <v>4803</v>
      </c>
    </row>
    <row r="6577" spans="1:1" x14ac:dyDescent="0.25">
      <c r="A6577" t="s">
        <v>4804</v>
      </c>
    </row>
    <row r="6578" spans="1:1" x14ac:dyDescent="0.25">
      <c r="A6578" t="s">
        <v>4805</v>
      </c>
    </row>
    <row r="6579" spans="1:1" x14ac:dyDescent="0.25">
      <c r="A6579" t="s">
        <v>4806</v>
      </c>
    </row>
    <row r="6580" spans="1:1" x14ac:dyDescent="0.25">
      <c r="A6580" t="s">
        <v>4807</v>
      </c>
    </row>
    <row r="6581" spans="1:1" x14ac:dyDescent="0.25">
      <c r="A6581" t="s">
        <v>4808</v>
      </c>
    </row>
    <row r="6582" spans="1:1" x14ac:dyDescent="0.25">
      <c r="A6582" t="s">
        <v>4809</v>
      </c>
    </row>
    <row r="6583" spans="1:1" x14ac:dyDescent="0.25">
      <c r="A6583" t="s">
        <v>4810</v>
      </c>
    </row>
    <row r="6584" spans="1:1" x14ac:dyDescent="0.25">
      <c r="A6584" t="s">
        <v>4811</v>
      </c>
    </row>
    <row r="6585" spans="1:1" x14ac:dyDescent="0.25">
      <c r="A6585" t="s">
        <v>4812</v>
      </c>
    </row>
    <row r="6586" spans="1:1" x14ac:dyDescent="0.25">
      <c r="A6586" t="s">
        <v>4813</v>
      </c>
    </row>
    <row r="6587" spans="1:1" x14ac:dyDescent="0.25">
      <c r="A6587" t="s">
        <v>4814</v>
      </c>
    </row>
    <row r="6588" spans="1:1" x14ac:dyDescent="0.25">
      <c r="A6588" t="s">
        <v>4815</v>
      </c>
    </row>
    <row r="6589" spans="1:1" x14ac:dyDescent="0.25">
      <c r="A6589" t="s">
        <v>4816</v>
      </c>
    </row>
    <row r="6590" spans="1:1" x14ac:dyDescent="0.25">
      <c r="A6590" t="s">
        <v>4817</v>
      </c>
    </row>
    <row r="6591" spans="1:1" x14ac:dyDescent="0.25">
      <c r="A6591" t="s">
        <v>4818</v>
      </c>
    </row>
    <row r="6592" spans="1:1" x14ac:dyDescent="0.25">
      <c r="A6592" t="s">
        <v>4819</v>
      </c>
    </row>
    <row r="6593" spans="1:1" x14ac:dyDescent="0.25">
      <c r="A6593" t="s">
        <v>4820</v>
      </c>
    </row>
    <row r="6594" spans="1:1" x14ac:dyDescent="0.25">
      <c r="A6594" t="s">
        <v>4821</v>
      </c>
    </row>
    <row r="6595" spans="1:1" x14ac:dyDescent="0.25">
      <c r="A6595" t="s">
        <v>4822</v>
      </c>
    </row>
    <row r="6596" spans="1:1" x14ac:dyDescent="0.25">
      <c r="A6596" t="s">
        <v>4823</v>
      </c>
    </row>
    <row r="6597" spans="1:1" x14ac:dyDescent="0.25">
      <c r="A6597" t="s">
        <v>4824</v>
      </c>
    </row>
    <row r="6598" spans="1:1" x14ac:dyDescent="0.25">
      <c r="A6598" t="s">
        <v>4825</v>
      </c>
    </row>
    <row r="6599" spans="1:1" x14ac:dyDescent="0.25">
      <c r="A6599" t="s">
        <v>4826</v>
      </c>
    </row>
    <row r="6600" spans="1:1" x14ac:dyDescent="0.25">
      <c r="A6600" t="s">
        <v>4827</v>
      </c>
    </row>
    <row r="6601" spans="1:1" x14ac:dyDescent="0.25">
      <c r="A6601" t="s">
        <v>4828</v>
      </c>
    </row>
    <row r="6602" spans="1:1" x14ac:dyDescent="0.25">
      <c r="A6602" t="s">
        <v>4829</v>
      </c>
    </row>
    <row r="6603" spans="1:1" x14ac:dyDescent="0.25">
      <c r="A6603" t="s">
        <v>4830</v>
      </c>
    </row>
    <row r="6604" spans="1:1" x14ac:dyDescent="0.25">
      <c r="A6604" t="s">
        <v>4831</v>
      </c>
    </row>
    <row r="6605" spans="1:1" x14ac:dyDescent="0.25">
      <c r="A6605" t="s">
        <v>4832</v>
      </c>
    </row>
    <row r="6606" spans="1:1" x14ac:dyDescent="0.25">
      <c r="A6606" t="s">
        <v>4833</v>
      </c>
    </row>
    <row r="6607" spans="1:1" x14ac:dyDescent="0.25">
      <c r="A6607" t="s">
        <v>4834</v>
      </c>
    </row>
    <row r="6608" spans="1:1" x14ac:dyDescent="0.25">
      <c r="A6608" t="s">
        <v>4835</v>
      </c>
    </row>
    <row r="6609" spans="1:1" x14ac:dyDescent="0.25">
      <c r="A6609" t="s">
        <v>4836</v>
      </c>
    </row>
    <row r="6610" spans="1:1" x14ac:dyDescent="0.25">
      <c r="A6610" t="s">
        <v>4837</v>
      </c>
    </row>
    <row r="6611" spans="1:1" x14ac:dyDescent="0.25">
      <c r="A6611" t="s">
        <v>4838</v>
      </c>
    </row>
    <row r="6612" spans="1:1" x14ac:dyDescent="0.25">
      <c r="A6612" t="s">
        <v>4839</v>
      </c>
    </row>
    <row r="6613" spans="1:1" x14ac:dyDescent="0.25">
      <c r="A6613" t="s">
        <v>4840</v>
      </c>
    </row>
    <row r="6614" spans="1:1" x14ac:dyDescent="0.25">
      <c r="A6614" t="s">
        <v>4841</v>
      </c>
    </row>
    <row r="6615" spans="1:1" x14ac:dyDescent="0.25">
      <c r="A6615" t="s">
        <v>4842</v>
      </c>
    </row>
    <row r="6616" spans="1:1" x14ac:dyDescent="0.25">
      <c r="A6616" t="s">
        <v>4843</v>
      </c>
    </row>
    <row r="6617" spans="1:1" x14ac:dyDescent="0.25">
      <c r="A6617" t="s">
        <v>4844</v>
      </c>
    </row>
    <row r="6618" spans="1:1" x14ac:dyDescent="0.25">
      <c r="A6618" t="s">
        <v>4845</v>
      </c>
    </row>
    <row r="6619" spans="1:1" x14ac:dyDescent="0.25">
      <c r="A6619" t="s">
        <v>4846</v>
      </c>
    </row>
    <row r="6620" spans="1:1" x14ac:dyDescent="0.25">
      <c r="A6620" t="s">
        <v>4847</v>
      </c>
    </row>
    <row r="6621" spans="1:1" x14ac:dyDescent="0.25">
      <c r="A6621" t="s">
        <v>4848</v>
      </c>
    </row>
    <row r="6622" spans="1:1" x14ac:dyDescent="0.25">
      <c r="A6622" t="s">
        <v>4849</v>
      </c>
    </row>
    <row r="6623" spans="1:1" x14ac:dyDescent="0.25">
      <c r="A6623" t="s">
        <v>4850</v>
      </c>
    </row>
    <row r="6624" spans="1:1" x14ac:dyDescent="0.25">
      <c r="A6624" t="s">
        <v>4851</v>
      </c>
    </row>
    <row r="6625" spans="1:1" x14ac:dyDescent="0.25">
      <c r="A6625" t="s">
        <v>4852</v>
      </c>
    </row>
    <row r="6626" spans="1:1" x14ac:dyDescent="0.25">
      <c r="A6626" t="s">
        <v>4853</v>
      </c>
    </row>
    <row r="6627" spans="1:1" x14ac:dyDescent="0.25">
      <c r="A6627" t="s">
        <v>4854</v>
      </c>
    </row>
    <row r="6628" spans="1:1" x14ac:dyDescent="0.25">
      <c r="A6628" t="s">
        <v>4855</v>
      </c>
    </row>
    <row r="6629" spans="1:1" x14ac:dyDescent="0.25">
      <c r="A6629" t="s">
        <v>4856</v>
      </c>
    </row>
    <row r="6630" spans="1:1" x14ac:dyDescent="0.25">
      <c r="A6630" t="s">
        <v>4857</v>
      </c>
    </row>
    <row r="6631" spans="1:1" x14ac:dyDescent="0.25">
      <c r="A6631" t="s">
        <v>4858</v>
      </c>
    </row>
    <row r="6632" spans="1:1" x14ac:dyDescent="0.25">
      <c r="A6632" t="s">
        <v>4859</v>
      </c>
    </row>
    <row r="6633" spans="1:1" x14ac:dyDescent="0.25">
      <c r="A6633" t="s">
        <v>4860</v>
      </c>
    </row>
    <row r="6634" spans="1:1" x14ac:dyDescent="0.25">
      <c r="A6634" t="s">
        <v>4861</v>
      </c>
    </row>
    <row r="6635" spans="1:1" x14ac:dyDescent="0.25">
      <c r="A6635" t="s">
        <v>4862</v>
      </c>
    </row>
    <row r="6636" spans="1:1" x14ac:dyDescent="0.25">
      <c r="A6636" t="s">
        <v>4863</v>
      </c>
    </row>
    <row r="6637" spans="1:1" x14ac:dyDescent="0.25">
      <c r="A6637" t="s">
        <v>4864</v>
      </c>
    </row>
    <row r="6638" spans="1:1" x14ac:dyDescent="0.25">
      <c r="A6638" t="s">
        <v>4865</v>
      </c>
    </row>
    <row r="6639" spans="1:1" x14ac:dyDescent="0.25">
      <c r="A6639" t="s">
        <v>4866</v>
      </c>
    </row>
    <row r="6640" spans="1:1" x14ac:dyDescent="0.25">
      <c r="A6640" t="s">
        <v>4867</v>
      </c>
    </row>
    <row r="6641" spans="1:1" x14ac:dyDescent="0.25">
      <c r="A6641" t="s">
        <v>4868</v>
      </c>
    </row>
    <row r="6642" spans="1:1" x14ac:dyDescent="0.25">
      <c r="A6642" t="s">
        <v>4869</v>
      </c>
    </row>
    <row r="6643" spans="1:1" x14ac:dyDescent="0.25">
      <c r="A6643" t="s">
        <v>4870</v>
      </c>
    </row>
    <row r="6644" spans="1:1" x14ac:dyDescent="0.25">
      <c r="A6644" t="s">
        <v>4871</v>
      </c>
    </row>
    <row r="6645" spans="1:1" x14ac:dyDescent="0.25">
      <c r="A6645" t="s">
        <v>4872</v>
      </c>
    </row>
    <row r="6646" spans="1:1" x14ac:dyDescent="0.25">
      <c r="A6646" t="s">
        <v>4873</v>
      </c>
    </row>
    <row r="6647" spans="1:1" x14ac:dyDescent="0.25">
      <c r="A6647" t="s">
        <v>4874</v>
      </c>
    </row>
    <row r="6648" spans="1:1" x14ac:dyDescent="0.25">
      <c r="A6648" t="s">
        <v>4875</v>
      </c>
    </row>
    <row r="6649" spans="1:1" x14ac:dyDescent="0.25">
      <c r="A6649" t="s">
        <v>4876</v>
      </c>
    </row>
    <row r="6650" spans="1:1" x14ac:dyDescent="0.25">
      <c r="A6650" t="s">
        <v>4877</v>
      </c>
    </row>
    <row r="6651" spans="1:1" x14ac:dyDescent="0.25">
      <c r="A6651" t="s">
        <v>4878</v>
      </c>
    </row>
    <row r="6652" spans="1:1" x14ac:dyDescent="0.25">
      <c r="A6652" t="s">
        <v>4879</v>
      </c>
    </row>
    <row r="6653" spans="1:1" x14ac:dyDescent="0.25">
      <c r="A6653" t="s">
        <v>10626</v>
      </c>
    </row>
    <row r="6654" spans="1:1" x14ac:dyDescent="0.25">
      <c r="A6654" t="s">
        <v>10627</v>
      </c>
    </row>
    <row r="6655" spans="1:1" x14ac:dyDescent="0.25">
      <c r="A6655" t="s">
        <v>10628</v>
      </c>
    </row>
    <row r="6656" spans="1:1" x14ac:dyDescent="0.25">
      <c r="A6656" t="s">
        <v>10629</v>
      </c>
    </row>
    <row r="6657" spans="1:1" x14ac:dyDescent="0.25">
      <c r="A6657" t="s">
        <v>10630</v>
      </c>
    </row>
    <row r="6658" spans="1:1" x14ac:dyDescent="0.25">
      <c r="A6658" t="s">
        <v>10631</v>
      </c>
    </row>
    <row r="6659" spans="1:1" x14ac:dyDescent="0.25">
      <c r="A6659" t="s">
        <v>10632</v>
      </c>
    </row>
    <row r="6660" spans="1:1" x14ac:dyDescent="0.25">
      <c r="A6660" t="s">
        <v>10633</v>
      </c>
    </row>
    <row r="6661" spans="1:1" x14ac:dyDescent="0.25">
      <c r="A6661" t="s">
        <v>10634</v>
      </c>
    </row>
    <row r="6662" spans="1:1" x14ac:dyDescent="0.25">
      <c r="A6662" t="s">
        <v>10635</v>
      </c>
    </row>
    <row r="6663" spans="1:1" x14ac:dyDescent="0.25">
      <c r="A6663" t="s">
        <v>10636</v>
      </c>
    </row>
    <row r="6664" spans="1:1" x14ac:dyDescent="0.25">
      <c r="A6664" t="s">
        <v>10637</v>
      </c>
    </row>
    <row r="6665" spans="1:1" x14ac:dyDescent="0.25">
      <c r="A6665" t="s">
        <v>10638</v>
      </c>
    </row>
    <row r="6666" spans="1:1" x14ac:dyDescent="0.25">
      <c r="A6666" t="s">
        <v>10639</v>
      </c>
    </row>
    <row r="6667" spans="1:1" x14ac:dyDescent="0.25">
      <c r="A6667" t="s">
        <v>10640</v>
      </c>
    </row>
    <row r="6668" spans="1:1" x14ac:dyDescent="0.25">
      <c r="A6668" t="s">
        <v>10641</v>
      </c>
    </row>
    <row r="6669" spans="1:1" x14ac:dyDescent="0.25">
      <c r="A6669" t="s">
        <v>10642</v>
      </c>
    </row>
    <row r="6670" spans="1:1" x14ac:dyDescent="0.25">
      <c r="A6670" t="s">
        <v>10643</v>
      </c>
    </row>
    <row r="6671" spans="1:1" x14ac:dyDescent="0.25">
      <c r="A6671" t="s">
        <v>10644</v>
      </c>
    </row>
    <row r="6672" spans="1:1" x14ac:dyDescent="0.25">
      <c r="A6672" t="s">
        <v>10645</v>
      </c>
    </row>
    <row r="6673" spans="1:1" x14ac:dyDescent="0.25">
      <c r="A6673" t="s">
        <v>10646</v>
      </c>
    </row>
    <row r="6674" spans="1:1" x14ac:dyDescent="0.25">
      <c r="A6674" t="s">
        <v>10647</v>
      </c>
    </row>
    <row r="6675" spans="1:1" x14ac:dyDescent="0.25">
      <c r="A6675" t="s">
        <v>10648</v>
      </c>
    </row>
    <row r="6676" spans="1:1" x14ac:dyDescent="0.25">
      <c r="A6676" t="s">
        <v>10649</v>
      </c>
    </row>
    <row r="6677" spans="1:1" x14ac:dyDescent="0.25">
      <c r="A6677" t="s">
        <v>10650</v>
      </c>
    </row>
    <row r="6678" spans="1:1" x14ac:dyDescent="0.25">
      <c r="A6678" t="s">
        <v>10651</v>
      </c>
    </row>
    <row r="6679" spans="1:1" x14ac:dyDescent="0.25">
      <c r="A6679" t="s">
        <v>10652</v>
      </c>
    </row>
    <row r="6680" spans="1:1" x14ac:dyDescent="0.25">
      <c r="A6680" t="s">
        <v>10653</v>
      </c>
    </row>
    <row r="6681" spans="1:1" x14ac:dyDescent="0.25">
      <c r="A6681" t="s">
        <v>10654</v>
      </c>
    </row>
    <row r="6682" spans="1:1" x14ac:dyDescent="0.25">
      <c r="A6682" t="s">
        <v>10655</v>
      </c>
    </row>
    <row r="6683" spans="1:1" x14ac:dyDescent="0.25">
      <c r="A6683" t="s">
        <v>10656</v>
      </c>
    </row>
    <row r="6684" spans="1:1" x14ac:dyDescent="0.25">
      <c r="A6684" t="s">
        <v>10657</v>
      </c>
    </row>
    <row r="6685" spans="1:1" x14ac:dyDescent="0.25">
      <c r="A6685" t="s">
        <v>10658</v>
      </c>
    </row>
    <row r="6686" spans="1:1" x14ac:dyDescent="0.25">
      <c r="A6686" t="s">
        <v>10659</v>
      </c>
    </row>
    <row r="6687" spans="1:1" x14ac:dyDescent="0.25">
      <c r="A6687" t="s">
        <v>10660</v>
      </c>
    </row>
    <row r="6688" spans="1:1" x14ac:dyDescent="0.25">
      <c r="A6688" t="s">
        <v>10661</v>
      </c>
    </row>
    <row r="6689" spans="1:1" x14ac:dyDescent="0.25">
      <c r="A6689" t="s">
        <v>10662</v>
      </c>
    </row>
    <row r="6690" spans="1:1" x14ac:dyDescent="0.25">
      <c r="A6690" t="s">
        <v>10663</v>
      </c>
    </row>
    <row r="6691" spans="1:1" x14ac:dyDescent="0.25">
      <c r="A6691" t="s">
        <v>10664</v>
      </c>
    </row>
    <row r="6692" spans="1:1" x14ac:dyDescent="0.25">
      <c r="A6692" t="s">
        <v>10665</v>
      </c>
    </row>
    <row r="6693" spans="1:1" x14ac:dyDescent="0.25">
      <c r="A6693" t="s">
        <v>10666</v>
      </c>
    </row>
    <row r="6694" spans="1:1" x14ac:dyDescent="0.25">
      <c r="A6694" t="s">
        <v>10667</v>
      </c>
    </row>
    <row r="6695" spans="1:1" x14ac:dyDescent="0.25">
      <c r="A6695" t="s">
        <v>10668</v>
      </c>
    </row>
    <row r="6696" spans="1:1" x14ac:dyDescent="0.25">
      <c r="A6696" t="s">
        <v>10669</v>
      </c>
    </row>
    <row r="6697" spans="1:1" x14ac:dyDescent="0.25">
      <c r="A6697" t="s">
        <v>10670</v>
      </c>
    </row>
    <row r="6698" spans="1:1" x14ac:dyDescent="0.25">
      <c r="A6698" t="s">
        <v>10671</v>
      </c>
    </row>
    <row r="6699" spans="1:1" x14ac:dyDescent="0.25">
      <c r="A6699" t="s">
        <v>10672</v>
      </c>
    </row>
    <row r="6700" spans="1:1" x14ac:dyDescent="0.25">
      <c r="A6700" t="s">
        <v>10673</v>
      </c>
    </row>
    <row r="6701" spans="1:1" x14ac:dyDescent="0.25">
      <c r="A6701" t="s">
        <v>10674</v>
      </c>
    </row>
    <row r="6702" spans="1:1" x14ac:dyDescent="0.25">
      <c r="A6702" t="s">
        <v>10675</v>
      </c>
    </row>
    <row r="6703" spans="1:1" x14ac:dyDescent="0.25">
      <c r="A6703" t="s">
        <v>10676</v>
      </c>
    </row>
    <row r="6704" spans="1:1" x14ac:dyDescent="0.25">
      <c r="A6704" t="s">
        <v>10677</v>
      </c>
    </row>
    <row r="6705" spans="1:1" x14ac:dyDescent="0.25">
      <c r="A6705" t="s">
        <v>10678</v>
      </c>
    </row>
    <row r="6706" spans="1:1" x14ac:dyDescent="0.25">
      <c r="A6706" t="s">
        <v>10679</v>
      </c>
    </row>
    <row r="6707" spans="1:1" x14ac:dyDescent="0.25">
      <c r="A6707" t="s">
        <v>10680</v>
      </c>
    </row>
    <row r="6708" spans="1:1" x14ac:dyDescent="0.25">
      <c r="A6708" t="s">
        <v>10681</v>
      </c>
    </row>
    <row r="6709" spans="1:1" x14ac:dyDescent="0.25">
      <c r="A6709" t="s">
        <v>10682</v>
      </c>
    </row>
    <row r="6710" spans="1:1" x14ac:dyDescent="0.25">
      <c r="A6710" t="s">
        <v>10683</v>
      </c>
    </row>
    <row r="6711" spans="1:1" x14ac:dyDescent="0.25">
      <c r="A6711" t="s">
        <v>10684</v>
      </c>
    </row>
    <row r="6712" spans="1:1" x14ac:dyDescent="0.25">
      <c r="A6712" t="s">
        <v>10685</v>
      </c>
    </row>
    <row r="6713" spans="1:1" x14ac:dyDescent="0.25">
      <c r="A6713" t="s">
        <v>10686</v>
      </c>
    </row>
    <row r="6714" spans="1:1" x14ac:dyDescent="0.25">
      <c r="A6714" t="s">
        <v>10687</v>
      </c>
    </row>
    <row r="6715" spans="1:1" x14ac:dyDescent="0.25">
      <c r="A6715" t="s">
        <v>10688</v>
      </c>
    </row>
    <row r="6716" spans="1:1" x14ac:dyDescent="0.25">
      <c r="A6716" t="s">
        <v>10689</v>
      </c>
    </row>
    <row r="6717" spans="1:1" x14ac:dyDescent="0.25">
      <c r="A6717" t="s">
        <v>10690</v>
      </c>
    </row>
    <row r="6718" spans="1:1" x14ac:dyDescent="0.25">
      <c r="A6718" t="s">
        <v>10691</v>
      </c>
    </row>
    <row r="6719" spans="1:1" x14ac:dyDescent="0.25">
      <c r="A6719" t="s">
        <v>10692</v>
      </c>
    </row>
    <row r="6720" spans="1:1" x14ac:dyDescent="0.25">
      <c r="A6720" t="s">
        <v>10693</v>
      </c>
    </row>
    <row r="6721" spans="1:1" x14ac:dyDescent="0.25">
      <c r="A6721" t="s">
        <v>10694</v>
      </c>
    </row>
    <row r="6722" spans="1:1" x14ac:dyDescent="0.25">
      <c r="A6722" t="s">
        <v>10695</v>
      </c>
    </row>
    <row r="6723" spans="1:1" x14ac:dyDescent="0.25">
      <c r="A6723" t="s">
        <v>10696</v>
      </c>
    </row>
    <row r="6724" spans="1:1" x14ac:dyDescent="0.25">
      <c r="A6724" t="s">
        <v>10697</v>
      </c>
    </row>
    <row r="6725" spans="1:1" x14ac:dyDescent="0.25">
      <c r="A6725" t="s">
        <v>10698</v>
      </c>
    </row>
    <row r="6726" spans="1:1" x14ac:dyDescent="0.25">
      <c r="A6726" t="s">
        <v>10699</v>
      </c>
    </row>
    <row r="6727" spans="1:1" x14ac:dyDescent="0.25">
      <c r="A6727" t="s">
        <v>10700</v>
      </c>
    </row>
    <row r="6728" spans="1:1" x14ac:dyDescent="0.25">
      <c r="A6728" t="s">
        <v>10701</v>
      </c>
    </row>
    <row r="6729" spans="1:1" x14ac:dyDescent="0.25">
      <c r="A6729" t="s">
        <v>10702</v>
      </c>
    </row>
    <row r="6730" spans="1:1" x14ac:dyDescent="0.25">
      <c r="A6730" t="s">
        <v>10703</v>
      </c>
    </row>
    <row r="6731" spans="1:1" x14ac:dyDescent="0.25">
      <c r="A6731" t="s">
        <v>10704</v>
      </c>
    </row>
    <row r="6732" spans="1:1" x14ac:dyDescent="0.25">
      <c r="A6732" t="s">
        <v>10705</v>
      </c>
    </row>
    <row r="6733" spans="1:1" x14ac:dyDescent="0.25">
      <c r="A6733" t="s">
        <v>10706</v>
      </c>
    </row>
    <row r="6734" spans="1:1" x14ac:dyDescent="0.25">
      <c r="A6734" t="s">
        <v>10707</v>
      </c>
    </row>
    <row r="6735" spans="1:1" x14ac:dyDescent="0.25">
      <c r="A6735" t="s">
        <v>10708</v>
      </c>
    </row>
    <row r="6736" spans="1:1" x14ac:dyDescent="0.25">
      <c r="A6736" t="s">
        <v>10709</v>
      </c>
    </row>
    <row r="6737" spans="1:1" x14ac:dyDescent="0.25">
      <c r="A6737" t="s">
        <v>10710</v>
      </c>
    </row>
    <row r="6738" spans="1:1" x14ac:dyDescent="0.25">
      <c r="A6738" t="s">
        <v>10711</v>
      </c>
    </row>
    <row r="6739" spans="1:1" x14ac:dyDescent="0.25">
      <c r="A6739" t="s">
        <v>10712</v>
      </c>
    </row>
    <row r="6740" spans="1:1" x14ac:dyDescent="0.25">
      <c r="A6740" t="s">
        <v>10713</v>
      </c>
    </row>
    <row r="6741" spans="1:1" x14ac:dyDescent="0.25">
      <c r="A6741" t="s">
        <v>10714</v>
      </c>
    </row>
    <row r="6742" spans="1:1" x14ac:dyDescent="0.25">
      <c r="A6742" t="s">
        <v>10715</v>
      </c>
    </row>
    <row r="6743" spans="1:1" x14ac:dyDescent="0.25">
      <c r="A6743" t="s">
        <v>10716</v>
      </c>
    </row>
    <row r="6744" spans="1:1" x14ac:dyDescent="0.25">
      <c r="A6744" t="s">
        <v>10717</v>
      </c>
    </row>
    <row r="6745" spans="1:1" x14ac:dyDescent="0.25">
      <c r="A6745" t="s">
        <v>10718</v>
      </c>
    </row>
    <row r="6746" spans="1:1" x14ac:dyDescent="0.25">
      <c r="A6746" t="s">
        <v>10719</v>
      </c>
    </row>
    <row r="6747" spans="1:1" x14ac:dyDescent="0.25">
      <c r="A6747" t="s">
        <v>10720</v>
      </c>
    </row>
    <row r="6748" spans="1:1" x14ac:dyDescent="0.25">
      <c r="A6748" t="s">
        <v>10721</v>
      </c>
    </row>
    <row r="6749" spans="1:1" x14ac:dyDescent="0.25">
      <c r="A6749" t="s">
        <v>10722</v>
      </c>
    </row>
    <row r="6750" spans="1:1" x14ac:dyDescent="0.25">
      <c r="A6750" t="s">
        <v>10723</v>
      </c>
    </row>
    <row r="6751" spans="1:1" x14ac:dyDescent="0.25">
      <c r="A6751" t="s">
        <v>10724</v>
      </c>
    </row>
    <row r="6752" spans="1:1" x14ac:dyDescent="0.25">
      <c r="A6752" t="s">
        <v>10725</v>
      </c>
    </row>
    <row r="6753" spans="1:1" x14ac:dyDescent="0.25">
      <c r="A6753" t="s">
        <v>10726</v>
      </c>
    </row>
    <row r="6754" spans="1:1" x14ac:dyDescent="0.25">
      <c r="A6754" t="s">
        <v>10727</v>
      </c>
    </row>
    <row r="6755" spans="1:1" x14ac:dyDescent="0.25">
      <c r="A6755" t="s">
        <v>10728</v>
      </c>
    </row>
    <row r="6756" spans="1:1" x14ac:dyDescent="0.25">
      <c r="A6756" t="s">
        <v>10729</v>
      </c>
    </row>
    <row r="6757" spans="1:1" x14ac:dyDescent="0.25">
      <c r="A6757" t="s">
        <v>10730</v>
      </c>
    </row>
    <row r="6758" spans="1:1" x14ac:dyDescent="0.25">
      <c r="A6758" t="s">
        <v>10731</v>
      </c>
    </row>
    <row r="6759" spans="1:1" x14ac:dyDescent="0.25">
      <c r="A6759" t="s">
        <v>10732</v>
      </c>
    </row>
    <row r="6760" spans="1:1" x14ac:dyDescent="0.25">
      <c r="A6760" t="s">
        <v>10733</v>
      </c>
    </row>
    <row r="6761" spans="1:1" x14ac:dyDescent="0.25">
      <c r="A6761" t="s">
        <v>10734</v>
      </c>
    </row>
    <row r="6762" spans="1:1" x14ac:dyDescent="0.25">
      <c r="A6762" t="s">
        <v>10735</v>
      </c>
    </row>
    <row r="6763" spans="1:1" x14ac:dyDescent="0.25">
      <c r="A6763" t="s">
        <v>10736</v>
      </c>
    </row>
    <row r="6764" spans="1:1" x14ac:dyDescent="0.25">
      <c r="A6764" t="s">
        <v>10737</v>
      </c>
    </row>
    <row r="6765" spans="1:1" x14ac:dyDescent="0.25">
      <c r="A6765" t="s">
        <v>10738</v>
      </c>
    </row>
    <row r="6766" spans="1:1" x14ac:dyDescent="0.25">
      <c r="A6766" t="s">
        <v>10739</v>
      </c>
    </row>
    <row r="6767" spans="1:1" x14ac:dyDescent="0.25">
      <c r="A6767" t="s">
        <v>10740</v>
      </c>
    </row>
    <row r="6768" spans="1:1" x14ac:dyDescent="0.25">
      <c r="A6768" t="s">
        <v>10741</v>
      </c>
    </row>
    <row r="6769" spans="1:1" x14ac:dyDescent="0.25">
      <c r="A6769" t="s">
        <v>10742</v>
      </c>
    </row>
    <row r="6770" spans="1:1" x14ac:dyDescent="0.25">
      <c r="A6770" t="s">
        <v>10743</v>
      </c>
    </row>
    <row r="6771" spans="1:1" x14ac:dyDescent="0.25">
      <c r="A6771" t="s">
        <v>10744</v>
      </c>
    </row>
    <row r="6772" spans="1:1" x14ac:dyDescent="0.25">
      <c r="A6772" t="s">
        <v>10745</v>
      </c>
    </row>
    <row r="6773" spans="1:1" x14ac:dyDescent="0.25">
      <c r="A6773" t="s">
        <v>10746</v>
      </c>
    </row>
    <row r="6774" spans="1:1" x14ac:dyDescent="0.25">
      <c r="A6774" t="s">
        <v>10747</v>
      </c>
    </row>
    <row r="6775" spans="1:1" x14ac:dyDescent="0.25">
      <c r="A6775" t="s">
        <v>10748</v>
      </c>
    </row>
    <row r="6776" spans="1:1" x14ac:dyDescent="0.25">
      <c r="A6776" t="s">
        <v>10749</v>
      </c>
    </row>
    <row r="6777" spans="1:1" x14ac:dyDescent="0.25">
      <c r="A6777" t="s">
        <v>10750</v>
      </c>
    </row>
    <row r="6778" spans="1:1" x14ac:dyDescent="0.25">
      <c r="A6778" t="s">
        <v>10751</v>
      </c>
    </row>
    <row r="6779" spans="1:1" x14ac:dyDescent="0.25">
      <c r="A6779" t="s">
        <v>10752</v>
      </c>
    </row>
    <row r="6780" spans="1:1" x14ac:dyDescent="0.25">
      <c r="A6780" t="s">
        <v>10753</v>
      </c>
    </row>
    <row r="6781" spans="1:1" x14ac:dyDescent="0.25">
      <c r="A6781" t="s">
        <v>10754</v>
      </c>
    </row>
    <row r="6782" spans="1:1" x14ac:dyDescent="0.25">
      <c r="A6782" t="s">
        <v>10755</v>
      </c>
    </row>
    <row r="6783" spans="1:1" x14ac:dyDescent="0.25">
      <c r="A6783" t="s">
        <v>10756</v>
      </c>
    </row>
    <row r="6784" spans="1:1" x14ac:dyDescent="0.25">
      <c r="A6784" t="s">
        <v>10757</v>
      </c>
    </row>
    <row r="6785" spans="1:1" x14ac:dyDescent="0.25">
      <c r="A6785" t="s">
        <v>10758</v>
      </c>
    </row>
    <row r="6786" spans="1:1" x14ac:dyDescent="0.25">
      <c r="A6786" t="s">
        <v>10759</v>
      </c>
    </row>
    <row r="6787" spans="1:1" x14ac:dyDescent="0.25">
      <c r="A6787" t="s">
        <v>10760</v>
      </c>
    </row>
    <row r="6788" spans="1:1" x14ac:dyDescent="0.25">
      <c r="A6788" t="s">
        <v>10761</v>
      </c>
    </row>
    <row r="6789" spans="1:1" x14ac:dyDescent="0.25">
      <c r="A6789" t="s">
        <v>10762</v>
      </c>
    </row>
    <row r="6790" spans="1:1" x14ac:dyDescent="0.25">
      <c r="A6790" t="s">
        <v>10763</v>
      </c>
    </row>
    <row r="6791" spans="1:1" x14ac:dyDescent="0.25">
      <c r="A6791" t="s">
        <v>10764</v>
      </c>
    </row>
    <row r="6792" spans="1:1" x14ac:dyDescent="0.25">
      <c r="A6792" t="s">
        <v>10765</v>
      </c>
    </row>
    <row r="6793" spans="1:1" x14ac:dyDescent="0.25">
      <c r="A6793" t="s">
        <v>10766</v>
      </c>
    </row>
    <row r="6794" spans="1:1" x14ac:dyDescent="0.25">
      <c r="A6794" t="s">
        <v>10767</v>
      </c>
    </row>
    <row r="6795" spans="1:1" x14ac:dyDescent="0.25">
      <c r="A6795" t="s">
        <v>10768</v>
      </c>
    </row>
    <row r="6796" spans="1:1" x14ac:dyDescent="0.25">
      <c r="A6796" t="s">
        <v>10769</v>
      </c>
    </row>
    <row r="6797" spans="1:1" x14ac:dyDescent="0.25">
      <c r="A6797" t="s">
        <v>10770</v>
      </c>
    </row>
    <row r="6798" spans="1:1" x14ac:dyDescent="0.25">
      <c r="A6798" t="s">
        <v>10771</v>
      </c>
    </row>
    <row r="6799" spans="1:1" x14ac:dyDescent="0.25">
      <c r="A6799" t="s">
        <v>10772</v>
      </c>
    </row>
    <row r="6800" spans="1:1" x14ac:dyDescent="0.25">
      <c r="A6800" t="s">
        <v>10773</v>
      </c>
    </row>
    <row r="6801" spans="1:1" x14ac:dyDescent="0.25">
      <c r="A6801" t="s">
        <v>10774</v>
      </c>
    </row>
    <row r="6802" spans="1:1" x14ac:dyDescent="0.25">
      <c r="A6802" t="s">
        <v>10775</v>
      </c>
    </row>
    <row r="6803" spans="1:1" x14ac:dyDescent="0.25">
      <c r="A6803" t="s">
        <v>10776</v>
      </c>
    </row>
    <row r="6804" spans="1:1" x14ac:dyDescent="0.25">
      <c r="A6804" t="s">
        <v>10777</v>
      </c>
    </row>
    <row r="6805" spans="1:1" x14ac:dyDescent="0.25">
      <c r="A6805" t="s">
        <v>10778</v>
      </c>
    </row>
    <row r="6806" spans="1:1" x14ac:dyDescent="0.25">
      <c r="A6806" t="s">
        <v>10779</v>
      </c>
    </row>
    <row r="6807" spans="1:1" x14ac:dyDescent="0.25">
      <c r="A6807" t="s">
        <v>10780</v>
      </c>
    </row>
    <row r="6808" spans="1:1" x14ac:dyDescent="0.25">
      <c r="A6808" t="s">
        <v>10781</v>
      </c>
    </row>
    <row r="6809" spans="1:1" x14ac:dyDescent="0.25">
      <c r="A6809" t="s">
        <v>10782</v>
      </c>
    </row>
    <row r="6810" spans="1:1" x14ac:dyDescent="0.25">
      <c r="A6810" t="s">
        <v>10783</v>
      </c>
    </row>
    <row r="6811" spans="1:1" x14ac:dyDescent="0.25">
      <c r="A6811" t="s">
        <v>10784</v>
      </c>
    </row>
    <row r="6812" spans="1:1" x14ac:dyDescent="0.25">
      <c r="A6812" t="s">
        <v>10785</v>
      </c>
    </row>
    <row r="6813" spans="1:1" x14ac:dyDescent="0.25">
      <c r="A6813" t="s">
        <v>10786</v>
      </c>
    </row>
    <row r="6814" spans="1:1" x14ac:dyDescent="0.25">
      <c r="A6814" t="s">
        <v>10787</v>
      </c>
    </row>
    <row r="6815" spans="1:1" x14ac:dyDescent="0.25">
      <c r="A6815" t="s">
        <v>10788</v>
      </c>
    </row>
    <row r="6816" spans="1:1" x14ac:dyDescent="0.25">
      <c r="A6816" t="s">
        <v>10789</v>
      </c>
    </row>
    <row r="6817" spans="1:1" x14ac:dyDescent="0.25">
      <c r="A6817" t="s">
        <v>10790</v>
      </c>
    </row>
    <row r="6818" spans="1:1" x14ac:dyDescent="0.25">
      <c r="A6818" t="s">
        <v>10791</v>
      </c>
    </row>
    <row r="6819" spans="1:1" x14ac:dyDescent="0.25">
      <c r="A6819" t="s">
        <v>10792</v>
      </c>
    </row>
    <row r="6820" spans="1:1" x14ac:dyDescent="0.25">
      <c r="A6820" t="s">
        <v>10793</v>
      </c>
    </row>
    <row r="6821" spans="1:1" x14ac:dyDescent="0.25">
      <c r="A6821" t="s">
        <v>10794</v>
      </c>
    </row>
    <row r="6822" spans="1:1" x14ac:dyDescent="0.25">
      <c r="A6822" t="s">
        <v>10795</v>
      </c>
    </row>
    <row r="6823" spans="1:1" x14ac:dyDescent="0.25">
      <c r="A6823" t="s">
        <v>10796</v>
      </c>
    </row>
    <row r="6824" spans="1:1" x14ac:dyDescent="0.25">
      <c r="A6824" t="s">
        <v>10797</v>
      </c>
    </row>
    <row r="6825" spans="1:1" x14ac:dyDescent="0.25">
      <c r="A6825" t="s">
        <v>10798</v>
      </c>
    </row>
    <row r="6826" spans="1:1" x14ac:dyDescent="0.25">
      <c r="A6826" t="s">
        <v>10799</v>
      </c>
    </row>
    <row r="6827" spans="1:1" x14ac:dyDescent="0.25">
      <c r="A6827" t="s">
        <v>10800</v>
      </c>
    </row>
    <row r="6828" spans="1:1" x14ac:dyDescent="0.25">
      <c r="A6828" t="s">
        <v>10801</v>
      </c>
    </row>
    <row r="6829" spans="1:1" x14ac:dyDescent="0.25">
      <c r="A6829" t="s">
        <v>10802</v>
      </c>
    </row>
    <row r="6830" spans="1:1" x14ac:dyDescent="0.25">
      <c r="A6830" t="s">
        <v>10803</v>
      </c>
    </row>
    <row r="6831" spans="1:1" x14ac:dyDescent="0.25">
      <c r="A6831" t="s">
        <v>10804</v>
      </c>
    </row>
    <row r="6832" spans="1:1" x14ac:dyDescent="0.25">
      <c r="A6832" t="s">
        <v>10805</v>
      </c>
    </row>
    <row r="6833" spans="1:1" x14ac:dyDescent="0.25">
      <c r="A6833" t="s">
        <v>10806</v>
      </c>
    </row>
    <row r="6834" spans="1:1" x14ac:dyDescent="0.25">
      <c r="A6834" t="s">
        <v>10807</v>
      </c>
    </row>
    <row r="6835" spans="1:1" x14ac:dyDescent="0.25">
      <c r="A6835" t="s">
        <v>10808</v>
      </c>
    </row>
    <row r="6836" spans="1:1" x14ac:dyDescent="0.25">
      <c r="A6836" t="s">
        <v>10809</v>
      </c>
    </row>
    <row r="6837" spans="1:1" x14ac:dyDescent="0.25">
      <c r="A6837" t="s">
        <v>10810</v>
      </c>
    </row>
    <row r="6838" spans="1:1" x14ac:dyDescent="0.25">
      <c r="A6838" t="s">
        <v>10811</v>
      </c>
    </row>
    <row r="6839" spans="1:1" x14ac:dyDescent="0.25">
      <c r="A6839" t="s">
        <v>10812</v>
      </c>
    </row>
    <row r="6840" spans="1:1" x14ac:dyDescent="0.25">
      <c r="A6840" t="s">
        <v>10813</v>
      </c>
    </row>
    <row r="6841" spans="1:1" x14ac:dyDescent="0.25">
      <c r="A6841" t="s">
        <v>10814</v>
      </c>
    </row>
    <row r="6842" spans="1:1" x14ac:dyDescent="0.25">
      <c r="A6842" t="s">
        <v>10815</v>
      </c>
    </row>
    <row r="6843" spans="1:1" x14ac:dyDescent="0.25">
      <c r="A6843" t="s">
        <v>10816</v>
      </c>
    </row>
    <row r="6844" spans="1:1" x14ac:dyDescent="0.25">
      <c r="A6844" t="s">
        <v>10817</v>
      </c>
    </row>
    <row r="6845" spans="1:1" x14ac:dyDescent="0.25">
      <c r="A6845" t="s">
        <v>10818</v>
      </c>
    </row>
    <row r="6846" spans="1:1" x14ac:dyDescent="0.25">
      <c r="A6846" t="s">
        <v>10819</v>
      </c>
    </row>
    <row r="6847" spans="1:1" x14ac:dyDescent="0.25">
      <c r="A6847" t="s">
        <v>10820</v>
      </c>
    </row>
    <row r="6848" spans="1:1" x14ac:dyDescent="0.25">
      <c r="A6848" t="s">
        <v>10821</v>
      </c>
    </row>
    <row r="6849" spans="1:1" x14ac:dyDescent="0.25">
      <c r="A6849" t="s">
        <v>10822</v>
      </c>
    </row>
    <row r="6850" spans="1:1" x14ac:dyDescent="0.25">
      <c r="A6850" t="s">
        <v>10823</v>
      </c>
    </row>
    <row r="6851" spans="1:1" x14ac:dyDescent="0.25">
      <c r="A6851" t="s">
        <v>10824</v>
      </c>
    </row>
    <row r="6852" spans="1:1" x14ac:dyDescent="0.25">
      <c r="A6852" t="s">
        <v>10825</v>
      </c>
    </row>
    <row r="6853" spans="1:1" x14ac:dyDescent="0.25">
      <c r="A6853" t="s">
        <v>10826</v>
      </c>
    </row>
    <row r="6854" spans="1:1" x14ac:dyDescent="0.25">
      <c r="A6854" t="s">
        <v>10827</v>
      </c>
    </row>
    <row r="6855" spans="1:1" x14ac:dyDescent="0.25">
      <c r="A6855" t="s">
        <v>10828</v>
      </c>
    </row>
    <row r="6856" spans="1:1" x14ac:dyDescent="0.25">
      <c r="A6856" t="s">
        <v>10829</v>
      </c>
    </row>
    <row r="6857" spans="1:1" x14ac:dyDescent="0.25">
      <c r="A6857" t="s">
        <v>10830</v>
      </c>
    </row>
    <row r="6858" spans="1:1" x14ac:dyDescent="0.25">
      <c r="A6858" t="s">
        <v>10831</v>
      </c>
    </row>
    <row r="6859" spans="1:1" x14ac:dyDescent="0.25">
      <c r="A6859" t="s">
        <v>10832</v>
      </c>
    </row>
    <row r="6860" spans="1:1" x14ac:dyDescent="0.25">
      <c r="A6860" t="s">
        <v>10833</v>
      </c>
    </row>
    <row r="6861" spans="1:1" x14ac:dyDescent="0.25">
      <c r="A6861" t="s">
        <v>10834</v>
      </c>
    </row>
    <row r="6862" spans="1:1" x14ac:dyDescent="0.25">
      <c r="A6862" t="s">
        <v>10835</v>
      </c>
    </row>
    <row r="6863" spans="1:1" x14ac:dyDescent="0.25">
      <c r="A6863" t="s">
        <v>10836</v>
      </c>
    </row>
    <row r="6864" spans="1:1" x14ac:dyDescent="0.25">
      <c r="A6864" t="s">
        <v>10837</v>
      </c>
    </row>
    <row r="6865" spans="1:1" x14ac:dyDescent="0.25">
      <c r="A6865" t="s">
        <v>10838</v>
      </c>
    </row>
    <row r="6866" spans="1:1" x14ac:dyDescent="0.25">
      <c r="A6866" t="s">
        <v>10839</v>
      </c>
    </row>
    <row r="6867" spans="1:1" x14ac:dyDescent="0.25">
      <c r="A6867" t="s">
        <v>10840</v>
      </c>
    </row>
    <row r="6868" spans="1:1" x14ac:dyDescent="0.25">
      <c r="A6868" t="s">
        <v>10841</v>
      </c>
    </row>
    <row r="6869" spans="1:1" x14ac:dyDescent="0.25">
      <c r="A6869" t="s">
        <v>10842</v>
      </c>
    </row>
    <row r="6870" spans="1:1" x14ac:dyDescent="0.25">
      <c r="A6870" t="s">
        <v>10843</v>
      </c>
    </row>
    <row r="6871" spans="1:1" x14ac:dyDescent="0.25">
      <c r="A6871" t="s">
        <v>10844</v>
      </c>
    </row>
    <row r="6872" spans="1:1" x14ac:dyDescent="0.25">
      <c r="A6872" t="s">
        <v>10845</v>
      </c>
    </row>
    <row r="6873" spans="1:1" x14ac:dyDescent="0.25">
      <c r="A6873" t="s">
        <v>10846</v>
      </c>
    </row>
    <row r="6874" spans="1:1" x14ac:dyDescent="0.25">
      <c r="A6874" t="s">
        <v>10847</v>
      </c>
    </row>
    <row r="6875" spans="1:1" x14ac:dyDescent="0.25">
      <c r="A6875" t="s">
        <v>10848</v>
      </c>
    </row>
    <row r="6876" spans="1:1" x14ac:dyDescent="0.25">
      <c r="A6876" t="s">
        <v>10849</v>
      </c>
    </row>
    <row r="6877" spans="1:1" x14ac:dyDescent="0.25">
      <c r="A6877" t="s">
        <v>10850</v>
      </c>
    </row>
    <row r="6878" spans="1:1" x14ac:dyDescent="0.25">
      <c r="A6878" t="s">
        <v>10851</v>
      </c>
    </row>
    <row r="6879" spans="1:1" x14ac:dyDescent="0.25">
      <c r="A6879" t="s">
        <v>10852</v>
      </c>
    </row>
    <row r="6880" spans="1:1" x14ac:dyDescent="0.25">
      <c r="A6880" t="s">
        <v>10853</v>
      </c>
    </row>
    <row r="6881" spans="1:1" x14ac:dyDescent="0.25">
      <c r="A6881" t="s">
        <v>10854</v>
      </c>
    </row>
    <row r="6882" spans="1:1" x14ac:dyDescent="0.25">
      <c r="A6882" t="s">
        <v>10855</v>
      </c>
    </row>
    <row r="6883" spans="1:1" x14ac:dyDescent="0.25">
      <c r="A6883" t="s">
        <v>10856</v>
      </c>
    </row>
    <row r="6884" spans="1:1" x14ac:dyDescent="0.25">
      <c r="A6884" t="s">
        <v>10857</v>
      </c>
    </row>
    <row r="6885" spans="1:1" x14ac:dyDescent="0.25">
      <c r="A6885" t="s">
        <v>10858</v>
      </c>
    </row>
    <row r="6886" spans="1:1" x14ac:dyDescent="0.25">
      <c r="A6886" t="s">
        <v>10859</v>
      </c>
    </row>
    <row r="6887" spans="1:1" x14ac:dyDescent="0.25">
      <c r="A6887" t="s">
        <v>10860</v>
      </c>
    </row>
    <row r="6888" spans="1:1" x14ac:dyDescent="0.25">
      <c r="A6888" t="s">
        <v>10861</v>
      </c>
    </row>
    <row r="6889" spans="1:1" x14ac:dyDescent="0.25">
      <c r="A6889" t="s">
        <v>10862</v>
      </c>
    </row>
    <row r="6890" spans="1:1" x14ac:dyDescent="0.25">
      <c r="A6890" t="s">
        <v>10863</v>
      </c>
    </row>
    <row r="6891" spans="1:1" x14ac:dyDescent="0.25">
      <c r="A6891" t="s">
        <v>10864</v>
      </c>
    </row>
    <row r="6892" spans="1:1" x14ac:dyDescent="0.25">
      <c r="A6892" t="s">
        <v>10865</v>
      </c>
    </row>
    <row r="6893" spans="1:1" x14ac:dyDescent="0.25">
      <c r="A6893" t="s">
        <v>10866</v>
      </c>
    </row>
    <row r="6894" spans="1:1" x14ac:dyDescent="0.25">
      <c r="A6894" t="s">
        <v>10867</v>
      </c>
    </row>
    <row r="6895" spans="1:1" x14ac:dyDescent="0.25">
      <c r="A6895" t="s">
        <v>10868</v>
      </c>
    </row>
    <row r="6896" spans="1:1" x14ac:dyDescent="0.25">
      <c r="A6896" t="s">
        <v>10869</v>
      </c>
    </row>
    <row r="6897" spans="1:1" x14ac:dyDescent="0.25">
      <c r="A6897" t="s">
        <v>10870</v>
      </c>
    </row>
    <row r="6898" spans="1:1" x14ac:dyDescent="0.25">
      <c r="A6898" t="s">
        <v>10871</v>
      </c>
    </row>
    <row r="6899" spans="1:1" x14ac:dyDescent="0.25">
      <c r="A6899" t="s">
        <v>10872</v>
      </c>
    </row>
    <row r="6900" spans="1:1" x14ac:dyDescent="0.25">
      <c r="A6900" t="s">
        <v>10873</v>
      </c>
    </row>
    <row r="6901" spans="1:1" x14ac:dyDescent="0.25">
      <c r="A6901" t="s">
        <v>10874</v>
      </c>
    </row>
    <row r="6902" spans="1:1" x14ac:dyDescent="0.25">
      <c r="A6902" t="s">
        <v>10875</v>
      </c>
    </row>
    <row r="6903" spans="1:1" x14ac:dyDescent="0.25">
      <c r="A6903" t="s">
        <v>10876</v>
      </c>
    </row>
    <row r="6904" spans="1:1" x14ac:dyDescent="0.25">
      <c r="A6904" t="s">
        <v>10877</v>
      </c>
    </row>
    <row r="6905" spans="1:1" x14ac:dyDescent="0.25">
      <c r="A6905" t="s">
        <v>10878</v>
      </c>
    </row>
    <row r="6906" spans="1:1" x14ac:dyDescent="0.25">
      <c r="A6906" t="s">
        <v>10879</v>
      </c>
    </row>
    <row r="6907" spans="1:1" x14ac:dyDescent="0.25">
      <c r="A6907" t="s">
        <v>10880</v>
      </c>
    </row>
    <row r="6908" spans="1:1" x14ac:dyDescent="0.25">
      <c r="A6908" t="s">
        <v>10881</v>
      </c>
    </row>
    <row r="6909" spans="1:1" x14ac:dyDescent="0.25">
      <c r="A6909" t="s">
        <v>10882</v>
      </c>
    </row>
    <row r="6910" spans="1:1" x14ac:dyDescent="0.25">
      <c r="A6910" t="s">
        <v>10883</v>
      </c>
    </row>
    <row r="6911" spans="1:1" x14ac:dyDescent="0.25">
      <c r="A6911" t="s">
        <v>10884</v>
      </c>
    </row>
    <row r="6912" spans="1:1" x14ac:dyDescent="0.25">
      <c r="A6912" t="s">
        <v>10885</v>
      </c>
    </row>
    <row r="6913" spans="1:1" x14ac:dyDescent="0.25">
      <c r="A6913" t="s">
        <v>10886</v>
      </c>
    </row>
    <row r="6914" spans="1:1" x14ac:dyDescent="0.25">
      <c r="A6914" t="s">
        <v>10887</v>
      </c>
    </row>
    <row r="6915" spans="1:1" x14ac:dyDescent="0.25">
      <c r="A6915" t="s">
        <v>10888</v>
      </c>
    </row>
    <row r="6916" spans="1:1" x14ac:dyDescent="0.25">
      <c r="A6916" t="s">
        <v>10889</v>
      </c>
    </row>
    <row r="6917" spans="1:1" x14ac:dyDescent="0.25">
      <c r="A6917" t="s">
        <v>8155</v>
      </c>
    </row>
    <row r="6918" spans="1:1" x14ac:dyDescent="0.25">
      <c r="A6918" t="s">
        <v>8156</v>
      </c>
    </row>
    <row r="6919" spans="1:1" x14ac:dyDescent="0.25">
      <c r="A6919" t="s">
        <v>8157</v>
      </c>
    </row>
    <row r="6920" spans="1:1" x14ac:dyDescent="0.25">
      <c r="A6920" t="s">
        <v>8158</v>
      </c>
    </row>
    <row r="6921" spans="1:1" x14ac:dyDescent="0.25">
      <c r="A6921" t="s">
        <v>8159</v>
      </c>
    </row>
    <row r="6922" spans="1:1" x14ac:dyDescent="0.25">
      <c r="A6922" t="s">
        <v>8160</v>
      </c>
    </row>
    <row r="6923" spans="1:1" x14ac:dyDescent="0.25">
      <c r="A6923" t="s">
        <v>8161</v>
      </c>
    </row>
    <row r="6924" spans="1:1" x14ac:dyDescent="0.25">
      <c r="A6924" t="s">
        <v>8162</v>
      </c>
    </row>
    <row r="6925" spans="1:1" x14ac:dyDescent="0.25">
      <c r="A6925" t="s">
        <v>8163</v>
      </c>
    </row>
    <row r="6926" spans="1:1" x14ac:dyDescent="0.25">
      <c r="A6926" t="s">
        <v>8164</v>
      </c>
    </row>
    <row r="6927" spans="1:1" x14ac:dyDescent="0.25">
      <c r="A6927" t="s">
        <v>8165</v>
      </c>
    </row>
    <row r="6928" spans="1:1" x14ac:dyDescent="0.25">
      <c r="A6928" t="s">
        <v>8166</v>
      </c>
    </row>
    <row r="6929" spans="1:1" x14ac:dyDescent="0.25">
      <c r="A6929" t="s">
        <v>8167</v>
      </c>
    </row>
    <row r="6930" spans="1:1" x14ac:dyDescent="0.25">
      <c r="A6930" t="s">
        <v>8168</v>
      </c>
    </row>
    <row r="6931" spans="1:1" x14ac:dyDescent="0.25">
      <c r="A6931" t="s">
        <v>8169</v>
      </c>
    </row>
    <row r="6932" spans="1:1" x14ac:dyDescent="0.25">
      <c r="A6932" t="s">
        <v>8170</v>
      </c>
    </row>
    <row r="6933" spans="1:1" x14ac:dyDescent="0.25">
      <c r="A6933" t="s">
        <v>8171</v>
      </c>
    </row>
    <row r="6934" spans="1:1" x14ac:dyDescent="0.25">
      <c r="A6934" t="s">
        <v>8172</v>
      </c>
    </row>
    <row r="6935" spans="1:1" x14ac:dyDescent="0.25">
      <c r="A6935" t="s">
        <v>8173</v>
      </c>
    </row>
    <row r="6936" spans="1:1" x14ac:dyDescent="0.25">
      <c r="A6936" t="s">
        <v>8174</v>
      </c>
    </row>
    <row r="6937" spans="1:1" x14ac:dyDescent="0.25">
      <c r="A6937" t="s">
        <v>8175</v>
      </c>
    </row>
    <row r="6938" spans="1:1" x14ac:dyDescent="0.25">
      <c r="A6938" t="s">
        <v>8176</v>
      </c>
    </row>
    <row r="6939" spans="1:1" x14ac:dyDescent="0.25">
      <c r="A6939" t="s">
        <v>8177</v>
      </c>
    </row>
    <row r="6940" spans="1:1" x14ac:dyDescent="0.25">
      <c r="A6940" t="s">
        <v>8178</v>
      </c>
    </row>
    <row r="6941" spans="1:1" x14ac:dyDescent="0.25">
      <c r="A6941" t="s">
        <v>8179</v>
      </c>
    </row>
    <row r="6942" spans="1:1" x14ac:dyDescent="0.25">
      <c r="A6942" t="s">
        <v>8180</v>
      </c>
    </row>
    <row r="6943" spans="1:1" x14ac:dyDescent="0.25">
      <c r="A6943" t="s">
        <v>8181</v>
      </c>
    </row>
    <row r="6944" spans="1:1" x14ac:dyDescent="0.25">
      <c r="A6944" t="s">
        <v>8182</v>
      </c>
    </row>
    <row r="6945" spans="1:1" x14ac:dyDescent="0.25">
      <c r="A6945" t="s">
        <v>8183</v>
      </c>
    </row>
    <row r="6946" spans="1:1" x14ac:dyDescent="0.25">
      <c r="A6946" t="s">
        <v>8184</v>
      </c>
    </row>
    <row r="6947" spans="1:1" x14ac:dyDescent="0.25">
      <c r="A6947" t="s">
        <v>8185</v>
      </c>
    </row>
    <row r="6948" spans="1:1" x14ac:dyDescent="0.25">
      <c r="A6948" t="s">
        <v>8186</v>
      </c>
    </row>
    <row r="6949" spans="1:1" x14ac:dyDescent="0.25">
      <c r="A6949" t="s">
        <v>8187</v>
      </c>
    </row>
    <row r="6950" spans="1:1" x14ac:dyDescent="0.25">
      <c r="A6950" t="s">
        <v>8188</v>
      </c>
    </row>
    <row r="6951" spans="1:1" x14ac:dyDescent="0.25">
      <c r="A6951" t="s">
        <v>8189</v>
      </c>
    </row>
    <row r="6952" spans="1:1" x14ac:dyDescent="0.25">
      <c r="A6952" t="s">
        <v>8190</v>
      </c>
    </row>
    <row r="6953" spans="1:1" x14ac:dyDescent="0.25">
      <c r="A6953" t="s">
        <v>8191</v>
      </c>
    </row>
    <row r="6954" spans="1:1" x14ac:dyDescent="0.25">
      <c r="A6954" t="s">
        <v>8192</v>
      </c>
    </row>
    <row r="6955" spans="1:1" x14ac:dyDescent="0.25">
      <c r="A6955" t="s">
        <v>8193</v>
      </c>
    </row>
    <row r="6956" spans="1:1" x14ac:dyDescent="0.25">
      <c r="A6956" t="s">
        <v>8194</v>
      </c>
    </row>
    <row r="6957" spans="1:1" x14ac:dyDescent="0.25">
      <c r="A6957" t="s">
        <v>8195</v>
      </c>
    </row>
    <row r="6958" spans="1:1" x14ac:dyDescent="0.25">
      <c r="A6958" t="s">
        <v>8196</v>
      </c>
    </row>
    <row r="6959" spans="1:1" x14ac:dyDescent="0.25">
      <c r="A6959" t="s">
        <v>8197</v>
      </c>
    </row>
    <row r="6960" spans="1:1" x14ac:dyDescent="0.25">
      <c r="A6960" t="s">
        <v>8198</v>
      </c>
    </row>
    <row r="6961" spans="1:1" x14ac:dyDescent="0.25">
      <c r="A6961" t="s">
        <v>8199</v>
      </c>
    </row>
    <row r="6962" spans="1:1" x14ac:dyDescent="0.25">
      <c r="A6962" t="s">
        <v>8200</v>
      </c>
    </row>
    <row r="6963" spans="1:1" x14ac:dyDescent="0.25">
      <c r="A6963" t="s">
        <v>8201</v>
      </c>
    </row>
    <row r="6964" spans="1:1" x14ac:dyDescent="0.25">
      <c r="A6964" t="s">
        <v>8202</v>
      </c>
    </row>
    <row r="6965" spans="1:1" x14ac:dyDescent="0.25">
      <c r="A6965" t="s">
        <v>8203</v>
      </c>
    </row>
    <row r="6966" spans="1:1" x14ac:dyDescent="0.25">
      <c r="A6966" t="s">
        <v>8204</v>
      </c>
    </row>
    <row r="6967" spans="1:1" x14ac:dyDescent="0.25">
      <c r="A6967" t="s">
        <v>8205</v>
      </c>
    </row>
    <row r="6968" spans="1:1" x14ac:dyDescent="0.25">
      <c r="A6968" t="s">
        <v>8206</v>
      </c>
    </row>
    <row r="6969" spans="1:1" x14ac:dyDescent="0.25">
      <c r="A6969" t="s">
        <v>8207</v>
      </c>
    </row>
    <row r="6970" spans="1:1" x14ac:dyDescent="0.25">
      <c r="A6970" t="s">
        <v>8208</v>
      </c>
    </row>
    <row r="6971" spans="1:1" x14ac:dyDescent="0.25">
      <c r="A6971" t="s">
        <v>8209</v>
      </c>
    </row>
    <row r="6972" spans="1:1" x14ac:dyDescent="0.25">
      <c r="A6972" t="s">
        <v>8210</v>
      </c>
    </row>
    <row r="6973" spans="1:1" x14ac:dyDescent="0.25">
      <c r="A6973" t="s">
        <v>8211</v>
      </c>
    </row>
    <row r="6974" spans="1:1" x14ac:dyDescent="0.25">
      <c r="A6974" t="s">
        <v>8212</v>
      </c>
    </row>
    <row r="6975" spans="1:1" x14ac:dyDescent="0.25">
      <c r="A6975" t="s">
        <v>8213</v>
      </c>
    </row>
    <row r="6976" spans="1:1" x14ac:dyDescent="0.25">
      <c r="A6976" t="s">
        <v>8214</v>
      </c>
    </row>
    <row r="6977" spans="1:1" x14ac:dyDescent="0.25">
      <c r="A6977" t="s">
        <v>8215</v>
      </c>
    </row>
    <row r="6978" spans="1:1" x14ac:dyDescent="0.25">
      <c r="A6978" t="s">
        <v>8216</v>
      </c>
    </row>
    <row r="6979" spans="1:1" x14ac:dyDescent="0.25">
      <c r="A6979" t="s">
        <v>8217</v>
      </c>
    </row>
    <row r="6980" spans="1:1" x14ac:dyDescent="0.25">
      <c r="A6980" t="s">
        <v>8218</v>
      </c>
    </row>
    <row r="6981" spans="1:1" x14ac:dyDescent="0.25">
      <c r="A6981" t="s">
        <v>8219</v>
      </c>
    </row>
    <row r="6982" spans="1:1" x14ac:dyDescent="0.25">
      <c r="A6982" t="s">
        <v>8220</v>
      </c>
    </row>
    <row r="6983" spans="1:1" x14ac:dyDescent="0.25">
      <c r="A6983" t="s">
        <v>8221</v>
      </c>
    </row>
    <row r="6984" spans="1:1" x14ac:dyDescent="0.25">
      <c r="A6984" t="s">
        <v>8222</v>
      </c>
    </row>
    <row r="6985" spans="1:1" x14ac:dyDescent="0.25">
      <c r="A6985" t="s">
        <v>8223</v>
      </c>
    </row>
    <row r="6986" spans="1:1" x14ac:dyDescent="0.25">
      <c r="A6986" t="s">
        <v>8224</v>
      </c>
    </row>
    <row r="6987" spans="1:1" x14ac:dyDescent="0.25">
      <c r="A6987" t="s">
        <v>8225</v>
      </c>
    </row>
    <row r="6988" spans="1:1" x14ac:dyDescent="0.25">
      <c r="A6988" t="s">
        <v>8226</v>
      </c>
    </row>
    <row r="6989" spans="1:1" x14ac:dyDescent="0.25">
      <c r="A6989" t="s">
        <v>8227</v>
      </c>
    </row>
    <row r="6990" spans="1:1" x14ac:dyDescent="0.25">
      <c r="A6990" t="s">
        <v>8228</v>
      </c>
    </row>
    <row r="6991" spans="1:1" x14ac:dyDescent="0.25">
      <c r="A6991" t="s">
        <v>8229</v>
      </c>
    </row>
    <row r="6992" spans="1:1" x14ac:dyDescent="0.25">
      <c r="A6992" t="s">
        <v>8230</v>
      </c>
    </row>
    <row r="6993" spans="1:1" x14ac:dyDescent="0.25">
      <c r="A6993" t="s">
        <v>8231</v>
      </c>
    </row>
    <row r="6994" spans="1:1" x14ac:dyDescent="0.25">
      <c r="A6994" t="s">
        <v>8232</v>
      </c>
    </row>
    <row r="6995" spans="1:1" x14ac:dyDescent="0.25">
      <c r="A6995" t="s">
        <v>8233</v>
      </c>
    </row>
    <row r="6996" spans="1:1" x14ac:dyDescent="0.25">
      <c r="A6996" t="s">
        <v>8234</v>
      </c>
    </row>
    <row r="6997" spans="1:1" x14ac:dyDescent="0.25">
      <c r="A6997" t="s">
        <v>8235</v>
      </c>
    </row>
    <row r="6998" spans="1:1" x14ac:dyDescent="0.25">
      <c r="A6998" t="s">
        <v>8236</v>
      </c>
    </row>
    <row r="6999" spans="1:1" x14ac:dyDescent="0.25">
      <c r="A6999" t="s">
        <v>8237</v>
      </c>
    </row>
    <row r="7000" spans="1:1" x14ac:dyDescent="0.25">
      <c r="A7000" t="s">
        <v>8238</v>
      </c>
    </row>
    <row r="7001" spans="1:1" x14ac:dyDescent="0.25">
      <c r="A7001" t="s">
        <v>8239</v>
      </c>
    </row>
    <row r="7002" spans="1:1" x14ac:dyDescent="0.25">
      <c r="A7002" t="s">
        <v>8240</v>
      </c>
    </row>
    <row r="7003" spans="1:1" x14ac:dyDescent="0.25">
      <c r="A7003" t="s">
        <v>8241</v>
      </c>
    </row>
    <row r="7004" spans="1:1" x14ac:dyDescent="0.25">
      <c r="A7004" t="s">
        <v>8242</v>
      </c>
    </row>
    <row r="7005" spans="1:1" x14ac:dyDescent="0.25">
      <c r="A7005" t="s">
        <v>8243</v>
      </c>
    </row>
    <row r="7006" spans="1:1" x14ac:dyDescent="0.25">
      <c r="A7006" t="s">
        <v>8244</v>
      </c>
    </row>
    <row r="7007" spans="1:1" x14ac:dyDescent="0.25">
      <c r="A7007" t="s">
        <v>8245</v>
      </c>
    </row>
    <row r="7008" spans="1:1" x14ac:dyDescent="0.25">
      <c r="A7008" t="s">
        <v>8246</v>
      </c>
    </row>
    <row r="7009" spans="1:1" x14ac:dyDescent="0.25">
      <c r="A7009" t="s">
        <v>8247</v>
      </c>
    </row>
    <row r="7010" spans="1:1" x14ac:dyDescent="0.25">
      <c r="A7010" t="s">
        <v>8248</v>
      </c>
    </row>
    <row r="7011" spans="1:1" x14ac:dyDescent="0.25">
      <c r="A7011" t="s">
        <v>8249</v>
      </c>
    </row>
    <row r="7012" spans="1:1" x14ac:dyDescent="0.25">
      <c r="A7012" t="s">
        <v>8250</v>
      </c>
    </row>
    <row r="7013" spans="1:1" x14ac:dyDescent="0.25">
      <c r="A7013" t="s">
        <v>8251</v>
      </c>
    </row>
    <row r="7014" spans="1:1" x14ac:dyDescent="0.25">
      <c r="A7014" t="s">
        <v>8252</v>
      </c>
    </row>
    <row r="7015" spans="1:1" x14ac:dyDescent="0.25">
      <c r="A7015" t="s">
        <v>8253</v>
      </c>
    </row>
    <row r="7016" spans="1:1" x14ac:dyDescent="0.25">
      <c r="A7016" t="s">
        <v>8254</v>
      </c>
    </row>
    <row r="7017" spans="1:1" x14ac:dyDescent="0.25">
      <c r="A7017" t="s">
        <v>8255</v>
      </c>
    </row>
    <row r="7018" spans="1:1" x14ac:dyDescent="0.25">
      <c r="A7018" t="s">
        <v>8256</v>
      </c>
    </row>
    <row r="7019" spans="1:1" x14ac:dyDescent="0.25">
      <c r="A7019" t="s">
        <v>8257</v>
      </c>
    </row>
    <row r="7020" spans="1:1" x14ac:dyDescent="0.25">
      <c r="A7020" t="s">
        <v>8258</v>
      </c>
    </row>
    <row r="7021" spans="1:1" x14ac:dyDescent="0.25">
      <c r="A7021" t="s">
        <v>8259</v>
      </c>
    </row>
    <row r="7022" spans="1:1" x14ac:dyDescent="0.25">
      <c r="A7022" t="s">
        <v>8260</v>
      </c>
    </row>
    <row r="7023" spans="1:1" x14ac:dyDescent="0.25">
      <c r="A7023" t="s">
        <v>8261</v>
      </c>
    </row>
    <row r="7024" spans="1:1" x14ac:dyDescent="0.25">
      <c r="A7024" t="s">
        <v>8262</v>
      </c>
    </row>
    <row r="7025" spans="1:1" x14ac:dyDescent="0.25">
      <c r="A7025" t="s">
        <v>8263</v>
      </c>
    </row>
    <row r="7026" spans="1:1" x14ac:dyDescent="0.25">
      <c r="A7026" t="s">
        <v>8264</v>
      </c>
    </row>
    <row r="7027" spans="1:1" x14ac:dyDescent="0.25">
      <c r="A7027" t="s">
        <v>8265</v>
      </c>
    </row>
    <row r="7028" spans="1:1" x14ac:dyDescent="0.25">
      <c r="A7028" t="s">
        <v>8266</v>
      </c>
    </row>
    <row r="7029" spans="1:1" x14ac:dyDescent="0.25">
      <c r="A7029" t="s">
        <v>8267</v>
      </c>
    </row>
    <row r="7030" spans="1:1" x14ac:dyDescent="0.25">
      <c r="A7030" t="s">
        <v>8268</v>
      </c>
    </row>
    <row r="7031" spans="1:1" x14ac:dyDescent="0.25">
      <c r="A7031" t="s">
        <v>8269</v>
      </c>
    </row>
    <row r="7032" spans="1:1" x14ac:dyDescent="0.25">
      <c r="A7032" t="s">
        <v>8270</v>
      </c>
    </row>
    <row r="7033" spans="1:1" x14ac:dyDescent="0.25">
      <c r="A7033" t="s">
        <v>8271</v>
      </c>
    </row>
    <row r="7034" spans="1:1" x14ac:dyDescent="0.25">
      <c r="A7034" t="s">
        <v>8272</v>
      </c>
    </row>
    <row r="7035" spans="1:1" x14ac:dyDescent="0.25">
      <c r="A7035" t="s">
        <v>8273</v>
      </c>
    </row>
    <row r="7036" spans="1:1" x14ac:dyDescent="0.25">
      <c r="A7036" t="s">
        <v>8274</v>
      </c>
    </row>
    <row r="7037" spans="1:1" x14ac:dyDescent="0.25">
      <c r="A7037" t="s">
        <v>8275</v>
      </c>
    </row>
    <row r="7038" spans="1:1" x14ac:dyDescent="0.25">
      <c r="A7038" t="s">
        <v>8276</v>
      </c>
    </row>
    <row r="7039" spans="1:1" x14ac:dyDescent="0.25">
      <c r="A7039" t="s">
        <v>8277</v>
      </c>
    </row>
    <row r="7040" spans="1:1" x14ac:dyDescent="0.25">
      <c r="A7040" t="s">
        <v>8278</v>
      </c>
    </row>
    <row r="7041" spans="1:1" x14ac:dyDescent="0.25">
      <c r="A7041" t="s">
        <v>8279</v>
      </c>
    </row>
    <row r="7042" spans="1:1" x14ac:dyDescent="0.25">
      <c r="A7042" t="s">
        <v>8280</v>
      </c>
    </row>
    <row r="7043" spans="1:1" x14ac:dyDescent="0.25">
      <c r="A7043" t="s">
        <v>8281</v>
      </c>
    </row>
    <row r="7044" spans="1:1" x14ac:dyDescent="0.25">
      <c r="A7044" t="s">
        <v>8282</v>
      </c>
    </row>
    <row r="7045" spans="1:1" x14ac:dyDescent="0.25">
      <c r="A7045" t="s">
        <v>8283</v>
      </c>
    </row>
    <row r="7046" spans="1:1" x14ac:dyDescent="0.25">
      <c r="A7046" t="s">
        <v>8284</v>
      </c>
    </row>
    <row r="7047" spans="1:1" x14ac:dyDescent="0.25">
      <c r="A7047" t="s">
        <v>8285</v>
      </c>
    </row>
    <row r="7048" spans="1:1" x14ac:dyDescent="0.25">
      <c r="A7048" t="s">
        <v>8286</v>
      </c>
    </row>
    <row r="7049" spans="1:1" x14ac:dyDescent="0.25">
      <c r="A7049" t="s">
        <v>8287</v>
      </c>
    </row>
    <row r="7050" spans="1:1" x14ac:dyDescent="0.25">
      <c r="A7050" t="s">
        <v>8288</v>
      </c>
    </row>
    <row r="7051" spans="1:1" x14ac:dyDescent="0.25">
      <c r="A7051" t="s">
        <v>8289</v>
      </c>
    </row>
    <row r="7052" spans="1:1" x14ac:dyDescent="0.25">
      <c r="A7052" t="s">
        <v>8290</v>
      </c>
    </row>
    <row r="7053" spans="1:1" x14ac:dyDescent="0.25">
      <c r="A7053" t="s">
        <v>8291</v>
      </c>
    </row>
    <row r="7054" spans="1:1" x14ac:dyDescent="0.25">
      <c r="A7054" t="s">
        <v>8292</v>
      </c>
    </row>
    <row r="7055" spans="1:1" x14ac:dyDescent="0.25">
      <c r="A7055" t="s">
        <v>8293</v>
      </c>
    </row>
    <row r="7056" spans="1:1" x14ac:dyDescent="0.25">
      <c r="A7056" t="s">
        <v>8294</v>
      </c>
    </row>
    <row r="7057" spans="1:1" x14ac:dyDescent="0.25">
      <c r="A7057" t="s">
        <v>8295</v>
      </c>
    </row>
    <row r="7058" spans="1:1" x14ac:dyDescent="0.25">
      <c r="A7058" t="s">
        <v>8296</v>
      </c>
    </row>
    <row r="7059" spans="1:1" x14ac:dyDescent="0.25">
      <c r="A7059" t="s">
        <v>8297</v>
      </c>
    </row>
    <row r="7060" spans="1:1" x14ac:dyDescent="0.25">
      <c r="A7060" t="s">
        <v>8298</v>
      </c>
    </row>
    <row r="7061" spans="1:1" x14ac:dyDescent="0.25">
      <c r="A7061" t="s">
        <v>8299</v>
      </c>
    </row>
    <row r="7062" spans="1:1" x14ac:dyDescent="0.25">
      <c r="A7062" t="s">
        <v>8300</v>
      </c>
    </row>
    <row r="7063" spans="1:1" x14ac:dyDescent="0.25">
      <c r="A7063" t="s">
        <v>8301</v>
      </c>
    </row>
    <row r="7064" spans="1:1" x14ac:dyDescent="0.25">
      <c r="A7064" t="s">
        <v>8302</v>
      </c>
    </row>
    <row r="7065" spans="1:1" x14ac:dyDescent="0.25">
      <c r="A7065" t="s">
        <v>8303</v>
      </c>
    </row>
    <row r="7066" spans="1:1" x14ac:dyDescent="0.25">
      <c r="A7066" t="s">
        <v>8304</v>
      </c>
    </row>
    <row r="7067" spans="1:1" x14ac:dyDescent="0.25">
      <c r="A7067" t="s">
        <v>8305</v>
      </c>
    </row>
    <row r="7068" spans="1:1" x14ac:dyDescent="0.25">
      <c r="A7068" t="s">
        <v>8306</v>
      </c>
    </row>
    <row r="7069" spans="1:1" x14ac:dyDescent="0.25">
      <c r="A7069" t="s">
        <v>8307</v>
      </c>
    </row>
    <row r="7070" spans="1:1" x14ac:dyDescent="0.25">
      <c r="A7070" t="s">
        <v>8308</v>
      </c>
    </row>
    <row r="7071" spans="1:1" x14ac:dyDescent="0.25">
      <c r="A7071" t="s">
        <v>8309</v>
      </c>
    </row>
    <row r="7072" spans="1:1" x14ac:dyDescent="0.25">
      <c r="A7072" t="s">
        <v>8310</v>
      </c>
    </row>
    <row r="7073" spans="1:1" x14ac:dyDescent="0.25">
      <c r="A7073" t="s">
        <v>8311</v>
      </c>
    </row>
    <row r="7074" spans="1:1" x14ac:dyDescent="0.25">
      <c r="A7074" t="s">
        <v>8312</v>
      </c>
    </row>
    <row r="7075" spans="1:1" x14ac:dyDescent="0.25">
      <c r="A7075" t="s">
        <v>8313</v>
      </c>
    </row>
    <row r="7076" spans="1:1" x14ac:dyDescent="0.25">
      <c r="A7076" t="s">
        <v>8314</v>
      </c>
    </row>
    <row r="7077" spans="1:1" x14ac:dyDescent="0.25">
      <c r="A7077" t="s">
        <v>8315</v>
      </c>
    </row>
    <row r="7078" spans="1:1" x14ac:dyDescent="0.25">
      <c r="A7078" t="s">
        <v>8316</v>
      </c>
    </row>
    <row r="7079" spans="1:1" x14ac:dyDescent="0.25">
      <c r="A7079" t="s">
        <v>8317</v>
      </c>
    </row>
    <row r="7080" spans="1:1" x14ac:dyDescent="0.25">
      <c r="A7080" t="s">
        <v>8318</v>
      </c>
    </row>
    <row r="7081" spans="1:1" x14ac:dyDescent="0.25">
      <c r="A7081" t="s">
        <v>8319</v>
      </c>
    </row>
    <row r="7082" spans="1:1" x14ac:dyDescent="0.25">
      <c r="A7082" t="s">
        <v>8320</v>
      </c>
    </row>
    <row r="7083" spans="1:1" x14ac:dyDescent="0.25">
      <c r="A7083" t="s">
        <v>8321</v>
      </c>
    </row>
    <row r="7084" spans="1:1" x14ac:dyDescent="0.25">
      <c r="A7084" t="s">
        <v>8322</v>
      </c>
    </row>
    <row r="7085" spans="1:1" x14ac:dyDescent="0.25">
      <c r="A7085" t="s">
        <v>8323</v>
      </c>
    </row>
    <row r="7086" spans="1:1" x14ac:dyDescent="0.25">
      <c r="A7086" t="s">
        <v>8324</v>
      </c>
    </row>
    <row r="7087" spans="1:1" x14ac:dyDescent="0.25">
      <c r="A7087" t="s">
        <v>8325</v>
      </c>
    </row>
    <row r="7088" spans="1:1" x14ac:dyDescent="0.25">
      <c r="A7088" t="s">
        <v>8326</v>
      </c>
    </row>
    <row r="7089" spans="1:1" x14ac:dyDescent="0.25">
      <c r="A7089" t="s">
        <v>8327</v>
      </c>
    </row>
    <row r="7090" spans="1:1" x14ac:dyDescent="0.25">
      <c r="A7090" t="s">
        <v>8328</v>
      </c>
    </row>
    <row r="7091" spans="1:1" x14ac:dyDescent="0.25">
      <c r="A7091" t="s">
        <v>8329</v>
      </c>
    </row>
    <row r="7092" spans="1:1" x14ac:dyDescent="0.25">
      <c r="A7092" t="s">
        <v>8330</v>
      </c>
    </row>
    <row r="7093" spans="1:1" x14ac:dyDescent="0.25">
      <c r="A7093" t="s">
        <v>8331</v>
      </c>
    </row>
    <row r="7094" spans="1:1" x14ac:dyDescent="0.25">
      <c r="A7094" t="s">
        <v>8332</v>
      </c>
    </row>
    <row r="7095" spans="1:1" x14ac:dyDescent="0.25">
      <c r="A7095" t="s">
        <v>8333</v>
      </c>
    </row>
    <row r="7096" spans="1:1" x14ac:dyDescent="0.25">
      <c r="A7096" t="s">
        <v>8334</v>
      </c>
    </row>
    <row r="7097" spans="1:1" x14ac:dyDescent="0.25">
      <c r="A7097" t="s">
        <v>8335</v>
      </c>
    </row>
    <row r="7098" spans="1:1" x14ac:dyDescent="0.25">
      <c r="A7098" t="s">
        <v>8336</v>
      </c>
    </row>
    <row r="7099" spans="1:1" x14ac:dyDescent="0.25">
      <c r="A7099" t="s">
        <v>8337</v>
      </c>
    </row>
    <row r="7100" spans="1:1" x14ac:dyDescent="0.25">
      <c r="A7100" t="s">
        <v>8338</v>
      </c>
    </row>
    <row r="7101" spans="1:1" x14ac:dyDescent="0.25">
      <c r="A7101" t="s">
        <v>8339</v>
      </c>
    </row>
    <row r="7102" spans="1:1" x14ac:dyDescent="0.25">
      <c r="A7102" t="s">
        <v>8340</v>
      </c>
    </row>
    <row r="7103" spans="1:1" x14ac:dyDescent="0.25">
      <c r="A7103" t="s">
        <v>8341</v>
      </c>
    </row>
    <row r="7104" spans="1:1" x14ac:dyDescent="0.25">
      <c r="A7104" t="s">
        <v>8342</v>
      </c>
    </row>
    <row r="7105" spans="1:1" x14ac:dyDescent="0.25">
      <c r="A7105" t="s">
        <v>8343</v>
      </c>
    </row>
    <row r="7106" spans="1:1" x14ac:dyDescent="0.25">
      <c r="A7106" t="s">
        <v>8344</v>
      </c>
    </row>
    <row r="7107" spans="1:1" x14ac:dyDescent="0.25">
      <c r="A7107" t="s">
        <v>8345</v>
      </c>
    </row>
    <row r="7108" spans="1:1" x14ac:dyDescent="0.25">
      <c r="A7108" t="s">
        <v>8346</v>
      </c>
    </row>
    <row r="7109" spans="1:1" x14ac:dyDescent="0.25">
      <c r="A7109" t="s">
        <v>8347</v>
      </c>
    </row>
    <row r="7110" spans="1:1" x14ac:dyDescent="0.25">
      <c r="A7110" t="s">
        <v>8348</v>
      </c>
    </row>
    <row r="7111" spans="1:1" x14ac:dyDescent="0.25">
      <c r="A7111" t="s">
        <v>8349</v>
      </c>
    </row>
    <row r="7112" spans="1:1" x14ac:dyDescent="0.25">
      <c r="A7112" t="s">
        <v>8350</v>
      </c>
    </row>
    <row r="7113" spans="1:1" x14ac:dyDescent="0.25">
      <c r="A7113" t="s">
        <v>8351</v>
      </c>
    </row>
    <row r="7114" spans="1:1" x14ac:dyDescent="0.25">
      <c r="A7114" t="s">
        <v>8352</v>
      </c>
    </row>
    <row r="7115" spans="1:1" x14ac:dyDescent="0.25">
      <c r="A7115" t="s">
        <v>8353</v>
      </c>
    </row>
    <row r="7116" spans="1:1" x14ac:dyDescent="0.25">
      <c r="A7116" t="s">
        <v>8354</v>
      </c>
    </row>
    <row r="7117" spans="1:1" x14ac:dyDescent="0.25">
      <c r="A7117" t="s">
        <v>8355</v>
      </c>
    </row>
    <row r="7118" spans="1:1" x14ac:dyDescent="0.25">
      <c r="A7118" t="s">
        <v>8356</v>
      </c>
    </row>
    <row r="7119" spans="1:1" x14ac:dyDescent="0.25">
      <c r="A7119" t="s">
        <v>8357</v>
      </c>
    </row>
    <row r="7120" spans="1:1" x14ac:dyDescent="0.25">
      <c r="A7120" t="s">
        <v>8358</v>
      </c>
    </row>
    <row r="7121" spans="1:1" x14ac:dyDescent="0.25">
      <c r="A7121" t="s">
        <v>8359</v>
      </c>
    </row>
    <row r="7122" spans="1:1" x14ac:dyDescent="0.25">
      <c r="A7122" t="s">
        <v>8360</v>
      </c>
    </row>
    <row r="7123" spans="1:1" x14ac:dyDescent="0.25">
      <c r="A7123" t="s">
        <v>8361</v>
      </c>
    </row>
    <row r="7124" spans="1:1" x14ac:dyDescent="0.25">
      <c r="A7124" t="s">
        <v>8362</v>
      </c>
    </row>
    <row r="7125" spans="1:1" x14ac:dyDescent="0.25">
      <c r="A7125" t="s">
        <v>8363</v>
      </c>
    </row>
    <row r="7126" spans="1:1" x14ac:dyDescent="0.25">
      <c r="A7126" t="s">
        <v>8364</v>
      </c>
    </row>
    <row r="7127" spans="1:1" x14ac:dyDescent="0.25">
      <c r="A7127" t="s">
        <v>8365</v>
      </c>
    </row>
    <row r="7128" spans="1:1" x14ac:dyDescent="0.25">
      <c r="A7128" t="s">
        <v>8366</v>
      </c>
    </row>
    <row r="7129" spans="1:1" x14ac:dyDescent="0.25">
      <c r="A7129" t="s">
        <v>8367</v>
      </c>
    </row>
    <row r="7130" spans="1:1" x14ac:dyDescent="0.25">
      <c r="A7130" t="s">
        <v>8368</v>
      </c>
    </row>
    <row r="7131" spans="1:1" x14ac:dyDescent="0.25">
      <c r="A7131" t="s">
        <v>8369</v>
      </c>
    </row>
    <row r="7132" spans="1:1" x14ac:dyDescent="0.25">
      <c r="A7132" t="s">
        <v>8370</v>
      </c>
    </row>
    <row r="7133" spans="1:1" x14ac:dyDescent="0.25">
      <c r="A7133" t="s">
        <v>8371</v>
      </c>
    </row>
    <row r="7134" spans="1:1" x14ac:dyDescent="0.25">
      <c r="A7134" t="s">
        <v>8372</v>
      </c>
    </row>
    <row r="7135" spans="1:1" x14ac:dyDescent="0.25">
      <c r="A7135" t="s">
        <v>8373</v>
      </c>
    </row>
    <row r="7136" spans="1:1" x14ac:dyDescent="0.25">
      <c r="A7136" t="s">
        <v>8374</v>
      </c>
    </row>
    <row r="7137" spans="1:1" x14ac:dyDescent="0.25">
      <c r="A7137" t="s">
        <v>8375</v>
      </c>
    </row>
    <row r="7138" spans="1:1" x14ac:dyDescent="0.25">
      <c r="A7138" t="s">
        <v>8376</v>
      </c>
    </row>
    <row r="7139" spans="1:1" x14ac:dyDescent="0.25">
      <c r="A7139" t="s">
        <v>8377</v>
      </c>
    </row>
    <row r="7140" spans="1:1" x14ac:dyDescent="0.25">
      <c r="A7140" t="s">
        <v>8378</v>
      </c>
    </row>
    <row r="7141" spans="1:1" x14ac:dyDescent="0.25">
      <c r="A7141" t="s">
        <v>8379</v>
      </c>
    </row>
    <row r="7142" spans="1:1" x14ac:dyDescent="0.25">
      <c r="A7142" t="s">
        <v>8380</v>
      </c>
    </row>
    <row r="7143" spans="1:1" x14ac:dyDescent="0.25">
      <c r="A7143" t="s">
        <v>8381</v>
      </c>
    </row>
    <row r="7144" spans="1:1" x14ac:dyDescent="0.25">
      <c r="A7144" t="s">
        <v>8382</v>
      </c>
    </row>
    <row r="7145" spans="1:1" x14ac:dyDescent="0.25">
      <c r="A7145" t="s">
        <v>8383</v>
      </c>
    </row>
    <row r="7146" spans="1:1" x14ac:dyDescent="0.25">
      <c r="A7146" t="s">
        <v>8384</v>
      </c>
    </row>
    <row r="7147" spans="1:1" x14ac:dyDescent="0.25">
      <c r="A7147" t="s">
        <v>8385</v>
      </c>
    </row>
    <row r="7148" spans="1:1" x14ac:dyDescent="0.25">
      <c r="A7148" t="s">
        <v>8386</v>
      </c>
    </row>
    <row r="7149" spans="1:1" x14ac:dyDescent="0.25">
      <c r="A7149" t="s">
        <v>8387</v>
      </c>
    </row>
    <row r="7150" spans="1:1" x14ac:dyDescent="0.25">
      <c r="A7150" t="s">
        <v>8388</v>
      </c>
    </row>
    <row r="7151" spans="1:1" x14ac:dyDescent="0.25">
      <c r="A7151" t="s">
        <v>8389</v>
      </c>
    </row>
    <row r="7152" spans="1:1" x14ac:dyDescent="0.25">
      <c r="A7152" t="s">
        <v>8390</v>
      </c>
    </row>
    <row r="7153" spans="1:1" x14ac:dyDescent="0.25">
      <c r="A7153" t="s">
        <v>8391</v>
      </c>
    </row>
    <row r="7154" spans="1:1" x14ac:dyDescent="0.25">
      <c r="A7154" t="s">
        <v>8392</v>
      </c>
    </row>
    <row r="7155" spans="1:1" x14ac:dyDescent="0.25">
      <c r="A7155" t="s">
        <v>8393</v>
      </c>
    </row>
    <row r="7156" spans="1:1" x14ac:dyDescent="0.25">
      <c r="A7156" t="s">
        <v>8394</v>
      </c>
    </row>
    <row r="7157" spans="1:1" x14ac:dyDescent="0.25">
      <c r="A7157" t="s">
        <v>8395</v>
      </c>
    </row>
    <row r="7158" spans="1:1" x14ac:dyDescent="0.25">
      <c r="A7158" t="s">
        <v>8396</v>
      </c>
    </row>
    <row r="7159" spans="1:1" x14ac:dyDescent="0.25">
      <c r="A7159" t="s">
        <v>8397</v>
      </c>
    </row>
    <row r="7160" spans="1:1" x14ac:dyDescent="0.25">
      <c r="A7160" t="s">
        <v>8398</v>
      </c>
    </row>
    <row r="7161" spans="1:1" x14ac:dyDescent="0.25">
      <c r="A7161" t="s">
        <v>8399</v>
      </c>
    </row>
    <row r="7162" spans="1:1" x14ac:dyDescent="0.25">
      <c r="A7162" t="s">
        <v>8400</v>
      </c>
    </row>
    <row r="7163" spans="1:1" x14ac:dyDescent="0.25">
      <c r="A7163" t="s">
        <v>8401</v>
      </c>
    </row>
    <row r="7164" spans="1:1" x14ac:dyDescent="0.25">
      <c r="A7164" t="s">
        <v>8402</v>
      </c>
    </row>
    <row r="7165" spans="1:1" x14ac:dyDescent="0.25">
      <c r="A7165" t="s">
        <v>8403</v>
      </c>
    </row>
    <row r="7166" spans="1:1" x14ac:dyDescent="0.25">
      <c r="A7166" t="s">
        <v>8404</v>
      </c>
    </row>
    <row r="7167" spans="1:1" x14ac:dyDescent="0.25">
      <c r="A7167" t="s">
        <v>8405</v>
      </c>
    </row>
    <row r="7168" spans="1:1" x14ac:dyDescent="0.25">
      <c r="A7168" t="s">
        <v>8406</v>
      </c>
    </row>
    <row r="7169" spans="1:1" x14ac:dyDescent="0.25">
      <c r="A7169" t="s">
        <v>8407</v>
      </c>
    </row>
    <row r="7170" spans="1:1" x14ac:dyDescent="0.25">
      <c r="A7170" t="s">
        <v>8408</v>
      </c>
    </row>
    <row r="7171" spans="1:1" x14ac:dyDescent="0.25">
      <c r="A7171" t="s">
        <v>8409</v>
      </c>
    </row>
    <row r="7172" spans="1:1" x14ac:dyDescent="0.25">
      <c r="A7172" t="s">
        <v>8410</v>
      </c>
    </row>
    <row r="7173" spans="1:1" x14ac:dyDescent="0.25">
      <c r="A7173" t="s">
        <v>8411</v>
      </c>
    </row>
    <row r="7174" spans="1:1" x14ac:dyDescent="0.25">
      <c r="A7174" t="s">
        <v>8412</v>
      </c>
    </row>
    <row r="7175" spans="1:1" x14ac:dyDescent="0.25">
      <c r="A7175" t="s">
        <v>8413</v>
      </c>
    </row>
    <row r="7176" spans="1:1" x14ac:dyDescent="0.25">
      <c r="A7176" t="s">
        <v>8414</v>
      </c>
    </row>
    <row r="7177" spans="1:1" x14ac:dyDescent="0.25">
      <c r="A7177" t="s">
        <v>8415</v>
      </c>
    </row>
    <row r="7178" spans="1:1" x14ac:dyDescent="0.25">
      <c r="A7178" t="s">
        <v>8416</v>
      </c>
    </row>
    <row r="7179" spans="1:1" x14ac:dyDescent="0.25">
      <c r="A7179" t="s">
        <v>8417</v>
      </c>
    </row>
    <row r="7180" spans="1:1" x14ac:dyDescent="0.25">
      <c r="A7180" t="s">
        <v>8418</v>
      </c>
    </row>
    <row r="7181" spans="1:1" x14ac:dyDescent="0.25">
      <c r="A7181" t="s">
        <v>8419</v>
      </c>
    </row>
    <row r="7182" spans="1:1" x14ac:dyDescent="0.25">
      <c r="A7182" t="s">
        <v>8420</v>
      </c>
    </row>
    <row r="7183" spans="1:1" x14ac:dyDescent="0.25">
      <c r="A7183" t="s">
        <v>8421</v>
      </c>
    </row>
    <row r="7184" spans="1:1" x14ac:dyDescent="0.25">
      <c r="A7184" t="s">
        <v>8422</v>
      </c>
    </row>
    <row r="7185" spans="1:1" x14ac:dyDescent="0.25">
      <c r="A7185" t="s">
        <v>8423</v>
      </c>
    </row>
    <row r="7186" spans="1:1" x14ac:dyDescent="0.25">
      <c r="A7186" t="s">
        <v>8424</v>
      </c>
    </row>
    <row r="7187" spans="1:1" x14ac:dyDescent="0.25">
      <c r="A7187" t="s">
        <v>8425</v>
      </c>
    </row>
    <row r="7188" spans="1:1" x14ac:dyDescent="0.25">
      <c r="A7188" t="s">
        <v>8426</v>
      </c>
    </row>
    <row r="7189" spans="1:1" x14ac:dyDescent="0.25">
      <c r="A7189" t="s">
        <v>8427</v>
      </c>
    </row>
    <row r="7190" spans="1:1" x14ac:dyDescent="0.25">
      <c r="A7190" t="s">
        <v>8428</v>
      </c>
    </row>
    <row r="7191" spans="1:1" x14ac:dyDescent="0.25">
      <c r="A7191" t="s">
        <v>8429</v>
      </c>
    </row>
    <row r="7192" spans="1:1" x14ac:dyDescent="0.25">
      <c r="A7192" t="s">
        <v>8430</v>
      </c>
    </row>
    <row r="7193" spans="1:1" x14ac:dyDescent="0.25">
      <c r="A7193" t="s">
        <v>8431</v>
      </c>
    </row>
    <row r="7194" spans="1:1" x14ac:dyDescent="0.25">
      <c r="A7194" t="s">
        <v>8432</v>
      </c>
    </row>
    <row r="7195" spans="1:1" x14ac:dyDescent="0.25">
      <c r="A7195" t="s">
        <v>8433</v>
      </c>
    </row>
    <row r="7196" spans="1:1" x14ac:dyDescent="0.25">
      <c r="A7196" t="s">
        <v>8434</v>
      </c>
    </row>
    <row r="7197" spans="1:1" x14ac:dyDescent="0.25">
      <c r="A7197" t="s">
        <v>8435</v>
      </c>
    </row>
    <row r="7198" spans="1:1" x14ac:dyDescent="0.25">
      <c r="A7198" t="s">
        <v>8436</v>
      </c>
    </row>
    <row r="7199" spans="1:1" x14ac:dyDescent="0.25">
      <c r="A7199" t="s">
        <v>8437</v>
      </c>
    </row>
    <row r="7200" spans="1:1" x14ac:dyDescent="0.25">
      <c r="A7200" t="s">
        <v>8438</v>
      </c>
    </row>
    <row r="7201" spans="1:1" x14ac:dyDescent="0.25">
      <c r="A7201" t="s">
        <v>8439</v>
      </c>
    </row>
    <row r="7202" spans="1:1" x14ac:dyDescent="0.25">
      <c r="A7202" t="s">
        <v>8440</v>
      </c>
    </row>
    <row r="7203" spans="1:1" x14ac:dyDescent="0.25">
      <c r="A7203" t="s">
        <v>8441</v>
      </c>
    </row>
    <row r="7204" spans="1:1" x14ac:dyDescent="0.25">
      <c r="A7204" t="s">
        <v>8442</v>
      </c>
    </row>
    <row r="7205" spans="1:1" x14ac:dyDescent="0.25">
      <c r="A7205" t="s">
        <v>8443</v>
      </c>
    </row>
    <row r="7206" spans="1:1" x14ac:dyDescent="0.25">
      <c r="A7206" t="s">
        <v>8444</v>
      </c>
    </row>
    <row r="7207" spans="1:1" x14ac:dyDescent="0.25">
      <c r="A7207" t="s">
        <v>8445</v>
      </c>
    </row>
    <row r="7208" spans="1:1" x14ac:dyDescent="0.25">
      <c r="A7208" t="s">
        <v>8446</v>
      </c>
    </row>
    <row r="7209" spans="1:1" x14ac:dyDescent="0.25">
      <c r="A7209" t="s">
        <v>8447</v>
      </c>
    </row>
    <row r="7210" spans="1:1" x14ac:dyDescent="0.25">
      <c r="A7210" t="s">
        <v>8448</v>
      </c>
    </row>
    <row r="7211" spans="1:1" x14ac:dyDescent="0.25">
      <c r="A7211" t="s">
        <v>8449</v>
      </c>
    </row>
    <row r="7212" spans="1:1" x14ac:dyDescent="0.25">
      <c r="A7212" t="s">
        <v>8450</v>
      </c>
    </row>
    <row r="7213" spans="1:1" x14ac:dyDescent="0.25">
      <c r="A7213" t="s">
        <v>8451</v>
      </c>
    </row>
    <row r="7214" spans="1:1" x14ac:dyDescent="0.25">
      <c r="A7214" t="s">
        <v>8452</v>
      </c>
    </row>
    <row r="7215" spans="1:1" x14ac:dyDescent="0.25">
      <c r="A7215" t="s">
        <v>8453</v>
      </c>
    </row>
    <row r="7216" spans="1:1" x14ac:dyDescent="0.25">
      <c r="A7216" t="s">
        <v>8454</v>
      </c>
    </row>
    <row r="7217" spans="1:1" x14ac:dyDescent="0.25">
      <c r="A7217" t="s">
        <v>8455</v>
      </c>
    </row>
    <row r="7218" spans="1:1" x14ac:dyDescent="0.25">
      <c r="A7218" t="s">
        <v>8456</v>
      </c>
    </row>
    <row r="7219" spans="1:1" x14ac:dyDescent="0.25">
      <c r="A7219" t="s">
        <v>8457</v>
      </c>
    </row>
    <row r="7220" spans="1:1" x14ac:dyDescent="0.25">
      <c r="A7220" t="s">
        <v>8458</v>
      </c>
    </row>
    <row r="7221" spans="1:1" x14ac:dyDescent="0.25">
      <c r="A7221" t="s">
        <v>8459</v>
      </c>
    </row>
    <row r="7222" spans="1:1" x14ac:dyDescent="0.25">
      <c r="A7222" t="s">
        <v>8460</v>
      </c>
    </row>
    <row r="7223" spans="1:1" x14ac:dyDescent="0.25">
      <c r="A7223" t="s">
        <v>8461</v>
      </c>
    </row>
    <row r="7224" spans="1:1" x14ac:dyDescent="0.25">
      <c r="A7224" t="s">
        <v>8462</v>
      </c>
    </row>
    <row r="7225" spans="1:1" x14ac:dyDescent="0.25">
      <c r="A7225" t="s">
        <v>8463</v>
      </c>
    </row>
    <row r="7226" spans="1:1" x14ac:dyDescent="0.25">
      <c r="A7226" t="s">
        <v>8464</v>
      </c>
    </row>
    <row r="7227" spans="1:1" x14ac:dyDescent="0.25">
      <c r="A7227" t="s">
        <v>8465</v>
      </c>
    </row>
    <row r="7228" spans="1:1" x14ac:dyDescent="0.25">
      <c r="A7228" t="s">
        <v>8466</v>
      </c>
    </row>
    <row r="7229" spans="1:1" x14ac:dyDescent="0.25">
      <c r="A7229" t="s">
        <v>8467</v>
      </c>
    </row>
    <row r="7230" spans="1:1" x14ac:dyDescent="0.25">
      <c r="A7230" t="s">
        <v>8468</v>
      </c>
    </row>
    <row r="7231" spans="1:1" x14ac:dyDescent="0.25">
      <c r="A7231" t="s">
        <v>8469</v>
      </c>
    </row>
    <row r="7232" spans="1:1" x14ac:dyDescent="0.25">
      <c r="A7232" t="s">
        <v>8470</v>
      </c>
    </row>
    <row r="7233" spans="1:1" x14ac:dyDescent="0.25">
      <c r="A7233" t="s">
        <v>8471</v>
      </c>
    </row>
    <row r="7234" spans="1:1" x14ac:dyDescent="0.25">
      <c r="A7234" t="s">
        <v>8472</v>
      </c>
    </row>
    <row r="7235" spans="1:1" x14ac:dyDescent="0.25">
      <c r="A7235" t="s">
        <v>8473</v>
      </c>
    </row>
    <row r="7236" spans="1:1" x14ac:dyDescent="0.25">
      <c r="A7236" t="s">
        <v>8474</v>
      </c>
    </row>
    <row r="7237" spans="1:1" x14ac:dyDescent="0.25">
      <c r="A7237" t="s">
        <v>8475</v>
      </c>
    </row>
    <row r="7238" spans="1:1" x14ac:dyDescent="0.25">
      <c r="A7238" t="s">
        <v>8476</v>
      </c>
    </row>
    <row r="7239" spans="1:1" x14ac:dyDescent="0.25">
      <c r="A7239" t="s">
        <v>8477</v>
      </c>
    </row>
    <row r="7240" spans="1:1" x14ac:dyDescent="0.25">
      <c r="A7240" t="s">
        <v>8478</v>
      </c>
    </row>
    <row r="7241" spans="1:1" x14ac:dyDescent="0.25">
      <c r="A7241" t="s">
        <v>8479</v>
      </c>
    </row>
    <row r="7242" spans="1:1" x14ac:dyDescent="0.25">
      <c r="A7242" t="s">
        <v>8480</v>
      </c>
    </row>
    <row r="7243" spans="1:1" x14ac:dyDescent="0.25">
      <c r="A7243" t="s">
        <v>8481</v>
      </c>
    </row>
    <row r="7244" spans="1:1" x14ac:dyDescent="0.25">
      <c r="A7244" t="s">
        <v>8482</v>
      </c>
    </row>
    <row r="7245" spans="1:1" x14ac:dyDescent="0.25">
      <c r="A7245" t="s">
        <v>8483</v>
      </c>
    </row>
    <row r="7246" spans="1:1" x14ac:dyDescent="0.25">
      <c r="A7246" t="s">
        <v>8484</v>
      </c>
    </row>
    <row r="7247" spans="1:1" x14ac:dyDescent="0.25">
      <c r="A7247" t="s">
        <v>8485</v>
      </c>
    </row>
    <row r="7248" spans="1:1" x14ac:dyDescent="0.25">
      <c r="A7248" t="s">
        <v>8486</v>
      </c>
    </row>
    <row r="7249" spans="1:1" x14ac:dyDescent="0.25">
      <c r="A7249" t="s">
        <v>8487</v>
      </c>
    </row>
    <row r="7250" spans="1:1" x14ac:dyDescent="0.25">
      <c r="A7250" t="s">
        <v>8488</v>
      </c>
    </row>
    <row r="7251" spans="1:1" x14ac:dyDescent="0.25">
      <c r="A7251" t="s">
        <v>8489</v>
      </c>
    </row>
    <row r="7252" spans="1:1" x14ac:dyDescent="0.25">
      <c r="A7252" t="s">
        <v>8490</v>
      </c>
    </row>
    <row r="7253" spans="1:1" x14ac:dyDescent="0.25">
      <c r="A7253" t="s">
        <v>8491</v>
      </c>
    </row>
    <row r="7254" spans="1:1" x14ac:dyDescent="0.25">
      <c r="A7254" t="s">
        <v>8492</v>
      </c>
    </row>
    <row r="7255" spans="1:1" x14ac:dyDescent="0.25">
      <c r="A7255" t="s">
        <v>8493</v>
      </c>
    </row>
    <row r="7256" spans="1:1" x14ac:dyDescent="0.25">
      <c r="A7256" t="s">
        <v>8494</v>
      </c>
    </row>
    <row r="7257" spans="1:1" x14ac:dyDescent="0.25">
      <c r="A7257" t="s">
        <v>8495</v>
      </c>
    </row>
    <row r="7258" spans="1:1" x14ac:dyDescent="0.25">
      <c r="A7258" t="s">
        <v>8496</v>
      </c>
    </row>
    <row r="7259" spans="1:1" x14ac:dyDescent="0.25">
      <c r="A7259" t="s">
        <v>8497</v>
      </c>
    </row>
    <row r="7260" spans="1:1" x14ac:dyDescent="0.25">
      <c r="A7260" t="s">
        <v>8498</v>
      </c>
    </row>
    <row r="7261" spans="1:1" x14ac:dyDescent="0.25">
      <c r="A7261" t="s">
        <v>8499</v>
      </c>
    </row>
    <row r="7262" spans="1:1" x14ac:dyDescent="0.25">
      <c r="A7262" t="s">
        <v>8500</v>
      </c>
    </row>
    <row r="7263" spans="1:1" x14ac:dyDescent="0.25">
      <c r="A7263" t="s">
        <v>8501</v>
      </c>
    </row>
    <row r="7264" spans="1:1" x14ac:dyDescent="0.25">
      <c r="A7264" t="s">
        <v>8502</v>
      </c>
    </row>
    <row r="7265" spans="1:1" x14ac:dyDescent="0.25">
      <c r="A7265" t="s">
        <v>8503</v>
      </c>
    </row>
    <row r="7266" spans="1:1" x14ac:dyDescent="0.25">
      <c r="A7266" t="s">
        <v>8504</v>
      </c>
    </row>
    <row r="7267" spans="1:1" x14ac:dyDescent="0.25">
      <c r="A7267" t="s">
        <v>8505</v>
      </c>
    </row>
    <row r="7268" spans="1:1" x14ac:dyDescent="0.25">
      <c r="A7268" t="s">
        <v>8506</v>
      </c>
    </row>
    <row r="7269" spans="1:1" x14ac:dyDescent="0.25">
      <c r="A7269" t="s">
        <v>8507</v>
      </c>
    </row>
    <row r="7270" spans="1:1" x14ac:dyDescent="0.25">
      <c r="A7270" t="s">
        <v>8508</v>
      </c>
    </row>
    <row r="7271" spans="1:1" x14ac:dyDescent="0.25">
      <c r="A7271" t="s">
        <v>8509</v>
      </c>
    </row>
    <row r="7272" spans="1:1" x14ac:dyDescent="0.25">
      <c r="A7272" t="s">
        <v>8510</v>
      </c>
    </row>
    <row r="7273" spans="1:1" x14ac:dyDescent="0.25">
      <c r="A7273" t="s">
        <v>8511</v>
      </c>
    </row>
    <row r="7274" spans="1:1" x14ac:dyDescent="0.25">
      <c r="A7274" t="s">
        <v>8512</v>
      </c>
    </row>
    <row r="7275" spans="1:1" x14ac:dyDescent="0.25">
      <c r="A7275" t="s">
        <v>8513</v>
      </c>
    </row>
    <row r="7276" spans="1:1" x14ac:dyDescent="0.25">
      <c r="A7276" t="s">
        <v>8514</v>
      </c>
    </row>
    <row r="7277" spans="1:1" x14ac:dyDescent="0.25">
      <c r="A7277" t="s">
        <v>8515</v>
      </c>
    </row>
    <row r="7278" spans="1:1" x14ac:dyDescent="0.25">
      <c r="A7278" t="s">
        <v>8516</v>
      </c>
    </row>
    <row r="7279" spans="1:1" x14ac:dyDescent="0.25">
      <c r="A7279" t="s">
        <v>8517</v>
      </c>
    </row>
    <row r="7280" spans="1:1" x14ac:dyDescent="0.25">
      <c r="A7280" t="s">
        <v>8518</v>
      </c>
    </row>
    <row r="7281" spans="1:1" x14ac:dyDescent="0.25">
      <c r="A7281" t="s">
        <v>8519</v>
      </c>
    </row>
    <row r="7282" spans="1:1" x14ac:dyDescent="0.25">
      <c r="A7282" t="s">
        <v>8520</v>
      </c>
    </row>
    <row r="7283" spans="1:1" x14ac:dyDescent="0.25">
      <c r="A7283" t="s">
        <v>8521</v>
      </c>
    </row>
    <row r="7284" spans="1:1" x14ac:dyDescent="0.25">
      <c r="A7284" t="s">
        <v>8522</v>
      </c>
    </row>
    <row r="7285" spans="1:1" x14ac:dyDescent="0.25">
      <c r="A7285" t="s">
        <v>8523</v>
      </c>
    </row>
    <row r="7286" spans="1:1" x14ac:dyDescent="0.25">
      <c r="A7286" t="s">
        <v>8524</v>
      </c>
    </row>
    <row r="7287" spans="1:1" x14ac:dyDescent="0.25">
      <c r="A7287" t="s">
        <v>8525</v>
      </c>
    </row>
    <row r="7288" spans="1:1" x14ac:dyDescent="0.25">
      <c r="A7288" t="s">
        <v>8526</v>
      </c>
    </row>
    <row r="7289" spans="1:1" x14ac:dyDescent="0.25">
      <c r="A7289" t="s">
        <v>8527</v>
      </c>
    </row>
    <row r="7290" spans="1:1" x14ac:dyDescent="0.25">
      <c r="A7290" t="s">
        <v>8528</v>
      </c>
    </row>
    <row r="7291" spans="1:1" x14ac:dyDescent="0.25">
      <c r="A7291" t="s">
        <v>8529</v>
      </c>
    </row>
    <row r="7292" spans="1:1" x14ac:dyDescent="0.25">
      <c r="A7292" t="s">
        <v>8530</v>
      </c>
    </row>
    <row r="7293" spans="1:1" x14ac:dyDescent="0.25">
      <c r="A7293" t="s">
        <v>8531</v>
      </c>
    </row>
    <row r="7294" spans="1:1" x14ac:dyDescent="0.25">
      <c r="A7294" t="s">
        <v>8532</v>
      </c>
    </row>
    <row r="7295" spans="1:1" x14ac:dyDescent="0.25">
      <c r="A7295" t="s">
        <v>8533</v>
      </c>
    </row>
    <row r="7296" spans="1:1" x14ac:dyDescent="0.25">
      <c r="A7296" t="s">
        <v>8534</v>
      </c>
    </row>
    <row r="7297" spans="1:1" x14ac:dyDescent="0.25">
      <c r="A7297" t="s">
        <v>8535</v>
      </c>
    </row>
    <row r="7298" spans="1:1" x14ac:dyDescent="0.25">
      <c r="A7298" t="s">
        <v>8536</v>
      </c>
    </row>
    <row r="7299" spans="1:1" x14ac:dyDescent="0.25">
      <c r="A7299" t="s">
        <v>8537</v>
      </c>
    </row>
    <row r="7300" spans="1:1" x14ac:dyDescent="0.25">
      <c r="A7300" t="s">
        <v>8538</v>
      </c>
    </row>
    <row r="7301" spans="1:1" x14ac:dyDescent="0.25">
      <c r="A7301" t="s">
        <v>8539</v>
      </c>
    </row>
    <row r="7302" spans="1:1" x14ac:dyDescent="0.25">
      <c r="A7302" t="s">
        <v>8540</v>
      </c>
    </row>
    <row r="7303" spans="1:1" x14ac:dyDescent="0.25">
      <c r="A7303" t="s">
        <v>8541</v>
      </c>
    </row>
    <row r="7304" spans="1:1" x14ac:dyDescent="0.25">
      <c r="A7304" t="s">
        <v>8542</v>
      </c>
    </row>
    <row r="7305" spans="1:1" x14ac:dyDescent="0.25">
      <c r="A7305" t="s">
        <v>8543</v>
      </c>
    </row>
    <row r="7306" spans="1:1" x14ac:dyDescent="0.25">
      <c r="A7306" t="s">
        <v>8544</v>
      </c>
    </row>
    <row r="7307" spans="1:1" x14ac:dyDescent="0.25">
      <c r="A7307" t="s">
        <v>8545</v>
      </c>
    </row>
    <row r="7308" spans="1:1" x14ac:dyDescent="0.25">
      <c r="A7308" t="s">
        <v>8546</v>
      </c>
    </row>
    <row r="7309" spans="1:1" x14ac:dyDescent="0.25">
      <c r="A7309" t="s">
        <v>8547</v>
      </c>
    </row>
    <row r="7310" spans="1:1" x14ac:dyDescent="0.25">
      <c r="A7310" t="s">
        <v>8548</v>
      </c>
    </row>
    <row r="7311" spans="1:1" x14ac:dyDescent="0.25">
      <c r="A7311" t="s">
        <v>8549</v>
      </c>
    </row>
    <row r="7312" spans="1:1" x14ac:dyDescent="0.25">
      <c r="A7312" t="s">
        <v>8550</v>
      </c>
    </row>
    <row r="7313" spans="1:1" x14ac:dyDescent="0.25">
      <c r="A7313" t="s">
        <v>8551</v>
      </c>
    </row>
    <row r="7314" spans="1:1" x14ac:dyDescent="0.25">
      <c r="A7314" t="s">
        <v>8552</v>
      </c>
    </row>
    <row r="7315" spans="1:1" x14ac:dyDescent="0.25">
      <c r="A7315" t="s">
        <v>8553</v>
      </c>
    </row>
    <row r="7316" spans="1:1" x14ac:dyDescent="0.25">
      <c r="A7316" t="s">
        <v>8554</v>
      </c>
    </row>
    <row r="7317" spans="1:1" x14ac:dyDescent="0.25">
      <c r="A7317" t="s">
        <v>8555</v>
      </c>
    </row>
    <row r="7318" spans="1:1" x14ac:dyDescent="0.25">
      <c r="A7318" t="s">
        <v>8556</v>
      </c>
    </row>
    <row r="7319" spans="1:1" x14ac:dyDescent="0.25">
      <c r="A7319" t="s">
        <v>8557</v>
      </c>
    </row>
    <row r="7320" spans="1:1" x14ac:dyDescent="0.25">
      <c r="A7320" t="s">
        <v>8558</v>
      </c>
    </row>
    <row r="7321" spans="1:1" x14ac:dyDescent="0.25">
      <c r="A7321" t="s">
        <v>8559</v>
      </c>
    </row>
    <row r="7322" spans="1:1" x14ac:dyDescent="0.25">
      <c r="A7322" t="s">
        <v>8560</v>
      </c>
    </row>
    <row r="7323" spans="1:1" x14ac:dyDescent="0.25">
      <c r="A7323" t="s">
        <v>8561</v>
      </c>
    </row>
    <row r="7324" spans="1:1" x14ac:dyDescent="0.25">
      <c r="A7324" t="s">
        <v>8562</v>
      </c>
    </row>
    <row r="7325" spans="1:1" x14ac:dyDescent="0.25">
      <c r="A7325" t="s">
        <v>8563</v>
      </c>
    </row>
    <row r="7326" spans="1:1" x14ac:dyDescent="0.25">
      <c r="A7326" t="s">
        <v>8564</v>
      </c>
    </row>
    <row r="7327" spans="1:1" x14ac:dyDescent="0.25">
      <c r="A7327" t="s">
        <v>8565</v>
      </c>
    </row>
    <row r="7328" spans="1:1" x14ac:dyDescent="0.25">
      <c r="A7328" t="s">
        <v>8566</v>
      </c>
    </row>
    <row r="7329" spans="1:1" x14ac:dyDescent="0.25">
      <c r="A7329" t="s">
        <v>8567</v>
      </c>
    </row>
    <row r="7330" spans="1:1" x14ac:dyDescent="0.25">
      <c r="A7330" t="s">
        <v>8568</v>
      </c>
    </row>
    <row r="7331" spans="1:1" x14ac:dyDescent="0.25">
      <c r="A7331" t="s">
        <v>8569</v>
      </c>
    </row>
    <row r="7332" spans="1:1" x14ac:dyDescent="0.25">
      <c r="A7332" t="s">
        <v>8570</v>
      </c>
    </row>
    <row r="7333" spans="1:1" x14ac:dyDescent="0.25">
      <c r="A7333" t="s">
        <v>8571</v>
      </c>
    </row>
    <row r="7334" spans="1:1" x14ac:dyDescent="0.25">
      <c r="A7334" t="s">
        <v>8572</v>
      </c>
    </row>
    <row r="7335" spans="1:1" x14ac:dyDescent="0.25">
      <c r="A7335" t="s">
        <v>8573</v>
      </c>
    </row>
    <row r="7336" spans="1:1" x14ac:dyDescent="0.25">
      <c r="A7336" t="s">
        <v>8574</v>
      </c>
    </row>
    <row r="7337" spans="1:1" x14ac:dyDescent="0.25">
      <c r="A7337" t="s">
        <v>8575</v>
      </c>
    </row>
    <row r="7338" spans="1:1" x14ac:dyDescent="0.25">
      <c r="A7338" t="s">
        <v>8576</v>
      </c>
    </row>
    <row r="7339" spans="1:1" x14ac:dyDescent="0.25">
      <c r="A7339" t="s">
        <v>8577</v>
      </c>
    </row>
    <row r="7340" spans="1:1" x14ac:dyDescent="0.25">
      <c r="A7340" t="s">
        <v>8578</v>
      </c>
    </row>
    <row r="7341" spans="1:1" x14ac:dyDescent="0.25">
      <c r="A7341" t="s">
        <v>8579</v>
      </c>
    </row>
    <row r="7342" spans="1:1" x14ac:dyDescent="0.25">
      <c r="A7342" t="s">
        <v>8580</v>
      </c>
    </row>
    <row r="7343" spans="1:1" x14ac:dyDescent="0.25">
      <c r="A7343" t="s">
        <v>8581</v>
      </c>
    </row>
    <row r="7344" spans="1:1" x14ac:dyDescent="0.25">
      <c r="A7344" t="s">
        <v>8582</v>
      </c>
    </row>
    <row r="7345" spans="1:1" x14ac:dyDescent="0.25">
      <c r="A7345" t="s">
        <v>8583</v>
      </c>
    </row>
    <row r="7346" spans="1:1" x14ac:dyDescent="0.25">
      <c r="A7346" t="s">
        <v>8584</v>
      </c>
    </row>
    <row r="7347" spans="1:1" x14ac:dyDescent="0.25">
      <c r="A7347" t="s">
        <v>8585</v>
      </c>
    </row>
    <row r="7348" spans="1:1" x14ac:dyDescent="0.25">
      <c r="A7348" t="s">
        <v>8586</v>
      </c>
    </row>
    <row r="7349" spans="1:1" x14ac:dyDescent="0.25">
      <c r="A7349" t="s">
        <v>8587</v>
      </c>
    </row>
    <row r="7350" spans="1:1" x14ac:dyDescent="0.25">
      <c r="A7350" t="s">
        <v>8588</v>
      </c>
    </row>
    <row r="7351" spans="1:1" x14ac:dyDescent="0.25">
      <c r="A7351" t="s">
        <v>8589</v>
      </c>
    </row>
    <row r="7352" spans="1:1" x14ac:dyDescent="0.25">
      <c r="A7352" t="s">
        <v>8590</v>
      </c>
    </row>
    <row r="7353" spans="1:1" x14ac:dyDescent="0.25">
      <c r="A7353" t="s">
        <v>8591</v>
      </c>
    </row>
    <row r="7354" spans="1:1" x14ac:dyDescent="0.25">
      <c r="A7354" t="s">
        <v>8592</v>
      </c>
    </row>
    <row r="7355" spans="1:1" x14ac:dyDescent="0.25">
      <c r="A7355" t="s">
        <v>8593</v>
      </c>
    </row>
    <row r="7356" spans="1:1" x14ac:dyDescent="0.25">
      <c r="A7356" t="s">
        <v>8594</v>
      </c>
    </row>
    <row r="7357" spans="1:1" x14ac:dyDescent="0.25">
      <c r="A7357" t="s">
        <v>8595</v>
      </c>
    </row>
    <row r="7358" spans="1:1" x14ac:dyDescent="0.25">
      <c r="A7358" t="s">
        <v>8596</v>
      </c>
    </row>
    <row r="7359" spans="1:1" x14ac:dyDescent="0.25">
      <c r="A7359" t="s">
        <v>8597</v>
      </c>
    </row>
    <row r="7360" spans="1:1" x14ac:dyDescent="0.25">
      <c r="A7360" t="s">
        <v>8598</v>
      </c>
    </row>
    <row r="7361" spans="1:1" x14ac:dyDescent="0.25">
      <c r="A7361" t="s">
        <v>8599</v>
      </c>
    </row>
    <row r="7362" spans="1:1" x14ac:dyDescent="0.25">
      <c r="A7362" t="s">
        <v>8600</v>
      </c>
    </row>
    <row r="7363" spans="1:1" x14ac:dyDescent="0.25">
      <c r="A7363" t="s">
        <v>8601</v>
      </c>
    </row>
    <row r="7364" spans="1:1" x14ac:dyDescent="0.25">
      <c r="A7364" t="s">
        <v>8602</v>
      </c>
    </row>
    <row r="7365" spans="1:1" x14ac:dyDescent="0.25">
      <c r="A7365" t="s">
        <v>8603</v>
      </c>
    </row>
    <row r="7366" spans="1:1" x14ac:dyDescent="0.25">
      <c r="A7366" t="s">
        <v>8604</v>
      </c>
    </row>
    <row r="7367" spans="1:1" x14ac:dyDescent="0.25">
      <c r="A7367" t="s">
        <v>8605</v>
      </c>
    </row>
    <row r="7368" spans="1:1" x14ac:dyDescent="0.25">
      <c r="A7368" t="s">
        <v>8606</v>
      </c>
    </row>
    <row r="7369" spans="1:1" x14ac:dyDescent="0.25">
      <c r="A7369" t="s">
        <v>8607</v>
      </c>
    </row>
    <row r="7370" spans="1:1" x14ac:dyDescent="0.25">
      <c r="A7370" t="s">
        <v>8608</v>
      </c>
    </row>
    <row r="7371" spans="1:1" x14ac:dyDescent="0.25">
      <c r="A7371" t="s">
        <v>8609</v>
      </c>
    </row>
    <row r="7372" spans="1:1" x14ac:dyDescent="0.25">
      <c r="A7372" t="s">
        <v>8610</v>
      </c>
    </row>
    <row r="7373" spans="1:1" x14ac:dyDescent="0.25">
      <c r="A7373" t="s">
        <v>8611</v>
      </c>
    </row>
    <row r="7374" spans="1:1" x14ac:dyDescent="0.25">
      <c r="A7374" t="s">
        <v>8612</v>
      </c>
    </row>
    <row r="7375" spans="1:1" x14ac:dyDescent="0.25">
      <c r="A7375" t="s">
        <v>8613</v>
      </c>
    </row>
    <row r="7376" spans="1:1" x14ac:dyDescent="0.25">
      <c r="A7376" t="s">
        <v>8614</v>
      </c>
    </row>
    <row r="7377" spans="1:1" x14ac:dyDescent="0.25">
      <c r="A7377" t="s">
        <v>8615</v>
      </c>
    </row>
    <row r="7378" spans="1:1" x14ac:dyDescent="0.25">
      <c r="A7378" t="s">
        <v>8616</v>
      </c>
    </row>
    <row r="7379" spans="1:1" x14ac:dyDescent="0.25">
      <c r="A7379" t="s">
        <v>8617</v>
      </c>
    </row>
    <row r="7380" spans="1:1" x14ac:dyDescent="0.25">
      <c r="A7380" t="s">
        <v>8618</v>
      </c>
    </row>
    <row r="7381" spans="1:1" x14ac:dyDescent="0.25">
      <c r="A7381" t="s">
        <v>8619</v>
      </c>
    </row>
    <row r="7382" spans="1:1" x14ac:dyDescent="0.25">
      <c r="A7382" t="s">
        <v>8620</v>
      </c>
    </row>
    <row r="7383" spans="1:1" x14ac:dyDescent="0.25">
      <c r="A7383" t="s">
        <v>8621</v>
      </c>
    </row>
    <row r="7384" spans="1:1" x14ac:dyDescent="0.25">
      <c r="A7384" t="s">
        <v>8622</v>
      </c>
    </row>
    <row r="7385" spans="1:1" x14ac:dyDescent="0.25">
      <c r="A7385" t="s">
        <v>8623</v>
      </c>
    </row>
    <row r="7386" spans="1:1" x14ac:dyDescent="0.25">
      <c r="A7386" t="s">
        <v>8624</v>
      </c>
    </row>
    <row r="7387" spans="1:1" x14ac:dyDescent="0.25">
      <c r="A7387" t="s">
        <v>8625</v>
      </c>
    </row>
    <row r="7388" spans="1:1" x14ac:dyDescent="0.25">
      <c r="A7388" t="s">
        <v>8626</v>
      </c>
    </row>
    <row r="7389" spans="1:1" x14ac:dyDescent="0.25">
      <c r="A7389" t="s">
        <v>8627</v>
      </c>
    </row>
    <row r="7390" spans="1:1" x14ac:dyDescent="0.25">
      <c r="A7390" t="s">
        <v>8628</v>
      </c>
    </row>
    <row r="7391" spans="1:1" x14ac:dyDescent="0.25">
      <c r="A7391" t="s">
        <v>8629</v>
      </c>
    </row>
    <row r="7392" spans="1:1" x14ac:dyDescent="0.25">
      <c r="A7392" t="s">
        <v>8630</v>
      </c>
    </row>
    <row r="7393" spans="1:1" x14ac:dyDescent="0.25">
      <c r="A7393" t="s">
        <v>8631</v>
      </c>
    </row>
    <row r="7394" spans="1:1" x14ac:dyDescent="0.25">
      <c r="A7394" t="s">
        <v>8632</v>
      </c>
    </row>
    <row r="7395" spans="1:1" x14ac:dyDescent="0.25">
      <c r="A7395" t="s">
        <v>8633</v>
      </c>
    </row>
    <row r="7396" spans="1:1" x14ac:dyDescent="0.25">
      <c r="A7396" t="s">
        <v>8634</v>
      </c>
    </row>
    <row r="7397" spans="1:1" x14ac:dyDescent="0.25">
      <c r="A7397" t="s">
        <v>8635</v>
      </c>
    </row>
    <row r="7398" spans="1:1" x14ac:dyDescent="0.25">
      <c r="A7398" t="s">
        <v>8636</v>
      </c>
    </row>
    <row r="7399" spans="1:1" x14ac:dyDescent="0.25">
      <c r="A7399" t="s">
        <v>8637</v>
      </c>
    </row>
    <row r="7400" spans="1:1" x14ac:dyDescent="0.25">
      <c r="A7400" t="s">
        <v>8638</v>
      </c>
    </row>
    <row r="7401" spans="1:1" x14ac:dyDescent="0.25">
      <c r="A7401" t="s">
        <v>8639</v>
      </c>
    </row>
    <row r="7402" spans="1:1" x14ac:dyDescent="0.25">
      <c r="A7402" t="s">
        <v>8640</v>
      </c>
    </row>
    <row r="7403" spans="1:1" x14ac:dyDescent="0.25">
      <c r="A7403" t="s">
        <v>8641</v>
      </c>
    </row>
    <row r="7404" spans="1:1" x14ac:dyDescent="0.25">
      <c r="A7404" t="s">
        <v>8642</v>
      </c>
    </row>
    <row r="7405" spans="1:1" x14ac:dyDescent="0.25">
      <c r="A7405" t="s">
        <v>8643</v>
      </c>
    </row>
    <row r="7406" spans="1:1" x14ac:dyDescent="0.25">
      <c r="A7406" t="s">
        <v>8644</v>
      </c>
    </row>
    <row r="7407" spans="1:1" x14ac:dyDescent="0.25">
      <c r="A7407" t="s">
        <v>8645</v>
      </c>
    </row>
    <row r="7408" spans="1:1" x14ac:dyDescent="0.25">
      <c r="A7408" t="s">
        <v>8646</v>
      </c>
    </row>
    <row r="7409" spans="1:1" x14ac:dyDescent="0.25">
      <c r="A7409" t="s">
        <v>8647</v>
      </c>
    </row>
    <row r="7410" spans="1:1" x14ac:dyDescent="0.25">
      <c r="A7410" t="s">
        <v>8648</v>
      </c>
    </row>
    <row r="7411" spans="1:1" x14ac:dyDescent="0.25">
      <c r="A7411" t="s">
        <v>8649</v>
      </c>
    </row>
    <row r="7412" spans="1:1" x14ac:dyDescent="0.25">
      <c r="A7412" t="s">
        <v>8650</v>
      </c>
    </row>
    <row r="7413" spans="1:1" x14ac:dyDescent="0.25">
      <c r="A7413" t="s">
        <v>8651</v>
      </c>
    </row>
    <row r="7414" spans="1:1" x14ac:dyDescent="0.25">
      <c r="A7414" t="s">
        <v>8652</v>
      </c>
    </row>
    <row r="7415" spans="1:1" x14ac:dyDescent="0.25">
      <c r="A7415" t="s">
        <v>8653</v>
      </c>
    </row>
    <row r="7416" spans="1:1" x14ac:dyDescent="0.25">
      <c r="A7416" t="s">
        <v>8654</v>
      </c>
    </row>
    <row r="7417" spans="1:1" x14ac:dyDescent="0.25">
      <c r="A7417" t="s">
        <v>8655</v>
      </c>
    </row>
    <row r="7418" spans="1:1" x14ac:dyDescent="0.25">
      <c r="A7418" t="s">
        <v>8656</v>
      </c>
    </row>
    <row r="7419" spans="1:1" x14ac:dyDescent="0.25">
      <c r="A7419" t="s">
        <v>8657</v>
      </c>
    </row>
    <row r="7420" spans="1:1" x14ac:dyDescent="0.25">
      <c r="A7420" t="s">
        <v>8658</v>
      </c>
    </row>
    <row r="7421" spans="1:1" x14ac:dyDescent="0.25">
      <c r="A7421" t="s">
        <v>8659</v>
      </c>
    </row>
    <row r="7422" spans="1:1" x14ac:dyDescent="0.25">
      <c r="A7422" t="s">
        <v>8660</v>
      </c>
    </row>
    <row r="7423" spans="1:1" x14ac:dyDescent="0.25">
      <c r="A7423" t="s">
        <v>8661</v>
      </c>
    </row>
    <row r="7424" spans="1:1" x14ac:dyDescent="0.25">
      <c r="A7424" t="s">
        <v>8662</v>
      </c>
    </row>
    <row r="7425" spans="1:1" x14ac:dyDescent="0.25">
      <c r="A7425" t="s">
        <v>8663</v>
      </c>
    </row>
    <row r="7426" spans="1:1" x14ac:dyDescent="0.25">
      <c r="A7426" t="s">
        <v>8664</v>
      </c>
    </row>
    <row r="7427" spans="1:1" x14ac:dyDescent="0.25">
      <c r="A7427" t="s">
        <v>8665</v>
      </c>
    </row>
    <row r="7428" spans="1:1" x14ac:dyDescent="0.25">
      <c r="A7428" t="s">
        <v>8666</v>
      </c>
    </row>
    <row r="7429" spans="1:1" x14ac:dyDescent="0.25">
      <c r="A7429" t="s">
        <v>8667</v>
      </c>
    </row>
    <row r="7430" spans="1:1" x14ac:dyDescent="0.25">
      <c r="A7430" t="s">
        <v>8668</v>
      </c>
    </row>
    <row r="7431" spans="1:1" x14ac:dyDescent="0.25">
      <c r="A7431" t="s">
        <v>8669</v>
      </c>
    </row>
    <row r="7432" spans="1:1" x14ac:dyDescent="0.25">
      <c r="A7432" t="s">
        <v>8670</v>
      </c>
    </row>
    <row r="7433" spans="1:1" x14ac:dyDescent="0.25">
      <c r="A7433" t="s">
        <v>8671</v>
      </c>
    </row>
    <row r="7434" spans="1:1" x14ac:dyDescent="0.25">
      <c r="A7434" t="s">
        <v>8672</v>
      </c>
    </row>
    <row r="7435" spans="1:1" x14ac:dyDescent="0.25">
      <c r="A7435" t="s">
        <v>8673</v>
      </c>
    </row>
    <row r="7436" spans="1:1" x14ac:dyDescent="0.25">
      <c r="A7436" t="s">
        <v>8674</v>
      </c>
    </row>
    <row r="7437" spans="1:1" x14ac:dyDescent="0.25">
      <c r="A7437" t="s">
        <v>8675</v>
      </c>
    </row>
    <row r="7438" spans="1:1" x14ac:dyDescent="0.25">
      <c r="A7438" t="s">
        <v>8676</v>
      </c>
    </row>
    <row r="7439" spans="1:1" x14ac:dyDescent="0.25">
      <c r="A7439" t="s">
        <v>8677</v>
      </c>
    </row>
    <row r="7440" spans="1:1" x14ac:dyDescent="0.25">
      <c r="A7440" t="s">
        <v>8678</v>
      </c>
    </row>
    <row r="7441" spans="1:1" x14ac:dyDescent="0.25">
      <c r="A7441" t="s">
        <v>8679</v>
      </c>
    </row>
    <row r="7442" spans="1:1" x14ac:dyDescent="0.25">
      <c r="A7442" t="s">
        <v>8680</v>
      </c>
    </row>
    <row r="7443" spans="1:1" x14ac:dyDescent="0.25">
      <c r="A7443" t="s">
        <v>8681</v>
      </c>
    </row>
    <row r="7444" spans="1:1" x14ac:dyDescent="0.25">
      <c r="A7444" t="s">
        <v>8682</v>
      </c>
    </row>
    <row r="7445" spans="1:1" x14ac:dyDescent="0.25">
      <c r="A7445" t="s">
        <v>8683</v>
      </c>
    </row>
    <row r="7446" spans="1:1" x14ac:dyDescent="0.25">
      <c r="A7446" t="s">
        <v>8684</v>
      </c>
    </row>
    <row r="7447" spans="1:1" x14ac:dyDescent="0.25">
      <c r="A7447" t="s">
        <v>8685</v>
      </c>
    </row>
    <row r="7448" spans="1:1" x14ac:dyDescent="0.25">
      <c r="A7448" t="s">
        <v>8686</v>
      </c>
    </row>
    <row r="7449" spans="1:1" x14ac:dyDescent="0.25">
      <c r="A7449" t="s">
        <v>8687</v>
      </c>
    </row>
    <row r="7450" spans="1:1" x14ac:dyDescent="0.25">
      <c r="A7450" t="s">
        <v>8688</v>
      </c>
    </row>
    <row r="7451" spans="1:1" x14ac:dyDescent="0.25">
      <c r="A7451" t="s">
        <v>8689</v>
      </c>
    </row>
    <row r="7452" spans="1:1" x14ac:dyDescent="0.25">
      <c r="A7452" t="s">
        <v>8690</v>
      </c>
    </row>
    <row r="7453" spans="1:1" x14ac:dyDescent="0.25">
      <c r="A7453" t="s">
        <v>8691</v>
      </c>
    </row>
    <row r="7454" spans="1:1" x14ac:dyDescent="0.25">
      <c r="A7454" t="s">
        <v>8692</v>
      </c>
    </row>
    <row r="7455" spans="1:1" x14ac:dyDescent="0.25">
      <c r="A7455" t="s">
        <v>8693</v>
      </c>
    </row>
    <row r="7456" spans="1:1" x14ac:dyDescent="0.25">
      <c r="A7456" t="s">
        <v>8694</v>
      </c>
    </row>
    <row r="7457" spans="1:1" x14ac:dyDescent="0.25">
      <c r="A7457" t="s">
        <v>8695</v>
      </c>
    </row>
    <row r="7458" spans="1:1" x14ac:dyDescent="0.25">
      <c r="A7458" t="s">
        <v>8696</v>
      </c>
    </row>
    <row r="7459" spans="1:1" x14ac:dyDescent="0.25">
      <c r="A7459" t="s">
        <v>8697</v>
      </c>
    </row>
    <row r="7460" spans="1:1" x14ac:dyDescent="0.25">
      <c r="A7460" t="s">
        <v>8698</v>
      </c>
    </row>
    <row r="7461" spans="1:1" x14ac:dyDescent="0.25">
      <c r="A7461" t="s">
        <v>8699</v>
      </c>
    </row>
    <row r="7462" spans="1:1" x14ac:dyDescent="0.25">
      <c r="A7462" t="s">
        <v>8700</v>
      </c>
    </row>
    <row r="7463" spans="1:1" x14ac:dyDescent="0.25">
      <c r="A7463" t="s">
        <v>8701</v>
      </c>
    </row>
    <row r="7464" spans="1:1" x14ac:dyDescent="0.25">
      <c r="A7464" t="s">
        <v>8702</v>
      </c>
    </row>
    <row r="7465" spans="1:1" x14ac:dyDescent="0.25">
      <c r="A7465" t="s">
        <v>8703</v>
      </c>
    </row>
    <row r="7466" spans="1:1" x14ac:dyDescent="0.25">
      <c r="A7466" t="s">
        <v>8704</v>
      </c>
    </row>
    <row r="7467" spans="1:1" x14ac:dyDescent="0.25">
      <c r="A7467" t="s">
        <v>8705</v>
      </c>
    </row>
    <row r="7468" spans="1:1" x14ac:dyDescent="0.25">
      <c r="A7468" t="s">
        <v>8706</v>
      </c>
    </row>
    <row r="7469" spans="1:1" x14ac:dyDescent="0.25">
      <c r="A7469" t="s">
        <v>8707</v>
      </c>
    </row>
    <row r="7470" spans="1:1" x14ac:dyDescent="0.25">
      <c r="A7470" t="s">
        <v>8708</v>
      </c>
    </row>
    <row r="7471" spans="1:1" x14ac:dyDescent="0.25">
      <c r="A7471" t="s">
        <v>8709</v>
      </c>
    </row>
    <row r="7472" spans="1:1" x14ac:dyDescent="0.25">
      <c r="A7472" t="s">
        <v>8710</v>
      </c>
    </row>
    <row r="7473" spans="1:1" x14ac:dyDescent="0.25">
      <c r="A7473" t="s">
        <v>8711</v>
      </c>
    </row>
    <row r="7474" spans="1:1" x14ac:dyDescent="0.25">
      <c r="A7474" t="s">
        <v>8712</v>
      </c>
    </row>
    <row r="7475" spans="1:1" x14ac:dyDescent="0.25">
      <c r="A7475" t="s">
        <v>8713</v>
      </c>
    </row>
    <row r="7476" spans="1:1" x14ac:dyDescent="0.25">
      <c r="A7476" t="s">
        <v>8714</v>
      </c>
    </row>
    <row r="7477" spans="1:1" x14ac:dyDescent="0.25">
      <c r="A7477" t="s">
        <v>8715</v>
      </c>
    </row>
    <row r="7478" spans="1:1" x14ac:dyDescent="0.25">
      <c r="A7478" t="s">
        <v>8716</v>
      </c>
    </row>
    <row r="7479" spans="1:1" x14ac:dyDescent="0.25">
      <c r="A7479" t="s">
        <v>8717</v>
      </c>
    </row>
    <row r="7480" spans="1:1" x14ac:dyDescent="0.25">
      <c r="A7480" t="s">
        <v>8718</v>
      </c>
    </row>
    <row r="7481" spans="1:1" x14ac:dyDescent="0.25">
      <c r="A7481" t="s">
        <v>8719</v>
      </c>
    </row>
    <row r="7482" spans="1:1" x14ac:dyDescent="0.25">
      <c r="A7482" t="s">
        <v>8720</v>
      </c>
    </row>
    <row r="7483" spans="1:1" x14ac:dyDescent="0.25">
      <c r="A7483" t="s">
        <v>8721</v>
      </c>
    </row>
    <row r="7484" spans="1:1" x14ac:dyDescent="0.25">
      <c r="A7484" t="s">
        <v>8722</v>
      </c>
    </row>
    <row r="7485" spans="1:1" x14ac:dyDescent="0.25">
      <c r="A7485" t="s">
        <v>8723</v>
      </c>
    </row>
    <row r="7486" spans="1:1" x14ac:dyDescent="0.25">
      <c r="A7486" t="s">
        <v>8724</v>
      </c>
    </row>
    <row r="7487" spans="1:1" x14ac:dyDescent="0.25">
      <c r="A7487" t="s">
        <v>8725</v>
      </c>
    </row>
    <row r="7488" spans="1:1" x14ac:dyDescent="0.25">
      <c r="A7488" t="s">
        <v>8726</v>
      </c>
    </row>
    <row r="7489" spans="1:1" x14ac:dyDescent="0.25">
      <c r="A7489" t="s">
        <v>8727</v>
      </c>
    </row>
    <row r="7490" spans="1:1" x14ac:dyDescent="0.25">
      <c r="A7490" t="s">
        <v>8728</v>
      </c>
    </row>
    <row r="7491" spans="1:1" x14ac:dyDescent="0.25">
      <c r="A7491" t="s">
        <v>8729</v>
      </c>
    </row>
    <row r="7492" spans="1:1" x14ac:dyDescent="0.25">
      <c r="A7492" t="s">
        <v>8730</v>
      </c>
    </row>
    <row r="7493" spans="1:1" x14ac:dyDescent="0.25">
      <c r="A7493" t="s">
        <v>8731</v>
      </c>
    </row>
    <row r="7494" spans="1:1" x14ac:dyDescent="0.25">
      <c r="A7494" t="s">
        <v>8732</v>
      </c>
    </row>
    <row r="7495" spans="1:1" x14ac:dyDescent="0.25">
      <c r="A7495" t="s">
        <v>8733</v>
      </c>
    </row>
    <row r="7496" spans="1:1" x14ac:dyDescent="0.25">
      <c r="A7496" t="s">
        <v>8734</v>
      </c>
    </row>
    <row r="7497" spans="1:1" x14ac:dyDescent="0.25">
      <c r="A7497" t="s">
        <v>8735</v>
      </c>
    </row>
    <row r="7498" spans="1:1" x14ac:dyDescent="0.25">
      <c r="A7498" t="s">
        <v>8736</v>
      </c>
    </row>
    <row r="7499" spans="1:1" x14ac:dyDescent="0.25">
      <c r="A7499" t="s">
        <v>8737</v>
      </c>
    </row>
    <row r="7500" spans="1:1" x14ac:dyDescent="0.25">
      <c r="A7500" t="s">
        <v>8738</v>
      </c>
    </row>
    <row r="7501" spans="1:1" x14ac:dyDescent="0.25">
      <c r="A7501" t="s">
        <v>8739</v>
      </c>
    </row>
    <row r="7502" spans="1:1" x14ac:dyDescent="0.25">
      <c r="A7502" t="s">
        <v>8740</v>
      </c>
    </row>
    <row r="7503" spans="1:1" x14ac:dyDescent="0.25">
      <c r="A7503" t="s">
        <v>8741</v>
      </c>
    </row>
    <row r="7504" spans="1:1" x14ac:dyDescent="0.25">
      <c r="A7504" t="s">
        <v>8742</v>
      </c>
    </row>
    <row r="7505" spans="1:1" x14ac:dyDescent="0.25">
      <c r="A7505" t="s">
        <v>8743</v>
      </c>
    </row>
    <row r="7506" spans="1:1" x14ac:dyDescent="0.25">
      <c r="A7506" t="s">
        <v>8744</v>
      </c>
    </row>
    <row r="7507" spans="1:1" x14ac:dyDescent="0.25">
      <c r="A7507" t="s">
        <v>8745</v>
      </c>
    </row>
    <row r="7508" spans="1:1" x14ac:dyDescent="0.25">
      <c r="A7508" t="s">
        <v>8746</v>
      </c>
    </row>
    <row r="7509" spans="1:1" x14ac:dyDescent="0.25">
      <c r="A7509" t="s">
        <v>8747</v>
      </c>
    </row>
    <row r="7510" spans="1:1" x14ac:dyDescent="0.25">
      <c r="A7510" t="s">
        <v>8748</v>
      </c>
    </row>
    <row r="7511" spans="1:1" x14ac:dyDescent="0.25">
      <c r="A7511" t="s">
        <v>8749</v>
      </c>
    </row>
    <row r="7512" spans="1:1" x14ac:dyDescent="0.25">
      <c r="A7512" t="s">
        <v>8750</v>
      </c>
    </row>
    <row r="7513" spans="1:1" x14ac:dyDescent="0.25">
      <c r="A7513" t="s">
        <v>8751</v>
      </c>
    </row>
    <row r="7514" spans="1:1" x14ac:dyDescent="0.25">
      <c r="A7514" t="s">
        <v>8752</v>
      </c>
    </row>
    <row r="7515" spans="1:1" x14ac:dyDescent="0.25">
      <c r="A7515" t="s">
        <v>8753</v>
      </c>
    </row>
    <row r="7516" spans="1:1" x14ac:dyDescent="0.25">
      <c r="A7516" t="s">
        <v>8754</v>
      </c>
    </row>
    <row r="7517" spans="1:1" x14ac:dyDescent="0.25">
      <c r="A7517" t="s">
        <v>8755</v>
      </c>
    </row>
    <row r="7518" spans="1:1" x14ac:dyDescent="0.25">
      <c r="A7518" t="s">
        <v>8756</v>
      </c>
    </row>
    <row r="7519" spans="1:1" x14ac:dyDescent="0.25">
      <c r="A7519" t="s">
        <v>8757</v>
      </c>
    </row>
    <row r="7520" spans="1:1" x14ac:dyDescent="0.25">
      <c r="A7520" t="s">
        <v>8758</v>
      </c>
    </row>
    <row r="7521" spans="1:1" x14ac:dyDescent="0.25">
      <c r="A7521" t="s">
        <v>8759</v>
      </c>
    </row>
    <row r="7522" spans="1:1" x14ac:dyDescent="0.25">
      <c r="A7522" t="s">
        <v>8760</v>
      </c>
    </row>
    <row r="7523" spans="1:1" x14ac:dyDescent="0.25">
      <c r="A7523" t="s">
        <v>8761</v>
      </c>
    </row>
    <row r="7524" spans="1:1" x14ac:dyDescent="0.25">
      <c r="A7524" t="s">
        <v>8762</v>
      </c>
    </row>
    <row r="7525" spans="1:1" x14ac:dyDescent="0.25">
      <c r="A7525" t="s">
        <v>8763</v>
      </c>
    </row>
    <row r="7526" spans="1:1" x14ac:dyDescent="0.25">
      <c r="A7526" t="s">
        <v>8764</v>
      </c>
    </row>
    <row r="7527" spans="1:1" x14ac:dyDescent="0.25">
      <c r="A7527" t="s">
        <v>8765</v>
      </c>
    </row>
    <row r="7528" spans="1:1" x14ac:dyDescent="0.25">
      <c r="A7528" t="s">
        <v>8766</v>
      </c>
    </row>
    <row r="7529" spans="1:1" x14ac:dyDescent="0.25">
      <c r="A7529" t="s">
        <v>8767</v>
      </c>
    </row>
    <row r="7530" spans="1:1" x14ac:dyDescent="0.25">
      <c r="A7530" t="s">
        <v>8768</v>
      </c>
    </row>
    <row r="7531" spans="1:1" x14ac:dyDescent="0.25">
      <c r="A7531" t="s">
        <v>8769</v>
      </c>
    </row>
    <row r="7532" spans="1:1" x14ac:dyDescent="0.25">
      <c r="A7532" t="s">
        <v>8770</v>
      </c>
    </row>
    <row r="7533" spans="1:1" x14ac:dyDescent="0.25">
      <c r="A7533" t="s">
        <v>8771</v>
      </c>
    </row>
    <row r="7534" spans="1:1" x14ac:dyDescent="0.25">
      <c r="A7534" t="s">
        <v>8772</v>
      </c>
    </row>
    <row r="7535" spans="1:1" x14ac:dyDescent="0.25">
      <c r="A7535" t="s">
        <v>8773</v>
      </c>
    </row>
    <row r="7536" spans="1:1" x14ac:dyDescent="0.25">
      <c r="A7536" t="s">
        <v>8774</v>
      </c>
    </row>
    <row r="7537" spans="1:1" x14ac:dyDescent="0.25">
      <c r="A7537" t="s">
        <v>8775</v>
      </c>
    </row>
    <row r="7538" spans="1:1" x14ac:dyDescent="0.25">
      <c r="A7538" t="s">
        <v>8776</v>
      </c>
    </row>
    <row r="7539" spans="1:1" x14ac:dyDescent="0.25">
      <c r="A7539" t="s">
        <v>8777</v>
      </c>
    </row>
    <row r="7540" spans="1:1" x14ac:dyDescent="0.25">
      <c r="A7540" t="s">
        <v>8778</v>
      </c>
    </row>
    <row r="7541" spans="1:1" x14ac:dyDescent="0.25">
      <c r="A7541" t="s">
        <v>8779</v>
      </c>
    </row>
    <row r="7542" spans="1:1" x14ac:dyDescent="0.25">
      <c r="A7542" t="s">
        <v>8780</v>
      </c>
    </row>
    <row r="7543" spans="1:1" x14ac:dyDescent="0.25">
      <c r="A7543" t="s">
        <v>8781</v>
      </c>
    </row>
    <row r="7544" spans="1:1" x14ac:dyDescent="0.25">
      <c r="A7544" t="s">
        <v>8782</v>
      </c>
    </row>
    <row r="7545" spans="1:1" x14ac:dyDescent="0.25">
      <c r="A7545" t="s">
        <v>8783</v>
      </c>
    </row>
    <row r="7546" spans="1:1" x14ac:dyDescent="0.25">
      <c r="A7546" t="s">
        <v>8784</v>
      </c>
    </row>
    <row r="7547" spans="1:1" x14ac:dyDescent="0.25">
      <c r="A7547" t="s">
        <v>8785</v>
      </c>
    </row>
    <row r="7548" spans="1:1" x14ac:dyDescent="0.25">
      <c r="A7548" t="s">
        <v>8786</v>
      </c>
    </row>
    <row r="7549" spans="1:1" x14ac:dyDescent="0.25">
      <c r="A7549" t="s">
        <v>8787</v>
      </c>
    </row>
    <row r="7550" spans="1:1" x14ac:dyDescent="0.25">
      <c r="A7550" t="s">
        <v>8788</v>
      </c>
    </row>
    <row r="7551" spans="1:1" x14ac:dyDescent="0.25">
      <c r="A7551" t="s">
        <v>8789</v>
      </c>
    </row>
    <row r="7552" spans="1:1" x14ac:dyDescent="0.25">
      <c r="A7552" t="s">
        <v>8790</v>
      </c>
    </row>
    <row r="7553" spans="1:1" x14ac:dyDescent="0.25">
      <c r="A7553" t="s">
        <v>8791</v>
      </c>
    </row>
    <row r="7554" spans="1:1" x14ac:dyDescent="0.25">
      <c r="A7554" t="s">
        <v>8792</v>
      </c>
    </row>
    <row r="7555" spans="1:1" x14ac:dyDescent="0.25">
      <c r="A7555" t="s">
        <v>8793</v>
      </c>
    </row>
    <row r="7556" spans="1:1" x14ac:dyDescent="0.25">
      <c r="A7556" t="s">
        <v>8794</v>
      </c>
    </row>
    <row r="7557" spans="1:1" x14ac:dyDescent="0.25">
      <c r="A7557" t="s">
        <v>8795</v>
      </c>
    </row>
    <row r="7558" spans="1:1" x14ac:dyDescent="0.25">
      <c r="A7558" t="s">
        <v>8796</v>
      </c>
    </row>
    <row r="7559" spans="1:1" x14ac:dyDescent="0.25">
      <c r="A7559" t="s">
        <v>8797</v>
      </c>
    </row>
    <row r="7560" spans="1:1" x14ac:dyDescent="0.25">
      <c r="A7560" t="s">
        <v>8798</v>
      </c>
    </row>
    <row r="7561" spans="1:1" x14ac:dyDescent="0.25">
      <c r="A7561" t="s">
        <v>8799</v>
      </c>
    </row>
    <row r="7562" spans="1:1" x14ac:dyDescent="0.25">
      <c r="A7562" t="s">
        <v>8800</v>
      </c>
    </row>
    <row r="7563" spans="1:1" x14ac:dyDescent="0.25">
      <c r="A7563" t="s">
        <v>8801</v>
      </c>
    </row>
    <row r="7564" spans="1:1" x14ac:dyDescent="0.25">
      <c r="A7564" t="s">
        <v>8802</v>
      </c>
    </row>
    <row r="7565" spans="1:1" x14ac:dyDescent="0.25">
      <c r="A7565" t="s">
        <v>8803</v>
      </c>
    </row>
    <row r="7566" spans="1:1" x14ac:dyDescent="0.25">
      <c r="A7566" t="s">
        <v>8804</v>
      </c>
    </row>
    <row r="7567" spans="1:1" x14ac:dyDescent="0.25">
      <c r="A7567" t="s">
        <v>8805</v>
      </c>
    </row>
    <row r="7568" spans="1:1" x14ac:dyDescent="0.25">
      <c r="A7568" t="s">
        <v>8806</v>
      </c>
    </row>
    <row r="7569" spans="1:1" x14ac:dyDescent="0.25">
      <c r="A7569" t="s">
        <v>8807</v>
      </c>
    </row>
    <row r="7570" spans="1:1" x14ac:dyDescent="0.25">
      <c r="A7570" t="s">
        <v>8808</v>
      </c>
    </row>
    <row r="7571" spans="1:1" x14ac:dyDescent="0.25">
      <c r="A7571" t="s">
        <v>8809</v>
      </c>
    </row>
    <row r="7572" spans="1:1" x14ac:dyDescent="0.25">
      <c r="A7572" t="s">
        <v>8810</v>
      </c>
    </row>
    <row r="7573" spans="1:1" x14ac:dyDescent="0.25">
      <c r="A7573" t="s">
        <v>8811</v>
      </c>
    </row>
    <row r="7574" spans="1:1" x14ac:dyDescent="0.25">
      <c r="A7574" t="s">
        <v>8812</v>
      </c>
    </row>
    <row r="7575" spans="1:1" x14ac:dyDescent="0.25">
      <c r="A7575" t="s">
        <v>8813</v>
      </c>
    </row>
    <row r="7576" spans="1:1" x14ac:dyDescent="0.25">
      <c r="A7576" t="s">
        <v>8814</v>
      </c>
    </row>
    <row r="7577" spans="1:1" x14ac:dyDescent="0.25">
      <c r="A7577" t="s">
        <v>8815</v>
      </c>
    </row>
    <row r="7578" spans="1:1" x14ac:dyDescent="0.25">
      <c r="A7578" t="s">
        <v>8816</v>
      </c>
    </row>
    <row r="7579" spans="1:1" x14ac:dyDescent="0.25">
      <c r="A7579" t="s">
        <v>8817</v>
      </c>
    </row>
    <row r="7580" spans="1:1" x14ac:dyDescent="0.25">
      <c r="A7580" t="s">
        <v>8818</v>
      </c>
    </row>
    <row r="7581" spans="1:1" x14ac:dyDescent="0.25">
      <c r="A7581" t="s">
        <v>8819</v>
      </c>
    </row>
    <row r="7582" spans="1:1" x14ac:dyDescent="0.25">
      <c r="A7582" t="s">
        <v>8820</v>
      </c>
    </row>
    <row r="7583" spans="1:1" x14ac:dyDescent="0.25">
      <c r="A7583" t="s">
        <v>8821</v>
      </c>
    </row>
    <row r="7584" spans="1:1" x14ac:dyDescent="0.25">
      <c r="A7584" t="s">
        <v>8822</v>
      </c>
    </row>
    <row r="7585" spans="1:1" x14ac:dyDescent="0.25">
      <c r="A7585" t="s">
        <v>8823</v>
      </c>
    </row>
    <row r="7586" spans="1:1" x14ac:dyDescent="0.25">
      <c r="A7586" t="s">
        <v>8824</v>
      </c>
    </row>
    <row r="7587" spans="1:1" x14ac:dyDescent="0.25">
      <c r="A7587" t="s">
        <v>8825</v>
      </c>
    </row>
    <row r="7588" spans="1:1" x14ac:dyDescent="0.25">
      <c r="A7588" t="s">
        <v>8826</v>
      </c>
    </row>
    <row r="7589" spans="1:1" x14ac:dyDescent="0.25">
      <c r="A7589" t="s">
        <v>8827</v>
      </c>
    </row>
    <row r="7590" spans="1:1" x14ac:dyDescent="0.25">
      <c r="A7590" t="s">
        <v>8828</v>
      </c>
    </row>
    <row r="7591" spans="1:1" x14ac:dyDescent="0.25">
      <c r="A7591" t="s">
        <v>8829</v>
      </c>
    </row>
    <row r="7592" spans="1:1" x14ac:dyDescent="0.25">
      <c r="A7592" t="s">
        <v>8830</v>
      </c>
    </row>
    <row r="7593" spans="1:1" x14ac:dyDescent="0.25">
      <c r="A7593" t="s">
        <v>8831</v>
      </c>
    </row>
    <row r="7594" spans="1:1" x14ac:dyDescent="0.25">
      <c r="A7594" t="s">
        <v>8832</v>
      </c>
    </row>
    <row r="7595" spans="1:1" x14ac:dyDescent="0.25">
      <c r="A7595" t="s">
        <v>8833</v>
      </c>
    </row>
    <row r="7596" spans="1:1" x14ac:dyDescent="0.25">
      <c r="A7596" t="s">
        <v>8834</v>
      </c>
    </row>
    <row r="7597" spans="1:1" x14ac:dyDescent="0.25">
      <c r="A7597" t="s">
        <v>8835</v>
      </c>
    </row>
    <row r="7598" spans="1:1" x14ac:dyDescent="0.25">
      <c r="A7598" t="s">
        <v>8836</v>
      </c>
    </row>
    <row r="7599" spans="1:1" x14ac:dyDescent="0.25">
      <c r="A7599" t="s">
        <v>8837</v>
      </c>
    </row>
    <row r="7600" spans="1:1" x14ac:dyDescent="0.25">
      <c r="A7600" t="s">
        <v>8838</v>
      </c>
    </row>
    <row r="7601" spans="1:1" x14ac:dyDescent="0.25">
      <c r="A7601" t="s">
        <v>8839</v>
      </c>
    </row>
    <row r="7602" spans="1:1" x14ac:dyDescent="0.25">
      <c r="A7602" t="s">
        <v>8840</v>
      </c>
    </row>
    <row r="7603" spans="1:1" x14ac:dyDescent="0.25">
      <c r="A7603" t="s">
        <v>8841</v>
      </c>
    </row>
    <row r="7604" spans="1:1" x14ac:dyDescent="0.25">
      <c r="A7604" t="s">
        <v>8842</v>
      </c>
    </row>
    <row r="7605" spans="1:1" x14ac:dyDescent="0.25">
      <c r="A7605" t="s">
        <v>8843</v>
      </c>
    </row>
    <row r="7606" spans="1:1" x14ac:dyDescent="0.25">
      <c r="A7606" t="s">
        <v>8844</v>
      </c>
    </row>
    <row r="7607" spans="1:1" x14ac:dyDescent="0.25">
      <c r="A7607" t="s">
        <v>8845</v>
      </c>
    </row>
    <row r="7608" spans="1:1" x14ac:dyDescent="0.25">
      <c r="A7608" t="s">
        <v>8846</v>
      </c>
    </row>
    <row r="7609" spans="1:1" x14ac:dyDescent="0.25">
      <c r="A7609" t="s">
        <v>8847</v>
      </c>
    </row>
    <row r="7610" spans="1:1" x14ac:dyDescent="0.25">
      <c r="A7610" t="s">
        <v>8848</v>
      </c>
    </row>
    <row r="7611" spans="1:1" x14ac:dyDescent="0.25">
      <c r="A7611" t="s">
        <v>8849</v>
      </c>
    </row>
    <row r="7612" spans="1:1" x14ac:dyDescent="0.25">
      <c r="A7612" t="s">
        <v>8850</v>
      </c>
    </row>
    <row r="7613" spans="1:1" x14ac:dyDescent="0.25">
      <c r="A7613" t="s">
        <v>8851</v>
      </c>
    </row>
    <row r="7614" spans="1:1" x14ac:dyDescent="0.25">
      <c r="A7614" t="s">
        <v>8852</v>
      </c>
    </row>
    <row r="7615" spans="1:1" x14ac:dyDescent="0.25">
      <c r="A7615" t="s">
        <v>8853</v>
      </c>
    </row>
    <row r="7616" spans="1:1" x14ac:dyDescent="0.25">
      <c r="A7616" t="s">
        <v>8854</v>
      </c>
    </row>
    <row r="7617" spans="1:1" x14ac:dyDescent="0.25">
      <c r="A7617" t="s">
        <v>8855</v>
      </c>
    </row>
    <row r="7618" spans="1:1" x14ac:dyDescent="0.25">
      <c r="A7618" t="s">
        <v>8856</v>
      </c>
    </row>
    <row r="7619" spans="1:1" x14ac:dyDescent="0.25">
      <c r="A7619" t="s">
        <v>8857</v>
      </c>
    </row>
    <row r="7620" spans="1:1" x14ac:dyDescent="0.25">
      <c r="A7620" t="s">
        <v>8858</v>
      </c>
    </row>
    <row r="7621" spans="1:1" x14ac:dyDescent="0.25">
      <c r="A7621" t="s">
        <v>8859</v>
      </c>
    </row>
    <row r="7622" spans="1:1" x14ac:dyDescent="0.25">
      <c r="A7622" t="s">
        <v>8860</v>
      </c>
    </row>
    <row r="7623" spans="1:1" x14ac:dyDescent="0.25">
      <c r="A7623" t="s">
        <v>8861</v>
      </c>
    </row>
    <row r="7624" spans="1:1" x14ac:dyDescent="0.25">
      <c r="A7624" t="s">
        <v>8862</v>
      </c>
    </row>
    <row r="7625" spans="1:1" x14ac:dyDescent="0.25">
      <c r="A7625" t="s">
        <v>8863</v>
      </c>
    </row>
    <row r="7626" spans="1:1" x14ac:dyDescent="0.25">
      <c r="A7626" t="s">
        <v>8864</v>
      </c>
    </row>
    <row r="7627" spans="1:1" x14ac:dyDescent="0.25">
      <c r="A7627" t="s">
        <v>8865</v>
      </c>
    </row>
    <row r="7628" spans="1:1" x14ac:dyDescent="0.25">
      <c r="A7628" t="s">
        <v>8866</v>
      </c>
    </row>
    <row r="7629" spans="1:1" x14ac:dyDescent="0.25">
      <c r="A7629" t="s">
        <v>8867</v>
      </c>
    </row>
    <row r="7630" spans="1:1" x14ac:dyDescent="0.25">
      <c r="A7630" t="s">
        <v>8868</v>
      </c>
    </row>
    <row r="7631" spans="1:1" x14ac:dyDescent="0.25">
      <c r="A7631" t="s">
        <v>8869</v>
      </c>
    </row>
    <row r="7632" spans="1:1" x14ac:dyDescent="0.25">
      <c r="A7632" t="s">
        <v>8870</v>
      </c>
    </row>
    <row r="7633" spans="1:1" x14ac:dyDescent="0.25">
      <c r="A7633" t="s">
        <v>8871</v>
      </c>
    </row>
    <row r="7634" spans="1:1" x14ac:dyDescent="0.25">
      <c r="A7634" t="s">
        <v>8872</v>
      </c>
    </row>
    <row r="7635" spans="1:1" x14ac:dyDescent="0.25">
      <c r="A7635" t="s">
        <v>8873</v>
      </c>
    </row>
    <row r="7636" spans="1:1" x14ac:dyDescent="0.25">
      <c r="A7636" t="s">
        <v>8874</v>
      </c>
    </row>
    <row r="7637" spans="1:1" x14ac:dyDescent="0.25">
      <c r="A7637" t="s">
        <v>8875</v>
      </c>
    </row>
    <row r="7638" spans="1:1" x14ac:dyDescent="0.25">
      <c r="A7638" t="s">
        <v>8876</v>
      </c>
    </row>
    <row r="7639" spans="1:1" x14ac:dyDescent="0.25">
      <c r="A7639" t="s">
        <v>8877</v>
      </c>
    </row>
    <row r="7640" spans="1:1" x14ac:dyDescent="0.25">
      <c r="A7640" t="s">
        <v>8878</v>
      </c>
    </row>
    <row r="7641" spans="1:1" x14ac:dyDescent="0.25">
      <c r="A7641" t="s">
        <v>8879</v>
      </c>
    </row>
    <row r="7642" spans="1:1" x14ac:dyDescent="0.25">
      <c r="A7642" t="s">
        <v>8880</v>
      </c>
    </row>
    <row r="7643" spans="1:1" x14ac:dyDescent="0.25">
      <c r="A7643" t="s">
        <v>8881</v>
      </c>
    </row>
    <row r="7644" spans="1:1" x14ac:dyDescent="0.25">
      <c r="A7644" t="s">
        <v>8882</v>
      </c>
    </row>
    <row r="7645" spans="1:1" x14ac:dyDescent="0.25">
      <c r="A7645" t="s">
        <v>8883</v>
      </c>
    </row>
    <row r="7646" spans="1:1" x14ac:dyDescent="0.25">
      <c r="A7646" t="s">
        <v>8884</v>
      </c>
    </row>
    <row r="7647" spans="1:1" x14ac:dyDescent="0.25">
      <c r="A7647" t="s">
        <v>8885</v>
      </c>
    </row>
    <row r="7648" spans="1:1" x14ac:dyDescent="0.25">
      <c r="A7648" t="s">
        <v>8886</v>
      </c>
    </row>
    <row r="7649" spans="1:1" x14ac:dyDescent="0.25">
      <c r="A7649" t="s">
        <v>8887</v>
      </c>
    </row>
    <row r="7650" spans="1:1" x14ac:dyDescent="0.25">
      <c r="A7650" t="s">
        <v>8888</v>
      </c>
    </row>
    <row r="7651" spans="1:1" x14ac:dyDescent="0.25">
      <c r="A7651" t="s">
        <v>8889</v>
      </c>
    </row>
    <row r="7652" spans="1:1" x14ac:dyDescent="0.25">
      <c r="A7652" t="s">
        <v>8890</v>
      </c>
    </row>
    <row r="7653" spans="1:1" x14ac:dyDescent="0.25">
      <c r="A7653" t="s">
        <v>8891</v>
      </c>
    </row>
    <row r="7654" spans="1:1" x14ac:dyDescent="0.25">
      <c r="A7654" t="s">
        <v>8892</v>
      </c>
    </row>
    <row r="7655" spans="1:1" x14ac:dyDescent="0.25">
      <c r="A7655" t="s">
        <v>8893</v>
      </c>
    </row>
    <row r="7656" spans="1:1" x14ac:dyDescent="0.25">
      <c r="A7656" t="s">
        <v>8894</v>
      </c>
    </row>
    <row r="7657" spans="1:1" x14ac:dyDescent="0.25">
      <c r="A7657" t="s">
        <v>8895</v>
      </c>
    </row>
    <row r="7658" spans="1:1" x14ac:dyDescent="0.25">
      <c r="A7658" t="s">
        <v>8896</v>
      </c>
    </row>
    <row r="7659" spans="1:1" x14ac:dyDescent="0.25">
      <c r="A7659" t="s">
        <v>8897</v>
      </c>
    </row>
    <row r="7660" spans="1:1" x14ac:dyDescent="0.25">
      <c r="A7660" t="s">
        <v>8898</v>
      </c>
    </row>
    <row r="7661" spans="1:1" x14ac:dyDescent="0.25">
      <c r="A7661" t="s">
        <v>8899</v>
      </c>
    </row>
    <row r="7662" spans="1:1" x14ac:dyDescent="0.25">
      <c r="A7662" t="s">
        <v>8900</v>
      </c>
    </row>
    <row r="7663" spans="1:1" x14ac:dyDescent="0.25">
      <c r="A7663" t="s">
        <v>8901</v>
      </c>
    </row>
    <row r="7664" spans="1:1" x14ac:dyDescent="0.25">
      <c r="A7664" t="s">
        <v>8902</v>
      </c>
    </row>
    <row r="7665" spans="1:1" x14ac:dyDescent="0.25">
      <c r="A7665" t="s">
        <v>8903</v>
      </c>
    </row>
    <row r="7666" spans="1:1" x14ac:dyDescent="0.25">
      <c r="A7666" t="s">
        <v>8904</v>
      </c>
    </row>
    <row r="7667" spans="1:1" x14ac:dyDescent="0.25">
      <c r="A7667" t="s">
        <v>8905</v>
      </c>
    </row>
    <row r="7668" spans="1:1" x14ac:dyDescent="0.25">
      <c r="A7668" t="s">
        <v>8906</v>
      </c>
    </row>
    <row r="7669" spans="1:1" x14ac:dyDescent="0.25">
      <c r="A7669" t="s">
        <v>8907</v>
      </c>
    </row>
    <row r="7670" spans="1:1" x14ac:dyDescent="0.25">
      <c r="A7670" t="s">
        <v>8908</v>
      </c>
    </row>
    <row r="7671" spans="1:1" x14ac:dyDescent="0.25">
      <c r="A7671" t="s">
        <v>8909</v>
      </c>
    </row>
    <row r="7672" spans="1:1" x14ac:dyDescent="0.25">
      <c r="A7672" t="s">
        <v>8910</v>
      </c>
    </row>
    <row r="7673" spans="1:1" x14ac:dyDescent="0.25">
      <c r="A7673" t="s">
        <v>8911</v>
      </c>
    </row>
    <row r="7674" spans="1:1" x14ac:dyDescent="0.25">
      <c r="A7674" t="s">
        <v>8912</v>
      </c>
    </row>
    <row r="7675" spans="1:1" x14ac:dyDescent="0.25">
      <c r="A7675" t="s">
        <v>8913</v>
      </c>
    </row>
    <row r="7676" spans="1:1" x14ac:dyDescent="0.25">
      <c r="A7676" t="s">
        <v>8914</v>
      </c>
    </row>
    <row r="7677" spans="1:1" x14ac:dyDescent="0.25">
      <c r="A7677" t="s">
        <v>8915</v>
      </c>
    </row>
    <row r="7678" spans="1:1" x14ac:dyDescent="0.25">
      <c r="A7678" t="s">
        <v>8916</v>
      </c>
    </row>
    <row r="7679" spans="1:1" x14ac:dyDescent="0.25">
      <c r="A7679" t="s">
        <v>8917</v>
      </c>
    </row>
    <row r="7680" spans="1:1" x14ac:dyDescent="0.25">
      <c r="A7680" t="s">
        <v>8918</v>
      </c>
    </row>
    <row r="7681" spans="1:1" x14ac:dyDescent="0.25">
      <c r="A7681" t="s">
        <v>8919</v>
      </c>
    </row>
    <row r="7682" spans="1:1" x14ac:dyDescent="0.25">
      <c r="A7682" t="s">
        <v>8920</v>
      </c>
    </row>
    <row r="7683" spans="1:1" x14ac:dyDescent="0.25">
      <c r="A7683" t="s">
        <v>8921</v>
      </c>
    </row>
    <row r="7684" spans="1:1" x14ac:dyDescent="0.25">
      <c r="A7684" t="s">
        <v>8922</v>
      </c>
    </row>
    <row r="7685" spans="1:1" x14ac:dyDescent="0.25">
      <c r="A7685" t="s">
        <v>8923</v>
      </c>
    </row>
    <row r="7686" spans="1:1" x14ac:dyDescent="0.25">
      <c r="A7686" t="s">
        <v>8924</v>
      </c>
    </row>
    <row r="7687" spans="1:1" x14ac:dyDescent="0.25">
      <c r="A7687" t="s">
        <v>8925</v>
      </c>
    </row>
    <row r="7688" spans="1:1" x14ac:dyDescent="0.25">
      <c r="A7688" t="s">
        <v>8926</v>
      </c>
    </row>
    <row r="7689" spans="1:1" x14ac:dyDescent="0.25">
      <c r="A7689" t="s">
        <v>8927</v>
      </c>
    </row>
    <row r="7690" spans="1:1" x14ac:dyDescent="0.25">
      <c r="A7690" t="s">
        <v>8928</v>
      </c>
    </row>
    <row r="7691" spans="1:1" x14ac:dyDescent="0.25">
      <c r="A7691" t="s">
        <v>8929</v>
      </c>
    </row>
    <row r="7692" spans="1:1" x14ac:dyDescent="0.25">
      <c r="A7692" t="s">
        <v>8930</v>
      </c>
    </row>
    <row r="7693" spans="1:1" x14ac:dyDescent="0.25">
      <c r="A7693" t="s">
        <v>8931</v>
      </c>
    </row>
    <row r="7694" spans="1:1" x14ac:dyDescent="0.25">
      <c r="A7694" t="s">
        <v>8932</v>
      </c>
    </row>
    <row r="7695" spans="1:1" x14ac:dyDescent="0.25">
      <c r="A7695" t="s">
        <v>8933</v>
      </c>
    </row>
    <row r="7696" spans="1:1" x14ac:dyDescent="0.25">
      <c r="A7696" t="s">
        <v>8934</v>
      </c>
    </row>
    <row r="7697" spans="1:1" x14ac:dyDescent="0.25">
      <c r="A7697" t="s">
        <v>8935</v>
      </c>
    </row>
    <row r="7698" spans="1:1" x14ac:dyDescent="0.25">
      <c r="A7698" t="s">
        <v>8936</v>
      </c>
    </row>
    <row r="7699" spans="1:1" x14ac:dyDescent="0.25">
      <c r="A7699" t="s">
        <v>8937</v>
      </c>
    </row>
    <row r="7700" spans="1:1" x14ac:dyDescent="0.25">
      <c r="A7700" t="s">
        <v>8938</v>
      </c>
    </row>
    <row r="7701" spans="1:1" x14ac:dyDescent="0.25">
      <c r="A7701" t="s">
        <v>8939</v>
      </c>
    </row>
    <row r="7702" spans="1:1" x14ac:dyDescent="0.25">
      <c r="A7702" t="s">
        <v>8940</v>
      </c>
    </row>
    <row r="7703" spans="1:1" x14ac:dyDescent="0.25">
      <c r="A7703" t="s">
        <v>8941</v>
      </c>
    </row>
    <row r="7704" spans="1:1" x14ac:dyDescent="0.25">
      <c r="A7704" t="s">
        <v>8942</v>
      </c>
    </row>
    <row r="7705" spans="1:1" x14ac:dyDescent="0.25">
      <c r="A7705" t="s">
        <v>8943</v>
      </c>
    </row>
    <row r="7706" spans="1:1" x14ac:dyDescent="0.25">
      <c r="A7706" t="s">
        <v>8944</v>
      </c>
    </row>
    <row r="7707" spans="1:1" x14ac:dyDescent="0.25">
      <c r="A7707" t="s">
        <v>8945</v>
      </c>
    </row>
    <row r="7708" spans="1:1" x14ac:dyDescent="0.25">
      <c r="A7708" t="s">
        <v>8946</v>
      </c>
    </row>
    <row r="7709" spans="1:1" x14ac:dyDescent="0.25">
      <c r="A7709" t="s">
        <v>8947</v>
      </c>
    </row>
    <row r="7710" spans="1:1" x14ac:dyDescent="0.25">
      <c r="A7710" t="s">
        <v>8948</v>
      </c>
    </row>
    <row r="7711" spans="1:1" x14ac:dyDescent="0.25">
      <c r="A7711" t="s">
        <v>8949</v>
      </c>
    </row>
    <row r="7712" spans="1:1" x14ac:dyDescent="0.25">
      <c r="A7712" t="s">
        <v>8950</v>
      </c>
    </row>
    <row r="7713" spans="1:1" x14ac:dyDescent="0.25">
      <c r="A7713" t="s">
        <v>8951</v>
      </c>
    </row>
    <row r="7714" spans="1:1" x14ac:dyDescent="0.25">
      <c r="A7714" t="s">
        <v>8952</v>
      </c>
    </row>
    <row r="7715" spans="1:1" x14ac:dyDescent="0.25">
      <c r="A7715" t="s">
        <v>8953</v>
      </c>
    </row>
    <row r="7716" spans="1:1" x14ac:dyDescent="0.25">
      <c r="A7716" t="s">
        <v>8954</v>
      </c>
    </row>
    <row r="7717" spans="1:1" x14ac:dyDescent="0.25">
      <c r="A7717" t="s">
        <v>8955</v>
      </c>
    </row>
    <row r="7718" spans="1:1" x14ac:dyDescent="0.25">
      <c r="A7718" t="s">
        <v>8956</v>
      </c>
    </row>
    <row r="7719" spans="1:1" x14ac:dyDescent="0.25">
      <c r="A7719" t="s">
        <v>8957</v>
      </c>
    </row>
    <row r="7720" spans="1:1" x14ac:dyDescent="0.25">
      <c r="A7720" t="s">
        <v>8958</v>
      </c>
    </row>
    <row r="7721" spans="1:1" x14ac:dyDescent="0.25">
      <c r="A7721" t="s">
        <v>8959</v>
      </c>
    </row>
    <row r="7722" spans="1:1" x14ac:dyDescent="0.25">
      <c r="A7722" t="s">
        <v>8960</v>
      </c>
    </row>
    <row r="7723" spans="1:1" x14ac:dyDescent="0.25">
      <c r="A7723" t="s">
        <v>8961</v>
      </c>
    </row>
    <row r="7724" spans="1:1" x14ac:dyDescent="0.25">
      <c r="A7724" t="s">
        <v>8962</v>
      </c>
    </row>
    <row r="7725" spans="1:1" x14ac:dyDescent="0.25">
      <c r="A7725" t="s">
        <v>8963</v>
      </c>
    </row>
    <row r="7726" spans="1:1" x14ac:dyDescent="0.25">
      <c r="A7726" t="s">
        <v>8964</v>
      </c>
    </row>
    <row r="7727" spans="1:1" x14ac:dyDescent="0.25">
      <c r="A7727" t="s">
        <v>8965</v>
      </c>
    </row>
    <row r="7728" spans="1:1" x14ac:dyDescent="0.25">
      <c r="A7728" t="s">
        <v>8966</v>
      </c>
    </row>
    <row r="7729" spans="1:1" x14ac:dyDescent="0.25">
      <c r="A7729" t="s">
        <v>8967</v>
      </c>
    </row>
    <row r="7730" spans="1:1" x14ac:dyDescent="0.25">
      <c r="A7730" t="s">
        <v>8968</v>
      </c>
    </row>
    <row r="7731" spans="1:1" x14ac:dyDescent="0.25">
      <c r="A7731" t="s">
        <v>8969</v>
      </c>
    </row>
    <row r="7732" spans="1:1" x14ac:dyDescent="0.25">
      <c r="A7732" t="s">
        <v>8970</v>
      </c>
    </row>
    <row r="7733" spans="1:1" x14ac:dyDescent="0.25">
      <c r="A7733" t="s">
        <v>8971</v>
      </c>
    </row>
    <row r="7734" spans="1:1" x14ac:dyDescent="0.25">
      <c r="A7734" t="s">
        <v>8972</v>
      </c>
    </row>
    <row r="7735" spans="1:1" x14ac:dyDescent="0.25">
      <c r="A7735" t="s">
        <v>8973</v>
      </c>
    </row>
    <row r="7736" spans="1:1" x14ac:dyDescent="0.25">
      <c r="A7736" t="s">
        <v>8974</v>
      </c>
    </row>
    <row r="7737" spans="1:1" x14ac:dyDescent="0.25">
      <c r="A7737" t="s">
        <v>8975</v>
      </c>
    </row>
    <row r="7738" spans="1:1" x14ac:dyDescent="0.25">
      <c r="A7738" t="s">
        <v>8976</v>
      </c>
    </row>
    <row r="7739" spans="1:1" x14ac:dyDescent="0.25">
      <c r="A7739" t="s">
        <v>8977</v>
      </c>
    </row>
    <row r="7740" spans="1:1" x14ac:dyDescent="0.25">
      <c r="A7740" t="s">
        <v>8978</v>
      </c>
    </row>
    <row r="7741" spans="1:1" x14ac:dyDescent="0.25">
      <c r="A7741" t="s">
        <v>8979</v>
      </c>
    </row>
    <row r="7742" spans="1:1" x14ac:dyDescent="0.25">
      <c r="A7742" t="s">
        <v>8980</v>
      </c>
    </row>
    <row r="7743" spans="1:1" x14ac:dyDescent="0.25">
      <c r="A7743" t="s">
        <v>8981</v>
      </c>
    </row>
    <row r="7744" spans="1:1" x14ac:dyDescent="0.25">
      <c r="A7744" t="s">
        <v>8982</v>
      </c>
    </row>
    <row r="7745" spans="1:1" x14ac:dyDescent="0.25">
      <c r="A7745" t="s">
        <v>8983</v>
      </c>
    </row>
    <row r="7746" spans="1:1" x14ac:dyDescent="0.25">
      <c r="A7746" t="s">
        <v>8984</v>
      </c>
    </row>
    <row r="7747" spans="1:1" x14ac:dyDescent="0.25">
      <c r="A7747" t="s">
        <v>8985</v>
      </c>
    </row>
    <row r="7748" spans="1:1" x14ac:dyDescent="0.25">
      <c r="A7748" t="s">
        <v>8986</v>
      </c>
    </row>
    <row r="7749" spans="1:1" x14ac:dyDescent="0.25">
      <c r="A7749" t="s">
        <v>8987</v>
      </c>
    </row>
    <row r="7750" spans="1:1" x14ac:dyDescent="0.25">
      <c r="A7750" t="s">
        <v>8988</v>
      </c>
    </row>
    <row r="7751" spans="1:1" x14ac:dyDescent="0.25">
      <c r="A7751" t="s">
        <v>8989</v>
      </c>
    </row>
    <row r="7752" spans="1:1" x14ac:dyDescent="0.25">
      <c r="A7752" t="s">
        <v>8990</v>
      </c>
    </row>
    <row r="7753" spans="1:1" x14ac:dyDescent="0.25">
      <c r="A7753" t="s">
        <v>8991</v>
      </c>
    </row>
    <row r="7754" spans="1:1" x14ac:dyDescent="0.25">
      <c r="A7754" t="s">
        <v>8992</v>
      </c>
    </row>
    <row r="7755" spans="1:1" x14ac:dyDescent="0.25">
      <c r="A7755" t="s">
        <v>8993</v>
      </c>
    </row>
    <row r="7756" spans="1:1" x14ac:dyDescent="0.25">
      <c r="A7756" t="s">
        <v>8994</v>
      </c>
    </row>
    <row r="7757" spans="1:1" x14ac:dyDescent="0.25">
      <c r="A7757" t="s">
        <v>8995</v>
      </c>
    </row>
    <row r="7758" spans="1:1" x14ac:dyDescent="0.25">
      <c r="A7758" t="s">
        <v>8996</v>
      </c>
    </row>
    <row r="7759" spans="1:1" x14ac:dyDescent="0.25">
      <c r="A7759" t="s">
        <v>8997</v>
      </c>
    </row>
    <row r="7760" spans="1:1" x14ac:dyDescent="0.25">
      <c r="A7760" t="s">
        <v>8998</v>
      </c>
    </row>
    <row r="7761" spans="1:1" x14ac:dyDescent="0.25">
      <c r="A7761" t="s">
        <v>8999</v>
      </c>
    </row>
    <row r="7762" spans="1:1" x14ac:dyDescent="0.25">
      <c r="A7762" t="s">
        <v>9000</v>
      </c>
    </row>
    <row r="7763" spans="1:1" x14ac:dyDescent="0.25">
      <c r="A7763" t="s">
        <v>9001</v>
      </c>
    </row>
    <row r="7764" spans="1:1" x14ac:dyDescent="0.25">
      <c r="A7764" t="s">
        <v>9002</v>
      </c>
    </row>
    <row r="7765" spans="1:1" x14ac:dyDescent="0.25">
      <c r="A7765" t="s">
        <v>9003</v>
      </c>
    </row>
    <row r="7766" spans="1:1" x14ac:dyDescent="0.25">
      <c r="A7766" t="s">
        <v>9004</v>
      </c>
    </row>
    <row r="7767" spans="1:1" x14ac:dyDescent="0.25">
      <c r="A7767" t="s">
        <v>9005</v>
      </c>
    </row>
    <row r="7768" spans="1:1" x14ac:dyDescent="0.25">
      <c r="A7768" t="s">
        <v>9006</v>
      </c>
    </row>
    <row r="7769" spans="1:1" x14ac:dyDescent="0.25">
      <c r="A7769" t="s">
        <v>9007</v>
      </c>
    </row>
    <row r="7770" spans="1:1" x14ac:dyDescent="0.25">
      <c r="A7770" t="s">
        <v>9008</v>
      </c>
    </row>
    <row r="7771" spans="1:1" x14ac:dyDescent="0.25">
      <c r="A7771" t="s">
        <v>9009</v>
      </c>
    </row>
    <row r="7772" spans="1:1" x14ac:dyDescent="0.25">
      <c r="A7772" t="s">
        <v>9010</v>
      </c>
    </row>
    <row r="7773" spans="1:1" x14ac:dyDescent="0.25">
      <c r="A7773" t="s">
        <v>9011</v>
      </c>
    </row>
    <row r="7774" spans="1:1" x14ac:dyDescent="0.25">
      <c r="A7774" t="s">
        <v>9012</v>
      </c>
    </row>
    <row r="7775" spans="1:1" x14ac:dyDescent="0.25">
      <c r="A7775" t="s">
        <v>9013</v>
      </c>
    </row>
    <row r="7776" spans="1:1" x14ac:dyDescent="0.25">
      <c r="A7776" t="s">
        <v>9014</v>
      </c>
    </row>
    <row r="7777" spans="1:1" x14ac:dyDescent="0.25">
      <c r="A7777" t="s">
        <v>9015</v>
      </c>
    </row>
    <row r="7778" spans="1:1" x14ac:dyDescent="0.25">
      <c r="A7778" t="s">
        <v>9016</v>
      </c>
    </row>
    <row r="7779" spans="1:1" x14ac:dyDescent="0.25">
      <c r="A7779" t="s">
        <v>9017</v>
      </c>
    </row>
    <row r="7780" spans="1:1" x14ac:dyDescent="0.25">
      <c r="A7780" t="s">
        <v>9018</v>
      </c>
    </row>
    <row r="7781" spans="1:1" x14ac:dyDescent="0.25">
      <c r="A7781" t="s">
        <v>9019</v>
      </c>
    </row>
    <row r="7782" spans="1:1" x14ac:dyDescent="0.25">
      <c r="A7782" t="s">
        <v>9020</v>
      </c>
    </row>
    <row r="7783" spans="1:1" x14ac:dyDescent="0.25">
      <c r="A7783" t="s">
        <v>9021</v>
      </c>
    </row>
    <row r="7784" spans="1:1" x14ac:dyDescent="0.25">
      <c r="A7784" t="s">
        <v>9022</v>
      </c>
    </row>
    <row r="7785" spans="1:1" x14ac:dyDescent="0.25">
      <c r="A7785" t="s">
        <v>9023</v>
      </c>
    </row>
    <row r="7786" spans="1:1" x14ac:dyDescent="0.25">
      <c r="A7786" t="s">
        <v>9024</v>
      </c>
    </row>
    <row r="7787" spans="1:1" x14ac:dyDescent="0.25">
      <c r="A7787" t="s">
        <v>9025</v>
      </c>
    </row>
    <row r="7788" spans="1:1" x14ac:dyDescent="0.25">
      <c r="A7788" t="s">
        <v>9026</v>
      </c>
    </row>
    <row r="7789" spans="1:1" x14ac:dyDescent="0.25">
      <c r="A7789" t="s">
        <v>9027</v>
      </c>
    </row>
    <row r="7790" spans="1:1" x14ac:dyDescent="0.25">
      <c r="A7790" t="s">
        <v>9028</v>
      </c>
    </row>
    <row r="7791" spans="1:1" x14ac:dyDescent="0.25">
      <c r="A7791" t="s">
        <v>9029</v>
      </c>
    </row>
    <row r="7792" spans="1:1" x14ac:dyDescent="0.25">
      <c r="A7792" t="s">
        <v>9030</v>
      </c>
    </row>
    <row r="7793" spans="1:1" x14ac:dyDescent="0.25">
      <c r="A7793" t="s">
        <v>9031</v>
      </c>
    </row>
    <row r="7794" spans="1:1" x14ac:dyDescent="0.25">
      <c r="A7794" t="s">
        <v>9032</v>
      </c>
    </row>
    <row r="7795" spans="1:1" x14ac:dyDescent="0.25">
      <c r="A7795" t="s">
        <v>9033</v>
      </c>
    </row>
    <row r="7796" spans="1:1" x14ac:dyDescent="0.25">
      <c r="A7796" t="s">
        <v>9034</v>
      </c>
    </row>
    <row r="7797" spans="1:1" x14ac:dyDescent="0.25">
      <c r="A7797" t="s">
        <v>9035</v>
      </c>
    </row>
    <row r="7798" spans="1:1" x14ac:dyDescent="0.25">
      <c r="A7798" t="s">
        <v>9036</v>
      </c>
    </row>
    <row r="7799" spans="1:1" x14ac:dyDescent="0.25">
      <c r="A7799" t="s">
        <v>9037</v>
      </c>
    </row>
    <row r="7800" spans="1:1" x14ac:dyDescent="0.25">
      <c r="A7800" t="s">
        <v>9038</v>
      </c>
    </row>
    <row r="7801" spans="1:1" x14ac:dyDescent="0.25">
      <c r="A7801" t="s">
        <v>9039</v>
      </c>
    </row>
    <row r="7802" spans="1:1" x14ac:dyDescent="0.25">
      <c r="A7802" t="s">
        <v>9040</v>
      </c>
    </row>
    <row r="7803" spans="1:1" x14ac:dyDescent="0.25">
      <c r="A7803" t="s">
        <v>9041</v>
      </c>
    </row>
    <row r="7804" spans="1:1" x14ac:dyDescent="0.25">
      <c r="A7804" t="s">
        <v>9042</v>
      </c>
    </row>
    <row r="7805" spans="1:1" x14ac:dyDescent="0.25">
      <c r="A7805" t="s">
        <v>9043</v>
      </c>
    </row>
    <row r="7806" spans="1:1" x14ac:dyDescent="0.25">
      <c r="A7806" t="s">
        <v>9044</v>
      </c>
    </row>
    <row r="7807" spans="1:1" x14ac:dyDescent="0.25">
      <c r="A7807" t="s">
        <v>9045</v>
      </c>
    </row>
    <row r="7808" spans="1:1" x14ac:dyDescent="0.25">
      <c r="A7808" t="s">
        <v>9046</v>
      </c>
    </row>
    <row r="7809" spans="1:1" x14ac:dyDescent="0.25">
      <c r="A7809" t="s">
        <v>9047</v>
      </c>
    </row>
    <row r="7810" spans="1:1" x14ac:dyDescent="0.25">
      <c r="A7810" t="s">
        <v>9048</v>
      </c>
    </row>
    <row r="7811" spans="1:1" x14ac:dyDescent="0.25">
      <c r="A7811" t="s">
        <v>9049</v>
      </c>
    </row>
    <row r="7812" spans="1:1" x14ac:dyDescent="0.25">
      <c r="A7812" t="s">
        <v>9050</v>
      </c>
    </row>
    <row r="7813" spans="1:1" x14ac:dyDescent="0.25">
      <c r="A7813" t="s">
        <v>9051</v>
      </c>
    </row>
    <row r="7814" spans="1:1" x14ac:dyDescent="0.25">
      <c r="A7814" t="s">
        <v>9052</v>
      </c>
    </row>
    <row r="7815" spans="1:1" x14ac:dyDescent="0.25">
      <c r="A7815" t="s">
        <v>9053</v>
      </c>
    </row>
    <row r="7816" spans="1:1" x14ac:dyDescent="0.25">
      <c r="A7816" t="s">
        <v>9054</v>
      </c>
    </row>
    <row r="7817" spans="1:1" x14ac:dyDescent="0.25">
      <c r="A7817" t="s">
        <v>9055</v>
      </c>
    </row>
    <row r="7818" spans="1:1" x14ac:dyDescent="0.25">
      <c r="A7818" t="s">
        <v>9056</v>
      </c>
    </row>
    <row r="7819" spans="1:1" x14ac:dyDescent="0.25">
      <c r="A7819" t="s">
        <v>9057</v>
      </c>
    </row>
    <row r="7820" spans="1:1" x14ac:dyDescent="0.25">
      <c r="A7820" t="s">
        <v>9058</v>
      </c>
    </row>
    <row r="7821" spans="1:1" x14ac:dyDescent="0.25">
      <c r="A7821" t="s">
        <v>9059</v>
      </c>
    </row>
    <row r="7822" spans="1:1" x14ac:dyDescent="0.25">
      <c r="A7822" t="s">
        <v>9060</v>
      </c>
    </row>
    <row r="7823" spans="1:1" x14ac:dyDescent="0.25">
      <c r="A7823" t="s">
        <v>9061</v>
      </c>
    </row>
    <row r="7824" spans="1:1" x14ac:dyDescent="0.25">
      <c r="A7824" t="s">
        <v>9062</v>
      </c>
    </row>
    <row r="7825" spans="1:1" x14ac:dyDescent="0.25">
      <c r="A7825" t="s">
        <v>9063</v>
      </c>
    </row>
    <row r="7826" spans="1:1" x14ac:dyDescent="0.25">
      <c r="A7826" t="s">
        <v>9064</v>
      </c>
    </row>
    <row r="7827" spans="1:1" x14ac:dyDescent="0.25">
      <c r="A7827" t="s">
        <v>9065</v>
      </c>
    </row>
    <row r="7828" spans="1:1" x14ac:dyDescent="0.25">
      <c r="A7828" t="s">
        <v>9066</v>
      </c>
    </row>
    <row r="7829" spans="1:1" x14ac:dyDescent="0.25">
      <c r="A7829" t="s">
        <v>9067</v>
      </c>
    </row>
    <row r="7830" spans="1:1" x14ac:dyDescent="0.25">
      <c r="A7830" t="s">
        <v>9068</v>
      </c>
    </row>
    <row r="7831" spans="1:1" x14ac:dyDescent="0.25">
      <c r="A7831" t="s">
        <v>9069</v>
      </c>
    </row>
    <row r="7832" spans="1:1" x14ac:dyDescent="0.25">
      <c r="A7832" t="s">
        <v>9070</v>
      </c>
    </row>
    <row r="7833" spans="1:1" x14ac:dyDescent="0.25">
      <c r="A7833" t="s">
        <v>9071</v>
      </c>
    </row>
    <row r="7834" spans="1:1" x14ac:dyDescent="0.25">
      <c r="A7834" t="s">
        <v>9072</v>
      </c>
    </row>
    <row r="7835" spans="1:1" x14ac:dyDescent="0.25">
      <c r="A7835" t="s">
        <v>9073</v>
      </c>
    </row>
    <row r="7836" spans="1:1" x14ac:dyDescent="0.25">
      <c r="A7836" t="s">
        <v>9074</v>
      </c>
    </row>
    <row r="7837" spans="1:1" x14ac:dyDescent="0.25">
      <c r="A7837" t="s">
        <v>9075</v>
      </c>
    </row>
    <row r="7838" spans="1:1" x14ac:dyDescent="0.25">
      <c r="A7838" t="s">
        <v>9076</v>
      </c>
    </row>
    <row r="7839" spans="1:1" x14ac:dyDescent="0.25">
      <c r="A7839" t="s">
        <v>9077</v>
      </c>
    </row>
    <row r="7840" spans="1:1" x14ac:dyDescent="0.25">
      <c r="A7840" t="s">
        <v>9078</v>
      </c>
    </row>
    <row r="7841" spans="1:1" x14ac:dyDescent="0.25">
      <c r="A7841" t="s">
        <v>9079</v>
      </c>
    </row>
    <row r="7842" spans="1:1" x14ac:dyDescent="0.25">
      <c r="A7842" t="s">
        <v>9080</v>
      </c>
    </row>
    <row r="7843" spans="1:1" x14ac:dyDescent="0.25">
      <c r="A7843" t="s">
        <v>9081</v>
      </c>
    </row>
    <row r="7844" spans="1:1" x14ac:dyDescent="0.25">
      <c r="A7844" t="s">
        <v>9082</v>
      </c>
    </row>
    <row r="7845" spans="1:1" x14ac:dyDescent="0.25">
      <c r="A7845" t="s">
        <v>9083</v>
      </c>
    </row>
    <row r="7846" spans="1:1" x14ac:dyDescent="0.25">
      <c r="A7846" t="s">
        <v>9084</v>
      </c>
    </row>
    <row r="7847" spans="1:1" x14ac:dyDescent="0.25">
      <c r="A7847" t="s">
        <v>9085</v>
      </c>
    </row>
    <row r="7848" spans="1:1" x14ac:dyDescent="0.25">
      <c r="A7848" t="s">
        <v>9086</v>
      </c>
    </row>
    <row r="7849" spans="1:1" x14ac:dyDescent="0.25">
      <c r="A7849" t="s">
        <v>9087</v>
      </c>
    </row>
    <row r="7850" spans="1:1" x14ac:dyDescent="0.25">
      <c r="A7850" t="s">
        <v>9088</v>
      </c>
    </row>
    <row r="7851" spans="1:1" x14ac:dyDescent="0.25">
      <c r="A7851" t="s">
        <v>9089</v>
      </c>
    </row>
    <row r="7852" spans="1:1" x14ac:dyDescent="0.25">
      <c r="A7852" t="s">
        <v>9090</v>
      </c>
    </row>
    <row r="7853" spans="1:1" x14ac:dyDescent="0.25">
      <c r="A7853" t="s">
        <v>9091</v>
      </c>
    </row>
    <row r="7854" spans="1:1" x14ac:dyDescent="0.25">
      <c r="A7854" t="s">
        <v>9092</v>
      </c>
    </row>
    <row r="7855" spans="1:1" x14ac:dyDescent="0.25">
      <c r="A7855" t="s">
        <v>9093</v>
      </c>
    </row>
    <row r="7856" spans="1:1" x14ac:dyDescent="0.25">
      <c r="A7856" t="s">
        <v>9094</v>
      </c>
    </row>
    <row r="7857" spans="1:1" x14ac:dyDescent="0.25">
      <c r="A7857" t="s">
        <v>9095</v>
      </c>
    </row>
    <row r="7858" spans="1:1" x14ac:dyDescent="0.25">
      <c r="A7858" t="s">
        <v>9096</v>
      </c>
    </row>
    <row r="7859" spans="1:1" x14ac:dyDescent="0.25">
      <c r="A7859" t="s">
        <v>9097</v>
      </c>
    </row>
    <row r="7860" spans="1:1" x14ac:dyDescent="0.25">
      <c r="A7860" t="s">
        <v>9098</v>
      </c>
    </row>
    <row r="7861" spans="1:1" x14ac:dyDescent="0.25">
      <c r="A7861" t="s">
        <v>9099</v>
      </c>
    </row>
    <row r="7862" spans="1:1" x14ac:dyDescent="0.25">
      <c r="A7862" t="s">
        <v>9100</v>
      </c>
    </row>
    <row r="7863" spans="1:1" x14ac:dyDescent="0.25">
      <c r="A7863" t="s">
        <v>9101</v>
      </c>
    </row>
    <row r="7864" spans="1:1" x14ac:dyDescent="0.25">
      <c r="A7864" t="s">
        <v>9102</v>
      </c>
    </row>
    <row r="7865" spans="1:1" x14ac:dyDescent="0.25">
      <c r="A7865" t="s">
        <v>9103</v>
      </c>
    </row>
    <row r="7866" spans="1:1" x14ac:dyDescent="0.25">
      <c r="A7866" t="s">
        <v>9104</v>
      </c>
    </row>
    <row r="7867" spans="1:1" x14ac:dyDescent="0.25">
      <c r="A7867" t="s">
        <v>9105</v>
      </c>
    </row>
    <row r="7868" spans="1:1" x14ac:dyDescent="0.25">
      <c r="A7868" t="s">
        <v>9106</v>
      </c>
    </row>
    <row r="7869" spans="1:1" x14ac:dyDescent="0.25">
      <c r="A7869" t="s">
        <v>9107</v>
      </c>
    </row>
    <row r="7870" spans="1:1" x14ac:dyDescent="0.25">
      <c r="A7870" t="s">
        <v>9108</v>
      </c>
    </row>
    <row r="7871" spans="1:1" x14ac:dyDescent="0.25">
      <c r="A7871" t="s">
        <v>9109</v>
      </c>
    </row>
    <row r="7872" spans="1:1" x14ac:dyDescent="0.25">
      <c r="A7872" t="s">
        <v>9110</v>
      </c>
    </row>
    <row r="7873" spans="1:1" x14ac:dyDescent="0.25">
      <c r="A7873" t="s">
        <v>9111</v>
      </c>
    </row>
    <row r="7874" spans="1:1" x14ac:dyDescent="0.25">
      <c r="A7874" t="s">
        <v>9112</v>
      </c>
    </row>
    <row r="7875" spans="1:1" x14ac:dyDescent="0.25">
      <c r="A7875" t="s">
        <v>9113</v>
      </c>
    </row>
    <row r="7876" spans="1:1" x14ac:dyDescent="0.25">
      <c r="A7876" t="s">
        <v>9114</v>
      </c>
    </row>
    <row r="7877" spans="1:1" x14ac:dyDescent="0.25">
      <c r="A7877" t="s">
        <v>9115</v>
      </c>
    </row>
    <row r="7878" spans="1:1" x14ac:dyDescent="0.25">
      <c r="A7878" t="s">
        <v>9116</v>
      </c>
    </row>
    <row r="7879" spans="1:1" x14ac:dyDescent="0.25">
      <c r="A7879" t="s">
        <v>9117</v>
      </c>
    </row>
    <row r="7880" spans="1:1" x14ac:dyDescent="0.25">
      <c r="A7880" t="s">
        <v>9118</v>
      </c>
    </row>
    <row r="7881" spans="1:1" x14ac:dyDescent="0.25">
      <c r="A7881" t="s">
        <v>4880</v>
      </c>
    </row>
    <row r="7882" spans="1:1" x14ac:dyDescent="0.25">
      <c r="A7882" t="s">
        <v>4881</v>
      </c>
    </row>
    <row r="7883" spans="1:1" x14ac:dyDescent="0.25">
      <c r="A7883" t="s">
        <v>4882</v>
      </c>
    </row>
    <row r="7884" spans="1:1" x14ac:dyDescent="0.25">
      <c r="A7884" t="s">
        <v>4883</v>
      </c>
    </row>
    <row r="7885" spans="1:1" x14ac:dyDescent="0.25">
      <c r="A7885" t="s">
        <v>4884</v>
      </c>
    </row>
    <row r="7886" spans="1:1" x14ac:dyDescent="0.25">
      <c r="A7886" t="s">
        <v>4885</v>
      </c>
    </row>
    <row r="7887" spans="1:1" x14ac:dyDescent="0.25">
      <c r="A7887" t="s">
        <v>4886</v>
      </c>
    </row>
    <row r="7888" spans="1:1" x14ac:dyDescent="0.25">
      <c r="A7888" t="s">
        <v>4887</v>
      </c>
    </row>
    <row r="7889" spans="1:1" x14ac:dyDescent="0.25">
      <c r="A7889" t="s">
        <v>4888</v>
      </c>
    </row>
    <row r="7890" spans="1:1" x14ac:dyDescent="0.25">
      <c r="A7890" t="s">
        <v>4889</v>
      </c>
    </row>
    <row r="7891" spans="1:1" x14ac:dyDescent="0.25">
      <c r="A7891" t="s">
        <v>4890</v>
      </c>
    </row>
    <row r="7892" spans="1:1" x14ac:dyDescent="0.25">
      <c r="A7892" t="s">
        <v>4891</v>
      </c>
    </row>
    <row r="7893" spans="1:1" x14ac:dyDescent="0.25">
      <c r="A7893" t="s">
        <v>4892</v>
      </c>
    </row>
    <row r="7894" spans="1:1" x14ac:dyDescent="0.25">
      <c r="A7894" t="s">
        <v>4893</v>
      </c>
    </row>
    <row r="7895" spans="1:1" x14ac:dyDescent="0.25">
      <c r="A7895" t="s">
        <v>4894</v>
      </c>
    </row>
    <row r="7896" spans="1:1" x14ac:dyDescent="0.25">
      <c r="A7896" t="s">
        <v>4895</v>
      </c>
    </row>
    <row r="7897" spans="1:1" x14ac:dyDescent="0.25">
      <c r="A7897" t="s">
        <v>4896</v>
      </c>
    </row>
    <row r="7898" spans="1:1" x14ac:dyDescent="0.25">
      <c r="A7898" t="s">
        <v>4897</v>
      </c>
    </row>
    <row r="7899" spans="1:1" x14ac:dyDescent="0.25">
      <c r="A7899" t="s">
        <v>4898</v>
      </c>
    </row>
    <row r="7900" spans="1:1" x14ac:dyDescent="0.25">
      <c r="A7900" t="s">
        <v>4899</v>
      </c>
    </row>
    <row r="7901" spans="1:1" x14ac:dyDescent="0.25">
      <c r="A7901" t="s">
        <v>4900</v>
      </c>
    </row>
    <row r="7902" spans="1:1" x14ac:dyDescent="0.25">
      <c r="A7902" t="s">
        <v>4901</v>
      </c>
    </row>
    <row r="7903" spans="1:1" x14ac:dyDescent="0.25">
      <c r="A7903" t="s">
        <v>4902</v>
      </c>
    </row>
    <row r="7904" spans="1:1" x14ac:dyDescent="0.25">
      <c r="A7904" t="s">
        <v>4903</v>
      </c>
    </row>
    <row r="7905" spans="1:1" x14ac:dyDescent="0.25">
      <c r="A7905" t="s">
        <v>4904</v>
      </c>
    </row>
    <row r="7906" spans="1:1" x14ac:dyDescent="0.25">
      <c r="A7906" t="s">
        <v>4905</v>
      </c>
    </row>
    <row r="7907" spans="1:1" x14ac:dyDescent="0.25">
      <c r="A7907" t="s">
        <v>4906</v>
      </c>
    </row>
    <row r="7908" spans="1:1" x14ac:dyDescent="0.25">
      <c r="A7908" t="s">
        <v>4907</v>
      </c>
    </row>
    <row r="7909" spans="1:1" x14ac:dyDescent="0.25">
      <c r="A7909" t="s">
        <v>4908</v>
      </c>
    </row>
    <row r="7910" spans="1:1" x14ac:dyDescent="0.25">
      <c r="A7910" t="s">
        <v>4909</v>
      </c>
    </row>
    <row r="7911" spans="1:1" x14ac:dyDescent="0.25">
      <c r="A7911" t="s">
        <v>4910</v>
      </c>
    </row>
    <row r="7912" spans="1:1" x14ac:dyDescent="0.25">
      <c r="A7912" t="s">
        <v>4911</v>
      </c>
    </row>
    <row r="7913" spans="1:1" x14ac:dyDescent="0.25">
      <c r="A7913" t="s">
        <v>4912</v>
      </c>
    </row>
    <row r="7914" spans="1:1" x14ac:dyDescent="0.25">
      <c r="A7914" t="s">
        <v>4913</v>
      </c>
    </row>
    <row r="7915" spans="1:1" x14ac:dyDescent="0.25">
      <c r="A7915" t="s">
        <v>4914</v>
      </c>
    </row>
    <row r="7916" spans="1:1" x14ac:dyDescent="0.25">
      <c r="A7916" t="s">
        <v>4915</v>
      </c>
    </row>
    <row r="7917" spans="1:1" x14ac:dyDescent="0.25">
      <c r="A7917" t="s">
        <v>4916</v>
      </c>
    </row>
    <row r="7918" spans="1:1" x14ac:dyDescent="0.25">
      <c r="A7918" t="s">
        <v>4917</v>
      </c>
    </row>
    <row r="7919" spans="1:1" x14ac:dyDescent="0.25">
      <c r="A7919" t="s">
        <v>4918</v>
      </c>
    </row>
    <row r="7920" spans="1:1" x14ac:dyDescent="0.25">
      <c r="A7920" t="s">
        <v>4919</v>
      </c>
    </row>
    <row r="7921" spans="1:1" x14ac:dyDescent="0.25">
      <c r="A7921" t="s">
        <v>4920</v>
      </c>
    </row>
    <row r="7922" spans="1:1" x14ac:dyDescent="0.25">
      <c r="A7922" t="s">
        <v>4921</v>
      </c>
    </row>
    <row r="7923" spans="1:1" x14ac:dyDescent="0.25">
      <c r="A7923" t="s">
        <v>4922</v>
      </c>
    </row>
    <row r="7924" spans="1:1" x14ac:dyDescent="0.25">
      <c r="A7924" t="s">
        <v>4923</v>
      </c>
    </row>
    <row r="7925" spans="1:1" x14ac:dyDescent="0.25">
      <c r="A7925" t="s">
        <v>4924</v>
      </c>
    </row>
    <row r="7926" spans="1:1" x14ac:dyDescent="0.25">
      <c r="A7926" t="s">
        <v>4925</v>
      </c>
    </row>
    <row r="7927" spans="1:1" x14ac:dyDescent="0.25">
      <c r="A7927" t="s">
        <v>4926</v>
      </c>
    </row>
    <row r="7928" spans="1:1" x14ac:dyDescent="0.25">
      <c r="A7928" t="s">
        <v>4927</v>
      </c>
    </row>
    <row r="7929" spans="1:1" x14ac:dyDescent="0.25">
      <c r="A7929" t="s">
        <v>4928</v>
      </c>
    </row>
    <row r="7930" spans="1:1" x14ac:dyDescent="0.25">
      <c r="A7930" t="s">
        <v>4929</v>
      </c>
    </row>
    <row r="7931" spans="1:1" x14ac:dyDescent="0.25">
      <c r="A7931" t="s">
        <v>4930</v>
      </c>
    </row>
    <row r="7932" spans="1:1" x14ac:dyDescent="0.25">
      <c r="A7932" t="s">
        <v>4931</v>
      </c>
    </row>
    <row r="7933" spans="1:1" x14ac:dyDescent="0.25">
      <c r="A7933" t="s">
        <v>4932</v>
      </c>
    </row>
    <row r="7934" spans="1:1" x14ac:dyDescent="0.25">
      <c r="A7934" t="s">
        <v>4933</v>
      </c>
    </row>
    <row r="7935" spans="1:1" x14ac:dyDescent="0.25">
      <c r="A7935" t="s">
        <v>4934</v>
      </c>
    </row>
    <row r="7936" spans="1:1" x14ac:dyDescent="0.25">
      <c r="A7936" t="s">
        <v>4935</v>
      </c>
    </row>
    <row r="7937" spans="1:1" x14ac:dyDescent="0.25">
      <c r="A7937" t="s">
        <v>4936</v>
      </c>
    </row>
    <row r="7938" spans="1:1" x14ac:dyDescent="0.25">
      <c r="A7938" t="s">
        <v>4937</v>
      </c>
    </row>
    <row r="7939" spans="1:1" x14ac:dyDescent="0.25">
      <c r="A7939" t="s">
        <v>4938</v>
      </c>
    </row>
    <row r="7940" spans="1:1" x14ac:dyDescent="0.25">
      <c r="A7940" t="s">
        <v>4939</v>
      </c>
    </row>
    <row r="7941" spans="1:1" x14ac:dyDescent="0.25">
      <c r="A7941" t="s">
        <v>4940</v>
      </c>
    </row>
    <row r="7942" spans="1:1" x14ac:dyDescent="0.25">
      <c r="A7942" t="s">
        <v>4941</v>
      </c>
    </row>
    <row r="7943" spans="1:1" x14ac:dyDescent="0.25">
      <c r="A7943" t="s">
        <v>4942</v>
      </c>
    </row>
    <row r="7944" spans="1:1" x14ac:dyDescent="0.25">
      <c r="A7944" t="s">
        <v>4943</v>
      </c>
    </row>
    <row r="7945" spans="1:1" x14ac:dyDescent="0.25">
      <c r="A7945" t="s">
        <v>4944</v>
      </c>
    </row>
    <row r="7946" spans="1:1" x14ac:dyDescent="0.25">
      <c r="A7946" t="s">
        <v>4945</v>
      </c>
    </row>
    <row r="7947" spans="1:1" x14ac:dyDescent="0.25">
      <c r="A7947" t="s">
        <v>4946</v>
      </c>
    </row>
    <row r="7948" spans="1:1" x14ac:dyDescent="0.25">
      <c r="A7948" t="s">
        <v>4947</v>
      </c>
    </row>
    <row r="7949" spans="1:1" x14ac:dyDescent="0.25">
      <c r="A7949" t="s">
        <v>4948</v>
      </c>
    </row>
    <row r="7950" spans="1:1" x14ac:dyDescent="0.25">
      <c r="A7950" t="s">
        <v>4949</v>
      </c>
    </row>
    <row r="7951" spans="1:1" x14ac:dyDescent="0.25">
      <c r="A7951" t="s">
        <v>4950</v>
      </c>
    </row>
    <row r="7952" spans="1:1" x14ac:dyDescent="0.25">
      <c r="A7952" t="s">
        <v>4951</v>
      </c>
    </row>
    <row r="7953" spans="1:1" x14ac:dyDescent="0.25">
      <c r="A7953" t="s">
        <v>4952</v>
      </c>
    </row>
    <row r="7954" spans="1:1" x14ac:dyDescent="0.25">
      <c r="A7954" t="s">
        <v>4953</v>
      </c>
    </row>
    <row r="7955" spans="1:1" x14ac:dyDescent="0.25">
      <c r="A7955" t="s">
        <v>4954</v>
      </c>
    </row>
    <row r="7956" spans="1:1" x14ac:dyDescent="0.25">
      <c r="A7956" t="s">
        <v>4955</v>
      </c>
    </row>
    <row r="7957" spans="1:1" x14ac:dyDescent="0.25">
      <c r="A7957" t="s">
        <v>4956</v>
      </c>
    </row>
    <row r="7958" spans="1:1" x14ac:dyDescent="0.25">
      <c r="A7958" t="s">
        <v>4957</v>
      </c>
    </row>
    <row r="7959" spans="1:1" x14ac:dyDescent="0.25">
      <c r="A7959" t="s">
        <v>4958</v>
      </c>
    </row>
    <row r="7960" spans="1:1" x14ac:dyDescent="0.25">
      <c r="A7960" t="s">
        <v>4959</v>
      </c>
    </row>
    <row r="7961" spans="1:1" x14ac:dyDescent="0.25">
      <c r="A7961" t="s">
        <v>4960</v>
      </c>
    </row>
    <row r="7962" spans="1:1" x14ac:dyDescent="0.25">
      <c r="A7962" t="s">
        <v>4961</v>
      </c>
    </row>
    <row r="7963" spans="1:1" x14ac:dyDescent="0.25">
      <c r="A7963" t="s">
        <v>4962</v>
      </c>
    </row>
    <row r="7964" spans="1:1" x14ac:dyDescent="0.25">
      <c r="A7964" t="s">
        <v>4963</v>
      </c>
    </row>
    <row r="7965" spans="1:1" x14ac:dyDescent="0.25">
      <c r="A7965" t="s">
        <v>4964</v>
      </c>
    </row>
    <row r="7966" spans="1:1" x14ac:dyDescent="0.25">
      <c r="A7966" t="s">
        <v>4965</v>
      </c>
    </row>
    <row r="7967" spans="1:1" x14ac:dyDescent="0.25">
      <c r="A7967" t="s">
        <v>4966</v>
      </c>
    </row>
    <row r="7968" spans="1:1" x14ac:dyDescent="0.25">
      <c r="A7968" t="s">
        <v>4967</v>
      </c>
    </row>
    <row r="7969" spans="1:1" x14ac:dyDescent="0.25">
      <c r="A7969" t="s">
        <v>4968</v>
      </c>
    </row>
    <row r="7970" spans="1:1" x14ac:dyDescent="0.25">
      <c r="A7970" t="s">
        <v>4969</v>
      </c>
    </row>
    <row r="7971" spans="1:1" x14ac:dyDescent="0.25">
      <c r="A7971" t="s">
        <v>4970</v>
      </c>
    </row>
    <row r="7972" spans="1:1" x14ac:dyDescent="0.25">
      <c r="A7972" t="s">
        <v>4971</v>
      </c>
    </row>
    <row r="7973" spans="1:1" x14ac:dyDescent="0.25">
      <c r="A7973" t="s">
        <v>4972</v>
      </c>
    </row>
    <row r="7974" spans="1:1" x14ac:dyDescent="0.25">
      <c r="A7974" t="s">
        <v>4973</v>
      </c>
    </row>
    <row r="7975" spans="1:1" x14ac:dyDescent="0.25">
      <c r="A7975" t="s">
        <v>4974</v>
      </c>
    </row>
    <row r="7976" spans="1:1" x14ac:dyDescent="0.25">
      <c r="A7976" t="s">
        <v>4975</v>
      </c>
    </row>
    <row r="7977" spans="1:1" x14ac:dyDescent="0.25">
      <c r="A7977" t="s">
        <v>4976</v>
      </c>
    </row>
    <row r="7978" spans="1:1" x14ac:dyDescent="0.25">
      <c r="A7978" t="s">
        <v>4977</v>
      </c>
    </row>
    <row r="7979" spans="1:1" x14ac:dyDescent="0.25">
      <c r="A7979" t="s">
        <v>4978</v>
      </c>
    </row>
    <row r="7980" spans="1:1" x14ac:dyDescent="0.25">
      <c r="A7980" t="s">
        <v>4979</v>
      </c>
    </row>
    <row r="7981" spans="1:1" x14ac:dyDescent="0.25">
      <c r="A7981" t="s">
        <v>4980</v>
      </c>
    </row>
    <row r="7982" spans="1:1" x14ac:dyDescent="0.25">
      <c r="A7982" t="s">
        <v>4981</v>
      </c>
    </row>
    <row r="7983" spans="1:1" x14ac:dyDescent="0.25">
      <c r="A7983" t="s">
        <v>4982</v>
      </c>
    </row>
    <row r="7984" spans="1:1" x14ac:dyDescent="0.25">
      <c r="A7984" t="s">
        <v>4983</v>
      </c>
    </row>
    <row r="7985" spans="1:1" x14ac:dyDescent="0.25">
      <c r="A7985" t="s">
        <v>4984</v>
      </c>
    </row>
    <row r="7986" spans="1:1" x14ac:dyDescent="0.25">
      <c r="A7986" t="s">
        <v>4985</v>
      </c>
    </row>
    <row r="7987" spans="1:1" x14ac:dyDescent="0.25">
      <c r="A7987" t="s">
        <v>4986</v>
      </c>
    </row>
    <row r="7988" spans="1:1" x14ac:dyDescent="0.25">
      <c r="A7988" t="s">
        <v>4987</v>
      </c>
    </row>
    <row r="7989" spans="1:1" x14ac:dyDescent="0.25">
      <c r="A7989" t="s">
        <v>4988</v>
      </c>
    </row>
    <row r="7990" spans="1:1" x14ac:dyDescent="0.25">
      <c r="A7990" t="s">
        <v>4989</v>
      </c>
    </row>
    <row r="7991" spans="1:1" x14ac:dyDescent="0.25">
      <c r="A7991" t="s">
        <v>4990</v>
      </c>
    </row>
    <row r="7992" spans="1:1" x14ac:dyDescent="0.25">
      <c r="A7992" t="s">
        <v>4991</v>
      </c>
    </row>
    <row r="7993" spans="1:1" x14ac:dyDescent="0.25">
      <c r="A7993" t="s">
        <v>4992</v>
      </c>
    </row>
    <row r="7994" spans="1:1" x14ac:dyDescent="0.25">
      <c r="A7994" t="s">
        <v>4993</v>
      </c>
    </row>
    <row r="7995" spans="1:1" x14ac:dyDescent="0.25">
      <c r="A7995" t="s">
        <v>4994</v>
      </c>
    </row>
    <row r="7996" spans="1:1" x14ac:dyDescent="0.25">
      <c r="A7996" t="s">
        <v>4995</v>
      </c>
    </row>
    <row r="7997" spans="1:1" x14ac:dyDescent="0.25">
      <c r="A7997" t="s">
        <v>4996</v>
      </c>
    </row>
    <row r="7998" spans="1:1" x14ac:dyDescent="0.25">
      <c r="A7998" t="s">
        <v>4997</v>
      </c>
    </row>
    <row r="7999" spans="1:1" x14ac:dyDescent="0.25">
      <c r="A7999" t="s">
        <v>4998</v>
      </c>
    </row>
    <row r="8000" spans="1:1" x14ac:dyDescent="0.25">
      <c r="A8000" t="s">
        <v>4999</v>
      </c>
    </row>
    <row r="8001" spans="1:1" x14ac:dyDescent="0.25">
      <c r="A8001" t="s">
        <v>5000</v>
      </c>
    </row>
    <row r="8002" spans="1:1" x14ac:dyDescent="0.25">
      <c r="A8002" t="s">
        <v>5001</v>
      </c>
    </row>
    <row r="8003" spans="1:1" x14ac:dyDescent="0.25">
      <c r="A8003" t="s">
        <v>5002</v>
      </c>
    </row>
    <row r="8004" spans="1:1" x14ac:dyDescent="0.25">
      <c r="A8004" t="s">
        <v>5003</v>
      </c>
    </row>
    <row r="8005" spans="1:1" x14ac:dyDescent="0.25">
      <c r="A8005" t="s">
        <v>5004</v>
      </c>
    </row>
    <row r="8006" spans="1:1" x14ac:dyDescent="0.25">
      <c r="A8006" t="s">
        <v>5005</v>
      </c>
    </row>
    <row r="8007" spans="1:1" x14ac:dyDescent="0.25">
      <c r="A8007" t="s">
        <v>5006</v>
      </c>
    </row>
    <row r="8008" spans="1:1" x14ac:dyDescent="0.25">
      <c r="A8008" t="s">
        <v>5007</v>
      </c>
    </row>
    <row r="8009" spans="1:1" x14ac:dyDescent="0.25">
      <c r="A8009" t="s">
        <v>5008</v>
      </c>
    </row>
    <row r="8010" spans="1:1" x14ac:dyDescent="0.25">
      <c r="A8010" t="s">
        <v>5009</v>
      </c>
    </row>
    <row r="8011" spans="1:1" x14ac:dyDescent="0.25">
      <c r="A8011" t="s">
        <v>5010</v>
      </c>
    </row>
    <row r="8012" spans="1:1" x14ac:dyDescent="0.25">
      <c r="A8012" t="s">
        <v>5011</v>
      </c>
    </row>
    <row r="8013" spans="1:1" x14ac:dyDescent="0.25">
      <c r="A8013" t="s">
        <v>5012</v>
      </c>
    </row>
    <row r="8014" spans="1:1" x14ac:dyDescent="0.25">
      <c r="A8014" t="s">
        <v>5013</v>
      </c>
    </row>
    <row r="8015" spans="1:1" x14ac:dyDescent="0.25">
      <c r="A8015" t="s">
        <v>5014</v>
      </c>
    </row>
    <row r="8016" spans="1:1" x14ac:dyDescent="0.25">
      <c r="A8016" t="s">
        <v>5015</v>
      </c>
    </row>
    <row r="8017" spans="1:1" x14ac:dyDescent="0.25">
      <c r="A8017" t="s">
        <v>5016</v>
      </c>
    </row>
    <row r="8018" spans="1:1" x14ac:dyDescent="0.25">
      <c r="A8018" t="s">
        <v>5017</v>
      </c>
    </row>
    <row r="8019" spans="1:1" x14ac:dyDescent="0.25">
      <c r="A8019" t="s">
        <v>5018</v>
      </c>
    </row>
    <row r="8020" spans="1:1" x14ac:dyDescent="0.25">
      <c r="A8020" t="s">
        <v>5019</v>
      </c>
    </row>
    <row r="8021" spans="1:1" x14ac:dyDescent="0.25">
      <c r="A8021" t="s">
        <v>5020</v>
      </c>
    </row>
    <row r="8022" spans="1:1" x14ac:dyDescent="0.25">
      <c r="A8022" t="s">
        <v>5021</v>
      </c>
    </row>
    <row r="8023" spans="1:1" x14ac:dyDescent="0.25">
      <c r="A8023" t="s">
        <v>5022</v>
      </c>
    </row>
    <row r="8024" spans="1:1" x14ac:dyDescent="0.25">
      <c r="A8024" t="s">
        <v>5023</v>
      </c>
    </row>
    <row r="8025" spans="1:1" x14ac:dyDescent="0.25">
      <c r="A8025" t="s">
        <v>5024</v>
      </c>
    </row>
    <row r="8026" spans="1:1" x14ac:dyDescent="0.25">
      <c r="A8026" t="s">
        <v>5025</v>
      </c>
    </row>
    <row r="8027" spans="1:1" x14ac:dyDescent="0.25">
      <c r="A8027" t="s">
        <v>5026</v>
      </c>
    </row>
    <row r="8028" spans="1:1" x14ac:dyDescent="0.25">
      <c r="A8028" t="s">
        <v>5027</v>
      </c>
    </row>
    <row r="8029" spans="1:1" x14ac:dyDescent="0.25">
      <c r="A8029" t="s">
        <v>5028</v>
      </c>
    </row>
    <row r="8030" spans="1:1" x14ac:dyDescent="0.25">
      <c r="A8030" t="s">
        <v>5029</v>
      </c>
    </row>
    <row r="8031" spans="1:1" x14ac:dyDescent="0.25">
      <c r="A8031" t="s">
        <v>5030</v>
      </c>
    </row>
    <row r="8032" spans="1:1" x14ac:dyDescent="0.25">
      <c r="A8032" t="s">
        <v>5031</v>
      </c>
    </row>
    <row r="8033" spans="1:1" x14ac:dyDescent="0.25">
      <c r="A8033" t="s">
        <v>5032</v>
      </c>
    </row>
    <row r="8034" spans="1:1" x14ac:dyDescent="0.25">
      <c r="A8034" t="s">
        <v>5033</v>
      </c>
    </row>
    <row r="8035" spans="1:1" x14ac:dyDescent="0.25">
      <c r="A8035" t="s">
        <v>5034</v>
      </c>
    </row>
    <row r="8036" spans="1:1" x14ac:dyDescent="0.25">
      <c r="A8036" t="s">
        <v>5035</v>
      </c>
    </row>
    <row r="8037" spans="1:1" x14ac:dyDescent="0.25">
      <c r="A8037" t="s">
        <v>5036</v>
      </c>
    </row>
    <row r="8038" spans="1:1" x14ac:dyDescent="0.25">
      <c r="A8038" t="s">
        <v>5037</v>
      </c>
    </row>
    <row r="8039" spans="1:1" x14ac:dyDescent="0.25">
      <c r="A8039" t="s">
        <v>5038</v>
      </c>
    </row>
    <row r="8040" spans="1:1" x14ac:dyDescent="0.25">
      <c r="A8040" t="s">
        <v>5039</v>
      </c>
    </row>
    <row r="8041" spans="1:1" x14ac:dyDescent="0.25">
      <c r="A8041" t="s">
        <v>5040</v>
      </c>
    </row>
    <row r="8042" spans="1:1" x14ac:dyDescent="0.25">
      <c r="A8042" t="s">
        <v>5041</v>
      </c>
    </row>
    <row r="8043" spans="1:1" x14ac:dyDescent="0.25">
      <c r="A8043" t="s">
        <v>5042</v>
      </c>
    </row>
    <row r="8044" spans="1:1" x14ac:dyDescent="0.25">
      <c r="A8044" t="s">
        <v>5043</v>
      </c>
    </row>
    <row r="8045" spans="1:1" x14ac:dyDescent="0.25">
      <c r="A8045" t="s">
        <v>5044</v>
      </c>
    </row>
    <row r="8046" spans="1:1" x14ac:dyDescent="0.25">
      <c r="A8046" t="s">
        <v>5045</v>
      </c>
    </row>
    <row r="8047" spans="1:1" x14ac:dyDescent="0.25">
      <c r="A8047" t="s">
        <v>5046</v>
      </c>
    </row>
    <row r="8048" spans="1:1" x14ac:dyDescent="0.25">
      <c r="A8048" t="s">
        <v>5047</v>
      </c>
    </row>
    <row r="8049" spans="1:1" x14ac:dyDescent="0.25">
      <c r="A8049" t="s">
        <v>5048</v>
      </c>
    </row>
    <row r="8050" spans="1:1" x14ac:dyDescent="0.25">
      <c r="A8050" t="s">
        <v>5049</v>
      </c>
    </row>
    <row r="8051" spans="1:1" x14ac:dyDescent="0.25">
      <c r="A8051" t="s">
        <v>5050</v>
      </c>
    </row>
    <row r="8052" spans="1:1" x14ac:dyDescent="0.25">
      <c r="A8052" t="s">
        <v>5051</v>
      </c>
    </row>
    <row r="8053" spans="1:1" x14ac:dyDescent="0.25">
      <c r="A8053" t="s">
        <v>5052</v>
      </c>
    </row>
    <row r="8054" spans="1:1" x14ac:dyDescent="0.25">
      <c r="A8054" t="s">
        <v>5053</v>
      </c>
    </row>
    <row r="8055" spans="1:1" x14ac:dyDescent="0.25">
      <c r="A8055" t="s">
        <v>5054</v>
      </c>
    </row>
    <row r="8056" spans="1:1" x14ac:dyDescent="0.25">
      <c r="A8056" t="s">
        <v>5055</v>
      </c>
    </row>
    <row r="8057" spans="1:1" x14ac:dyDescent="0.25">
      <c r="A8057" t="s">
        <v>5056</v>
      </c>
    </row>
    <row r="8058" spans="1:1" x14ac:dyDescent="0.25">
      <c r="A8058" t="s">
        <v>5057</v>
      </c>
    </row>
    <row r="8059" spans="1:1" x14ac:dyDescent="0.25">
      <c r="A8059" t="s">
        <v>5058</v>
      </c>
    </row>
    <row r="8060" spans="1:1" x14ac:dyDescent="0.25">
      <c r="A8060" t="s">
        <v>5059</v>
      </c>
    </row>
    <row r="8061" spans="1:1" x14ac:dyDescent="0.25">
      <c r="A8061" t="s">
        <v>5060</v>
      </c>
    </row>
    <row r="8062" spans="1:1" x14ac:dyDescent="0.25">
      <c r="A8062" t="s">
        <v>5061</v>
      </c>
    </row>
    <row r="8063" spans="1:1" x14ac:dyDescent="0.25">
      <c r="A8063" t="s">
        <v>5062</v>
      </c>
    </row>
    <row r="8064" spans="1:1" x14ac:dyDescent="0.25">
      <c r="A8064" t="s">
        <v>5063</v>
      </c>
    </row>
    <row r="8065" spans="1:1" x14ac:dyDescent="0.25">
      <c r="A8065" t="s">
        <v>5064</v>
      </c>
    </row>
    <row r="8066" spans="1:1" x14ac:dyDescent="0.25">
      <c r="A8066" t="s">
        <v>5065</v>
      </c>
    </row>
    <row r="8067" spans="1:1" x14ac:dyDescent="0.25">
      <c r="A8067" t="s">
        <v>5066</v>
      </c>
    </row>
    <row r="8068" spans="1:1" x14ac:dyDescent="0.25">
      <c r="A8068" t="s">
        <v>5067</v>
      </c>
    </row>
    <row r="8069" spans="1:1" x14ac:dyDescent="0.25">
      <c r="A8069" t="s">
        <v>5068</v>
      </c>
    </row>
    <row r="8070" spans="1:1" x14ac:dyDescent="0.25">
      <c r="A8070" t="s">
        <v>5069</v>
      </c>
    </row>
    <row r="8071" spans="1:1" x14ac:dyDescent="0.25">
      <c r="A8071" t="s">
        <v>5070</v>
      </c>
    </row>
    <row r="8072" spans="1:1" x14ac:dyDescent="0.25">
      <c r="A8072" t="s">
        <v>5071</v>
      </c>
    </row>
    <row r="8073" spans="1:1" x14ac:dyDescent="0.25">
      <c r="A8073" t="s">
        <v>5072</v>
      </c>
    </row>
    <row r="8074" spans="1:1" x14ac:dyDescent="0.25">
      <c r="A8074" t="s">
        <v>5073</v>
      </c>
    </row>
    <row r="8075" spans="1:1" x14ac:dyDescent="0.25">
      <c r="A8075" t="s">
        <v>5074</v>
      </c>
    </row>
    <row r="8076" spans="1:1" x14ac:dyDescent="0.25">
      <c r="A8076" t="s">
        <v>5075</v>
      </c>
    </row>
    <row r="8077" spans="1:1" x14ac:dyDescent="0.25">
      <c r="A8077" t="s">
        <v>5076</v>
      </c>
    </row>
    <row r="8078" spans="1:1" x14ac:dyDescent="0.25">
      <c r="A8078" t="s">
        <v>5077</v>
      </c>
    </row>
    <row r="8079" spans="1:1" x14ac:dyDescent="0.25">
      <c r="A8079" t="s">
        <v>5078</v>
      </c>
    </row>
    <row r="8080" spans="1:1" x14ac:dyDescent="0.25">
      <c r="A8080" t="s">
        <v>5079</v>
      </c>
    </row>
    <row r="8081" spans="1:1" x14ac:dyDescent="0.25">
      <c r="A8081" t="s">
        <v>5080</v>
      </c>
    </row>
    <row r="8082" spans="1:1" x14ac:dyDescent="0.25">
      <c r="A8082" t="s">
        <v>5081</v>
      </c>
    </row>
    <row r="8083" spans="1:1" x14ac:dyDescent="0.25">
      <c r="A8083" t="s">
        <v>5082</v>
      </c>
    </row>
    <row r="8084" spans="1:1" x14ac:dyDescent="0.25">
      <c r="A8084" t="s">
        <v>5083</v>
      </c>
    </row>
    <row r="8085" spans="1:1" x14ac:dyDescent="0.25">
      <c r="A8085" t="s">
        <v>5084</v>
      </c>
    </row>
    <row r="8086" spans="1:1" x14ac:dyDescent="0.25">
      <c r="A8086" t="s">
        <v>5085</v>
      </c>
    </row>
    <row r="8087" spans="1:1" x14ac:dyDescent="0.25">
      <c r="A8087" t="s">
        <v>5086</v>
      </c>
    </row>
    <row r="8088" spans="1:1" x14ac:dyDescent="0.25">
      <c r="A8088" t="s">
        <v>5087</v>
      </c>
    </row>
    <row r="8089" spans="1:1" x14ac:dyDescent="0.25">
      <c r="A8089" t="s">
        <v>5088</v>
      </c>
    </row>
    <row r="8090" spans="1:1" x14ac:dyDescent="0.25">
      <c r="A8090" t="s">
        <v>5089</v>
      </c>
    </row>
    <row r="8091" spans="1:1" x14ac:dyDescent="0.25">
      <c r="A8091" t="s">
        <v>5090</v>
      </c>
    </row>
    <row r="8092" spans="1:1" x14ac:dyDescent="0.25">
      <c r="A8092" t="s">
        <v>5091</v>
      </c>
    </row>
    <row r="8093" spans="1:1" x14ac:dyDescent="0.25">
      <c r="A8093" t="s">
        <v>5092</v>
      </c>
    </row>
    <row r="8094" spans="1:1" x14ac:dyDescent="0.25">
      <c r="A8094" t="s">
        <v>5093</v>
      </c>
    </row>
    <row r="8095" spans="1:1" x14ac:dyDescent="0.25">
      <c r="A8095" t="s">
        <v>5094</v>
      </c>
    </row>
    <row r="8096" spans="1:1" x14ac:dyDescent="0.25">
      <c r="A8096" t="s">
        <v>5095</v>
      </c>
    </row>
    <row r="8097" spans="1:1" x14ac:dyDescent="0.25">
      <c r="A8097" t="s">
        <v>5096</v>
      </c>
    </row>
    <row r="8098" spans="1:1" x14ac:dyDescent="0.25">
      <c r="A8098" t="s">
        <v>5097</v>
      </c>
    </row>
    <row r="8099" spans="1:1" x14ac:dyDescent="0.25">
      <c r="A8099" t="s">
        <v>5098</v>
      </c>
    </row>
    <row r="8100" spans="1:1" x14ac:dyDescent="0.25">
      <c r="A8100" t="s">
        <v>5099</v>
      </c>
    </row>
    <row r="8101" spans="1:1" x14ac:dyDescent="0.25">
      <c r="A8101" t="s">
        <v>5100</v>
      </c>
    </row>
    <row r="8102" spans="1:1" x14ac:dyDescent="0.25">
      <c r="A8102" t="s">
        <v>5101</v>
      </c>
    </row>
    <row r="8103" spans="1:1" x14ac:dyDescent="0.25">
      <c r="A8103" t="s">
        <v>5102</v>
      </c>
    </row>
    <row r="8104" spans="1:1" x14ac:dyDescent="0.25">
      <c r="A8104" t="s">
        <v>5103</v>
      </c>
    </row>
    <row r="8105" spans="1:1" x14ac:dyDescent="0.25">
      <c r="A8105" t="s">
        <v>5104</v>
      </c>
    </row>
    <row r="8106" spans="1:1" x14ac:dyDescent="0.25">
      <c r="A8106" t="s">
        <v>5105</v>
      </c>
    </row>
    <row r="8107" spans="1:1" x14ac:dyDescent="0.25">
      <c r="A8107" t="s">
        <v>5106</v>
      </c>
    </row>
    <row r="8108" spans="1:1" x14ac:dyDescent="0.25">
      <c r="A8108" t="s">
        <v>5107</v>
      </c>
    </row>
    <row r="8109" spans="1:1" x14ac:dyDescent="0.25">
      <c r="A8109" t="s">
        <v>5108</v>
      </c>
    </row>
    <row r="8110" spans="1:1" x14ac:dyDescent="0.25">
      <c r="A8110" t="s">
        <v>5109</v>
      </c>
    </row>
    <row r="8111" spans="1:1" x14ac:dyDescent="0.25">
      <c r="A8111" t="s">
        <v>5110</v>
      </c>
    </row>
    <row r="8112" spans="1:1" x14ac:dyDescent="0.25">
      <c r="A8112" t="s">
        <v>5111</v>
      </c>
    </row>
    <row r="8113" spans="1:1" x14ac:dyDescent="0.25">
      <c r="A8113" t="s">
        <v>5112</v>
      </c>
    </row>
    <row r="8114" spans="1:1" x14ac:dyDescent="0.25">
      <c r="A8114" t="s">
        <v>5113</v>
      </c>
    </row>
    <row r="8115" spans="1:1" x14ac:dyDescent="0.25">
      <c r="A8115" t="s">
        <v>5114</v>
      </c>
    </row>
    <row r="8116" spans="1:1" x14ac:dyDescent="0.25">
      <c r="A8116" t="s">
        <v>5115</v>
      </c>
    </row>
    <row r="8117" spans="1:1" x14ac:dyDescent="0.25">
      <c r="A8117" t="s">
        <v>5116</v>
      </c>
    </row>
    <row r="8118" spans="1:1" x14ac:dyDescent="0.25">
      <c r="A8118" t="s">
        <v>5117</v>
      </c>
    </row>
    <row r="8119" spans="1:1" x14ac:dyDescent="0.25">
      <c r="A8119" t="s">
        <v>5118</v>
      </c>
    </row>
    <row r="8120" spans="1:1" x14ac:dyDescent="0.25">
      <c r="A8120" t="s">
        <v>5119</v>
      </c>
    </row>
    <row r="8121" spans="1:1" x14ac:dyDescent="0.25">
      <c r="A8121" t="s">
        <v>5120</v>
      </c>
    </row>
    <row r="8122" spans="1:1" x14ac:dyDescent="0.25">
      <c r="A8122" t="s">
        <v>5121</v>
      </c>
    </row>
    <row r="8123" spans="1:1" x14ac:dyDescent="0.25">
      <c r="A8123" t="s">
        <v>5122</v>
      </c>
    </row>
    <row r="8124" spans="1:1" x14ac:dyDescent="0.25">
      <c r="A8124" t="s">
        <v>5123</v>
      </c>
    </row>
    <row r="8125" spans="1:1" x14ac:dyDescent="0.25">
      <c r="A8125" t="s">
        <v>5124</v>
      </c>
    </row>
    <row r="8126" spans="1:1" x14ac:dyDescent="0.25">
      <c r="A8126" t="s">
        <v>5125</v>
      </c>
    </row>
    <row r="8127" spans="1:1" x14ac:dyDescent="0.25">
      <c r="A8127" t="s">
        <v>5126</v>
      </c>
    </row>
    <row r="8128" spans="1:1" x14ac:dyDescent="0.25">
      <c r="A8128" t="s">
        <v>5127</v>
      </c>
    </row>
    <row r="8129" spans="1:1" x14ac:dyDescent="0.25">
      <c r="A8129" t="s">
        <v>5128</v>
      </c>
    </row>
    <row r="8130" spans="1:1" x14ac:dyDescent="0.25">
      <c r="A8130" t="s">
        <v>5129</v>
      </c>
    </row>
    <row r="8131" spans="1:1" x14ac:dyDescent="0.25">
      <c r="A8131" t="s">
        <v>5130</v>
      </c>
    </row>
    <row r="8132" spans="1:1" x14ac:dyDescent="0.25">
      <c r="A8132" t="s">
        <v>5131</v>
      </c>
    </row>
    <row r="8133" spans="1:1" x14ac:dyDescent="0.25">
      <c r="A8133" t="s">
        <v>5132</v>
      </c>
    </row>
    <row r="8134" spans="1:1" x14ac:dyDescent="0.25">
      <c r="A8134" t="s">
        <v>5133</v>
      </c>
    </row>
    <row r="8135" spans="1:1" x14ac:dyDescent="0.25">
      <c r="A8135" t="s">
        <v>5134</v>
      </c>
    </row>
    <row r="8136" spans="1:1" x14ac:dyDescent="0.25">
      <c r="A8136" t="s">
        <v>5135</v>
      </c>
    </row>
    <row r="8137" spans="1:1" x14ac:dyDescent="0.25">
      <c r="A8137" t="s">
        <v>5136</v>
      </c>
    </row>
    <row r="8138" spans="1:1" x14ac:dyDescent="0.25">
      <c r="A8138" t="s">
        <v>5137</v>
      </c>
    </row>
    <row r="8139" spans="1:1" x14ac:dyDescent="0.25">
      <c r="A8139" t="s">
        <v>5138</v>
      </c>
    </row>
    <row r="8140" spans="1:1" x14ac:dyDescent="0.25">
      <c r="A8140" t="s">
        <v>5139</v>
      </c>
    </row>
    <row r="8141" spans="1:1" x14ac:dyDescent="0.25">
      <c r="A8141" t="s">
        <v>5140</v>
      </c>
    </row>
    <row r="8142" spans="1:1" x14ac:dyDescent="0.25">
      <c r="A8142" t="s">
        <v>5141</v>
      </c>
    </row>
    <row r="8143" spans="1:1" x14ac:dyDescent="0.25">
      <c r="A8143" t="s">
        <v>5142</v>
      </c>
    </row>
    <row r="8144" spans="1:1" x14ac:dyDescent="0.25">
      <c r="A8144" t="s">
        <v>5143</v>
      </c>
    </row>
    <row r="8145" spans="1:1" x14ac:dyDescent="0.25">
      <c r="A8145" t="s">
        <v>5144</v>
      </c>
    </row>
    <row r="8146" spans="1:1" x14ac:dyDescent="0.25">
      <c r="A8146" t="s">
        <v>5145</v>
      </c>
    </row>
    <row r="8147" spans="1:1" x14ac:dyDescent="0.25">
      <c r="A8147" t="s">
        <v>5146</v>
      </c>
    </row>
    <row r="8148" spans="1:1" x14ac:dyDescent="0.25">
      <c r="A8148" t="s">
        <v>5147</v>
      </c>
    </row>
    <row r="8149" spans="1:1" x14ac:dyDescent="0.25">
      <c r="A8149" t="s">
        <v>5148</v>
      </c>
    </row>
    <row r="8150" spans="1:1" x14ac:dyDescent="0.25">
      <c r="A8150" t="s">
        <v>5149</v>
      </c>
    </row>
    <row r="8151" spans="1:1" x14ac:dyDescent="0.25">
      <c r="A8151" t="s">
        <v>5150</v>
      </c>
    </row>
    <row r="8152" spans="1:1" x14ac:dyDescent="0.25">
      <c r="A8152" t="s">
        <v>5151</v>
      </c>
    </row>
    <row r="8153" spans="1:1" x14ac:dyDescent="0.25">
      <c r="A8153" t="s">
        <v>5152</v>
      </c>
    </row>
    <row r="8154" spans="1:1" x14ac:dyDescent="0.25">
      <c r="A8154" t="s">
        <v>5153</v>
      </c>
    </row>
    <row r="8155" spans="1:1" x14ac:dyDescent="0.25">
      <c r="A8155" t="s">
        <v>5154</v>
      </c>
    </row>
    <row r="8156" spans="1:1" x14ac:dyDescent="0.25">
      <c r="A8156" t="s">
        <v>5155</v>
      </c>
    </row>
    <row r="8157" spans="1:1" x14ac:dyDescent="0.25">
      <c r="A8157" t="s">
        <v>5156</v>
      </c>
    </row>
    <row r="8158" spans="1:1" x14ac:dyDescent="0.25">
      <c r="A8158" t="s">
        <v>5157</v>
      </c>
    </row>
    <row r="8159" spans="1:1" x14ac:dyDescent="0.25">
      <c r="A8159" t="s">
        <v>5158</v>
      </c>
    </row>
    <row r="8160" spans="1:1" x14ac:dyDescent="0.25">
      <c r="A8160" t="s">
        <v>5159</v>
      </c>
    </row>
    <row r="8161" spans="1:1" x14ac:dyDescent="0.25">
      <c r="A8161" t="s">
        <v>5160</v>
      </c>
    </row>
    <row r="8162" spans="1:1" x14ac:dyDescent="0.25">
      <c r="A8162" t="s">
        <v>5161</v>
      </c>
    </row>
    <row r="8163" spans="1:1" x14ac:dyDescent="0.25">
      <c r="A8163" t="s">
        <v>5162</v>
      </c>
    </row>
    <row r="8164" spans="1:1" x14ac:dyDescent="0.25">
      <c r="A8164" t="s">
        <v>5163</v>
      </c>
    </row>
    <row r="8165" spans="1:1" x14ac:dyDescent="0.25">
      <c r="A8165" t="s">
        <v>5164</v>
      </c>
    </row>
    <row r="8166" spans="1:1" x14ac:dyDescent="0.25">
      <c r="A8166" t="s">
        <v>5165</v>
      </c>
    </row>
    <row r="8167" spans="1:1" x14ac:dyDescent="0.25">
      <c r="A8167" t="s">
        <v>5166</v>
      </c>
    </row>
    <row r="8168" spans="1:1" x14ac:dyDescent="0.25">
      <c r="A8168" t="s">
        <v>5167</v>
      </c>
    </row>
    <row r="8169" spans="1:1" x14ac:dyDescent="0.25">
      <c r="A8169" t="s">
        <v>5168</v>
      </c>
    </row>
    <row r="8170" spans="1:1" x14ac:dyDescent="0.25">
      <c r="A8170" t="s">
        <v>5169</v>
      </c>
    </row>
    <row r="8171" spans="1:1" x14ac:dyDescent="0.25">
      <c r="A8171" t="s">
        <v>5170</v>
      </c>
    </row>
    <row r="8172" spans="1:1" x14ac:dyDescent="0.25">
      <c r="A8172" t="s">
        <v>5171</v>
      </c>
    </row>
    <row r="8173" spans="1:1" x14ac:dyDescent="0.25">
      <c r="A8173" t="s">
        <v>5172</v>
      </c>
    </row>
    <row r="8174" spans="1:1" x14ac:dyDescent="0.25">
      <c r="A8174" t="s">
        <v>5173</v>
      </c>
    </row>
    <row r="8175" spans="1:1" x14ac:dyDescent="0.25">
      <c r="A8175" t="s">
        <v>5174</v>
      </c>
    </row>
    <row r="8176" spans="1:1" x14ac:dyDescent="0.25">
      <c r="A8176" t="s">
        <v>5175</v>
      </c>
    </row>
    <row r="8177" spans="1:1" x14ac:dyDescent="0.25">
      <c r="A8177" t="s">
        <v>5176</v>
      </c>
    </row>
    <row r="8178" spans="1:1" x14ac:dyDescent="0.25">
      <c r="A8178" t="s">
        <v>5177</v>
      </c>
    </row>
    <row r="8179" spans="1:1" x14ac:dyDescent="0.25">
      <c r="A8179" t="s">
        <v>5178</v>
      </c>
    </row>
    <row r="8180" spans="1:1" x14ac:dyDescent="0.25">
      <c r="A8180" t="s">
        <v>5179</v>
      </c>
    </row>
    <row r="8181" spans="1:1" x14ac:dyDescent="0.25">
      <c r="A8181" t="s">
        <v>5180</v>
      </c>
    </row>
    <row r="8182" spans="1:1" x14ac:dyDescent="0.25">
      <c r="A8182" t="s">
        <v>5181</v>
      </c>
    </row>
    <row r="8183" spans="1:1" x14ac:dyDescent="0.25">
      <c r="A8183" t="s">
        <v>5182</v>
      </c>
    </row>
    <row r="8184" spans="1:1" x14ac:dyDescent="0.25">
      <c r="A8184" t="s">
        <v>5183</v>
      </c>
    </row>
    <row r="8185" spans="1:1" x14ac:dyDescent="0.25">
      <c r="A8185" t="s">
        <v>5184</v>
      </c>
    </row>
    <row r="8186" spans="1:1" x14ac:dyDescent="0.25">
      <c r="A8186" t="s">
        <v>5185</v>
      </c>
    </row>
    <row r="8187" spans="1:1" x14ac:dyDescent="0.25">
      <c r="A8187" t="s">
        <v>5186</v>
      </c>
    </row>
    <row r="8188" spans="1:1" x14ac:dyDescent="0.25">
      <c r="A8188" t="s">
        <v>5187</v>
      </c>
    </row>
    <row r="8189" spans="1:1" x14ac:dyDescent="0.25">
      <c r="A8189" t="s">
        <v>5188</v>
      </c>
    </row>
    <row r="8190" spans="1:1" x14ac:dyDescent="0.25">
      <c r="A8190" t="s">
        <v>5189</v>
      </c>
    </row>
    <row r="8191" spans="1:1" x14ac:dyDescent="0.25">
      <c r="A8191" t="s">
        <v>5190</v>
      </c>
    </row>
    <row r="8192" spans="1:1" x14ac:dyDescent="0.25">
      <c r="A8192" t="s">
        <v>5191</v>
      </c>
    </row>
    <row r="8193" spans="1:1" x14ac:dyDescent="0.25">
      <c r="A8193" t="s">
        <v>5192</v>
      </c>
    </row>
    <row r="8194" spans="1:1" x14ac:dyDescent="0.25">
      <c r="A8194" t="s">
        <v>5193</v>
      </c>
    </row>
    <row r="8195" spans="1:1" x14ac:dyDescent="0.25">
      <c r="A8195" t="s">
        <v>5194</v>
      </c>
    </row>
    <row r="8196" spans="1:1" x14ac:dyDescent="0.25">
      <c r="A8196" t="s">
        <v>5195</v>
      </c>
    </row>
    <row r="8197" spans="1:1" x14ac:dyDescent="0.25">
      <c r="A8197" t="s">
        <v>5196</v>
      </c>
    </row>
    <row r="8198" spans="1:1" x14ac:dyDescent="0.25">
      <c r="A8198" t="s">
        <v>5197</v>
      </c>
    </row>
    <row r="8199" spans="1:1" x14ac:dyDescent="0.25">
      <c r="A8199" t="s">
        <v>5198</v>
      </c>
    </row>
    <row r="8200" spans="1:1" x14ac:dyDescent="0.25">
      <c r="A8200" t="s">
        <v>5199</v>
      </c>
    </row>
    <row r="8201" spans="1:1" x14ac:dyDescent="0.25">
      <c r="A8201" t="s">
        <v>5200</v>
      </c>
    </row>
    <row r="8202" spans="1:1" x14ac:dyDescent="0.25">
      <c r="A8202" t="s">
        <v>5201</v>
      </c>
    </row>
    <row r="8203" spans="1:1" x14ac:dyDescent="0.25">
      <c r="A8203" t="s">
        <v>5202</v>
      </c>
    </row>
    <row r="8204" spans="1:1" x14ac:dyDescent="0.25">
      <c r="A8204" t="s">
        <v>5203</v>
      </c>
    </row>
    <row r="8205" spans="1:1" x14ac:dyDescent="0.25">
      <c r="A8205" t="s">
        <v>5204</v>
      </c>
    </row>
    <row r="8206" spans="1:1" x14ac:dyDescent="0.25">
      <c r="A8206" t="s">
        <v>5205</v>
      </c>
    </row>
    <row r="8207" spans="1:1" x14ac:dyDescent="0.25">
      <c r="A8207" t="s">
        <v>5206</v>
      </c>
    </row>
    <row r="8208" spans="1:1" x14ac:dyDescent="0.25">
      <c r="A8208" t="s">
        <v>5207</v>
      </c>
    </row>
    <row r="8209" spans="1:1" x14ac:dyDescent="0.25">
      <c r="A8209" t="s">
        <v>5208</v>
      </c>
    </row>
    <row r="8210" spans="1:1" x14ac:dyDescent="0.25">
      <c r="A8210" t="s">
        <v>5209</v>
      </c>
    </row>
    <row r="8211" spans="1:1" x14ac:dyDescent="0.25">
      <c r="A8211" t="s">
        <v>5210</v>
      </c>
    </row>
    <row r="8212" spans="1:1" x14ac:dyDescent="0.25">
      <c r="A8212" t="s">
        <v>5211</v>
      </c>
    </row>
    <row r="8213" spans="1:1" x14ac:dyDescent="0.25">
      <c r="A8213" t="s">
        <v>5212</v>
      </c>
    </row>
    <row r="8214" spans="1:1" x14ac:dyDescent="0.25">
      <c r="A8214" t="s">
        <v>5213</v>
      </c>
    </row>
    <row r="8215" spans="1:1" x14ac:dyDescent="0.25">
      <c r="A8215" t="s">
        <v>5214</v>
      </c>
    </row>
    <row r="8216" spans="1:1" x14ac:dyDescent="0.25">
      <c r="A8216" t="s">
        <v>5215</v>
      </c>
    </row>
    <row r="8217" spans="1:1" x14ac:dyDescent="0.25">
      <c r="A8217" t="s">
        <v>5216</v>
      </c>
    </row>
    <row r="8218" spans="1:1" x14ac:dyDescent="0.25">
      <c r="A8218" t="s">
        <v>5217</v>
      </c>
    </row>
    <row r="8219" spans="1:1" x14ac:dyDescent="0.25">
      <c r="A8219" t="s">
        <v>5218</v>
      </c>
    </row>
    <row r="8220" spans="1:1" x14ac:dyDescent="0.25">
      <c r="A8220" t="s">
        <v>5219</v>
      </c>
    </row>
    <row r="8221" spans="1:1" x14ac:dyDescent="0.25">
      <c r="A8221" t="s">
        <v>5220</v>
      </c>
    </row>
    <row r="8222" spans="1:1" x14ac:dyDescent="0.25">
      <c r="A8222" t="s">
        <v>5221</v>
      </c>
    </row>
    <row r="8223" spans="1:1" x14ac:dyDescent="0.25">
      <c r="A8223" t="s">
        <v>5222</v>
      </c>
    </row>
    <row r="8224" spans="1:1" x14ac:dyDescent="0.25">
      <c r="A8224" t="s">
        <v>5223</v>
      </c>
    </row>
    <row r="8225" spans="1:1" x14ac:dyDescent="0.25">
      <c r="A8225" t="s">
        <v>5224</v>
      </c>
    </row>
    <row r="8226" spans="1:1" x14ac:dyDescent="0.25">
      <c r="A8226" t="s">
        <v>5225</v>
      </c>
    </row>
    <row r="8227" spans="1:1" x14ac:dyDescent="0.25">
      <c r="A8227" t="s">
        <v>5226</v>
      </c>
    </row>
    <row r="8228" spans="1:1" x14ac:dyDescent="0.25">
      <c r="A8228" t="s">
        <v>5227</v>
      </c>
    </row>
    <row r="8229" spans="1:1" x14ac:dyDescent="0.25">
      <c r="A8229" t="s">
        <v>5228</v>
      </c>
    </row>
    <row r="8230" spans="1:1" x14ac:dyDescent="0.25">
      <c r="A8230" t="s">
        <v>5229</v>
      </c>
    </row>
    <row r="8231" spans="1:1" x14ac:dyDescent="0.25">
      <c r="A8231" t="s">
        <v>5230</v>
      </c>
    </row>
    <row r="8232" spans="1:1" x14ac:dyDescent="0.25">
      <c r="A8232" t="s">
        <v>5231</v>
      </c>
    </row>
    <row r="8233" spans="1:1" x14ac:dyDescent="0.25">
      <c r="A8233" t="s">
        <v>5232</v>
      </c>
    </row>
    <row r="8234" spans="1:1" x14ac:dyDescent="0.25">
      <c r="A8234" t="s">
        <v>5233</v>
      </c>
    </row>
    <row r="8235" spans="1:1" x14ac:dyDescent="0.25">
      <c r="A8235" t="s">
        <v>5234</v>
      </c>
    </row>
    <row r="8236" spans="1:1" x14ac:dyDescent="0.25">
      <c r="A8236" t="s">
        <v>5235</v>
      </c>
    </row>
    <row r="8237" spans="1:1" x14ac:dyDescent="0.25">
      <c r="A8237" t="s">
        <v>5236</v>
      </c>
    </row>
    <row r="8238" spans="1:1" x14ac:dyDescent="0.25">
      <c r="A8238" t="s">
        <v>5237</v>
      </c>
    </row>
    <row r="8239" spans="1:1" x14ac:dyDescent="0.25">
      <c r="A8239" t="s">
        <v>5238</v>
      </c>
    </row>
    <row r="8240" spans="1:1" x14ac:dyDescent="0.25">
      <c r="A8240" t="s">
        <v>5239</v>
      </c>
    </row>
    <row r="8241" spans="1:1" x14ac:dyDescent="0.25">
      <c r="A8241" t="s">
        <v>5240</v>
      </c>
    </row>
    <row r="8242" spans="1:1" x14ac:dyDescent="0.25">
      <c r="A8242" t="s">
        <v>5241</v>
      </c>
    </row>
    <row r="8243" spans="1:1" x14ac:dyDescent="0.25">
      <c r="A8243" t="s">
        <v>5242</v>
      </c>
    </row>
    <row r="8244" spans="1:1" x14ac:dyDescent="0.25">
      <c r="A8244" t="s">
        <v>5243</v>
      </c>
    </row>
    <row r="8245" spans="1:1" x14ac:dyDescent="0.25">
      <c r="A8245" t="s">
        <v>5244</v>
      </c>
    </row>
    <row r="8246" spans="1:1" x14ac:dyDescent="0.25">
      <c r="A8246" t="s">
        <v>5245</v>
      </c>
    </row>
    <row r="8247" spans="1:1" x14ac:dyDescent="0.25">
      <c r="A8247" t="s">
        <v>5246</v>
      </c>
    </row>
    <row r="8248" spans="1:1" x14ac:dyDescent="0.25">
      <c r="A8248" t="s">
        <v>5247</v>
      </c>
    </row>
    <row r="8249" spans="1:1" x14ac:dyDescent="0.25">
      <c r="A8249" t="s">
        <v>5248</v>
      </c>
    </row>
    <row r="8250" spans="1:1" x14ac:dyDescent="0.25">
      <c r="A8250" t="s">
        <v>5249</v>
      </c>
    </row>
    <row r="8251" spans="1:1" x14ac:dyDescent="0.25">
      <c r="A8251" t="s">
        <v>5250</v>
      </c>
    </row>
    <row r="8252" spans="1:1" x14ac:dyDescent="0.25">
      <c r="A8252" t="s">
        <v>5251</v>
      </c>
    </row>
    <row r="8253" spans="1:1" x14ac:dyDescent="0.25">
      <c r="A8253" t="s">
        <v>5252</v>
      </c>
    </row>
    <row r="8254" spans="1:1" x14ac:dyDescent="0.25">
      <c r="A8254" t="s">
        <v>5253</v>
      </c>
    </row>
    <row r="8255" spans="1:1" x14ac:dyDescent="0.25">
      <c r="A8255" t="s">
        <v>5254</v>
      </c>
    </row>
    <row r="8256" spans="1:1" x14ac:dyDescent="0.25">
      <c r="A8256" t="s">
        <v>5255</v>
      </c>
    </row>
    <row r="8257" spans="1:1" x14ac:dyDescent="0.25">
      <c r="A8257" t="s">
        <v>5256</v>
      </c>
    </row>
    <row r="8258" spans="1:1" x14ac:dyDescent="0.25">
      <c r="A8258" t="s">
        <v>5257</v>
      </c>
    </row>
    <row r="8259" spans="1:1" x14ac:dyDescent="0.25">
      <c r="A8259" t="s">
        <v>5258</v>
      </c>
    </row>
    <row r="8260" spans="1:1" x14ac:dyDescent="0.25">
      <c r="A8260" t="s">
        <v>5259</v>
      </c>
    </row>
    <row r="8261" spans="1:1" x14ac:dyDescent="0.25">
      <c r="A8261" t="s">
        <v>5260</v>
      </c>
    </row>
    <row r="8262" spans="1:1" x14ac:dyDescent="0.25">
      <c r="A8262" t="s">
        <v>5261</v>
      </c>
    </row>
    <row r="8263" spans="1:1" x14ac:dyDescent="0.25">
      <c r="A8263" t="s">
        <v>5262</v>
      </c>
    </row>
    <row r="8264" spans="1:1" x14ac:dyDescent="0.25">
      <c r="A8264" t="s">
        <v>5263</v>
      </c>
    </row>
    <row r="8265" spans="1:1" x14ac:dyDescent="0.25">
      <c r="A8265" t="s">
        <v>5264</v>
      </c>
    </row>
    <row r="8266" spans="1:1" x14ac:dyDescent="0.25">
      <c r="A8266" t="s">
        <v>5265</v>
      </c>
    </row>
    <row r="8267" spans="1:1" x14ac:dyDescent="0.25">
      <c r="A8267" t="s">
        <v>5266</v>
      </c>
    </row>
    <row r="8268" spans="1:1" x14ac:dyDescent="0.25">
      <c r="A8268" t="s">
        <v>5267</v>
      </c>
    </row>
    <row r="8269" spans="1:1" x14ac:dyDescent="0.25">
      <c r="A8269" t="s">
        <v>5268</v>
      </c>
    </row>
    <row r="8270" spans="1:1" x14ac:dyDescent="0.25">
      <c r="A8270" t="s">
        <v>5269</v>
      </c>
    </row>
    <row r="8271" spans="1:1" x14ac:dyDescent="0.25">
      <c r="A8271" t="s">
        <v>5270</v>
      </c>
    </row>
    <row r="8272" spans="1:1" x14ac:dyDescent="0.25">
      <c r="A8272" t="s">
        <v>5271</v>
      </c>
    </row>
    <row r="8273" spans="1:1" x14ac:dyDescent="0.25">
      <c r="A8273" t="s">
        <v>5272</v>
      </c>
    </row>
    <row r="8274" spans="1:1" x14ac:dyDescent="0.25">
      <c r="A8274" t="s">
        <v>5273</v>
      </c>
    </row>
    <row r="8275" spans="1:1" x14ac:dyDescent="0.25">
      <c r="A8275" t="s">
        <v>5274</v>
      </c>
    </row>
    <row r="8276" spans="1:1" x14ac:dyDescent="0.25">
      <c r="A8276" t="s">
        <v>5275</v>
      </c>
    </row>
    <row r="8277" spans="1:1" x14ac:dyDescent="0.25">
      <c r="A8277" t="s">
        <v>5276</v>
      </c>
    </row>
    <row r="8278" spans="1:1" x14ac:dyDescent="0.25">
      <c r="A8278" t="s">
        <v>5277</v>
      </c>
    </row>
    <row r="8279" spans="1:1" x14ac:dyDescent="0.25">
      <c r="A8279" t="s">
        <v>5278</v>
      </c>
    </row>
    <row r="8280" spans="1:1" x14ac:dyDescent="0.25">
      <c r="A8280" t="s">
        <v>5279</v>
      </c>
    </row>
    <row r="8281" spans="1:1" x14ac:dyDescent="0.25">
      <c r="A8281" t="s">
        <v>5280</v>
      </c>
    </row>
    <row r="8282" spans="1:1" x14ac:dyDescent="0.25">
      <c r="A8282" t="s">
        <v>5281</v>
      </c>
    </row>
    <row r="8283" spans="1:1" x14ac:dyDescent="0.25">
      <c r="A8283" t="s">
        <v>5282</v>
      </c>
    </row>
    <row r="8284" spans="1:1" x14ac:dyDescent="0.25">
      <c r="A8284" t="s">
        <v>5283</v>
      </c>
    </row>
    <row r="8285" spans="1:1" x14ac:dyDescent="0.25">
      <c r="A8285" t="s">
        <v>5284</v>
      </c>
    </row>
    <row r="8286" spans="1:1" x14ac:dyDescent="0.25">
      <c r="A8286" t="s">
        <v>5285</v>
      </c>
    </row>
    <row r="8287" spans="1:1" x14ac:dyDescent="0.25">
      <c r="A8287" t="s">
        <v>5286</v>
      </c>
    </row>
    <row r="8288" spans="1:1" x14ac:dyDescent="0.25">
      <c r="A8288" t="s">
        <v>5287</v>
      </c>
    </row>
    <row r="8289" spans="1:1" x14ac:dyDescent="0.25">
      <c r="A8289" t="s">
        <v>5288</v>
      </c>
    </row>
    <row r="8290" spans="1:1" x14ac:dyDescent="0.25">
      <c r="A8290" t="s">
        <v>5289</v>
      </c>
    </row>
    <row r="8291" spans="1:1" x14ac:dyDescent="0.25">
      <c r="A8291" t="s">
        <v>5290</v>
      </c>
    </row>
    <row r="8292" spans="1:1" x14ac:dyDescent="0.25">
      <c r="A8292" t="s">
        <v>5291</v>
      </c>
    </row>
    <row r="8293" spans="1:1" x14ac:dyDescent="0.25">
      <c r="A8293" t="s">
        <v>5292</v>
      </c>
    </row>
    <row r="8294" spans="1:1" x14ac:dyDescent="0.25">
      <c r="A8294" t="s">
        <v>5293</v>
      </c>
    </row>
    <row r="8295" spans="1:1" x14ac:dyDescent="0.25">
      <c r="A8295" t="s">
        <v>5294</v>
      </c>
    </row>
    <row r="8296" spans="1:1" x14ac:dyDescent="0.25">
      <c r="A8296" t="s">
        <v>5295</v>
      </c>
    </row>
    <row r="8297" spans="1:1" x14ac:dyDescent="0.25">
      <c r="A8297" t="s">
        <v>5296</v>
      </c>
    </row>
    <row r="8298" spans="1:1" x14ac:dyDescent="0.25">
      <c r="A8298" t="s">
        <v>5297</v>
      </c>
    </row>
    <row r="8299" spans="1:1" x14ac:dyDescent="0.25">
      <c r="A8299" t="s">
        <v>5298</v>
      </c>
    </row>
    <row r="8300" spans="1:1" x14ac:dyDescent="0.25">
      <c r="A8300" t="s">
        <v>5299</v>
      </c>
    </row>
    <row r="8301" spans="1:1" x14ac:dyDescent="0.25">
      <c r="A8301" t="s">
        <v>5300</v>
      </c>
    </row>
    <row r="8302" spans="1:1" x14ac:dyDescent="0.25">
      <c r="A8302" t="s">
        <v>5301</v>
      </c>
    </row>
    <row r="8303" spans="1:1" x14ac:dyDescent="0.25">
      <c r="A8303" t="s">
        <v>5302</v>
      </c>
    </row>
    <row r="8304" spans="1:1" x14ac:dyDescent="0.25">
      <c r="A8304" t="s">
        <v>5303</v>
      </c>
    </row>
    <row r="8305" spans="1:1" x14ac:dyDescent="0.25">
      <c r="A8305" t="s">
        <v>5304</v>
      </c>
    </row>
    <row r="8306" spans="1:1" x14ac:dyDescent="0.25">
      <c r="A8306" t="s">
        <v>5305</v>
      </c>
    </row>
    <row r="8307" spans="1:1" x14ac:dyDescent="0.25">
      <c r="A8307" t="s">
        <v>5306</v>
      </c>
    </row>
    <row r="8308" spans="1:1" x14ac:dyDescent="0.25">
      <c r="A8308" t="s">
        <v>5307</v>
      </c>
    </row>
    <row r="8309" spans="1:1" x14ac:dyDescent="0.25">
      <c r="A8309" t="s">
        <v>5308</v>
      </c>
    </row>
    <row r="8310" spans="1:1" x14ac:dyDescent="0.25">
      <c r="A8310" t="s">
        <v>5309</v>
      </c>
    </row>
    <row r="8311" spans="1:1" x14ac:dyDescent="0.25">
      <c r="A8311" t="s">
        <v>5310</v>
      </c>
    </row>
    <row r="8312" spans="1:1" x14ac:dyDescent="0.25">
      <c r="A8312" t="s">
        <v>5311</v>
      </c>
    </row>
    <row r="8313" spans="1:1" x14ac:dyDescent="0.25">
      <c r="A8313" t="s">
        <v>5312</v>
      </c>
    </row>
    <row r="8314" spans="1:1" x14ac:dyDescent="0.25">
      <c r="A8314" t="s">
        <v>5313</v>
      </c>
    </row>
    <row r="8315" spans="1:1" x14ac:dyDescent="0.25">
      <c r="A8315" t="s">
        <v>5314</v>
      </c>
    </row>
    <row r="8316" spans="1:1" x14ac:dyDescent="0.25">
      <c r="A8316" t="s">
        <v>5315</v>
      </c>
    </row>
    <row r="8317" spans="1:1" x14ac:dyDescent="0.25">
      <c r="A8317" t="s">
        <v>5316</v>
      </c>
    </row>
    <row r="8318" spans="1:1" x14ac:dyDescent="0.25">
      <c r="A8318" t="s">
        <v>5317</v>
      </c>
    </row>
    <row r="8319" spans="1:1" x14ac:dyDescent="0.25">
      <c r="A8319" t="s">
        <v>5318</v>
      </c>
    </row>
    <row r="8320" spans="1:1" x14ac:dyDescent="0.25">
      <c r="A8320" t="s">
        <v>5319</v>
      </c>
    </row>
    <row r="8321" spans="1:1" x14ac:dyDescent="0.25">
      <c r="A8321" t="s">
        <v>5320</v>
      </c>
    </row>
    <row r="8322" spans="1:1" x14ac:dyDescent="0.25">
      <c r="A8322" t="s">
        <v>5321</v>
      </c>
    </row>
    <row r="8323" spans="1:1" x14ac:dyDescent="0.25">
      <c r="A8323" t="s">
        <v>5322</v>
      </c>
    </row>
    <row r="8324" spans="1:1" x14ac:dyDescent="0.25">
      <c r="A8324" t="s">
        <v>5323</v>
      </c>
    </row>
    <row r="8325" spans="1:1" x14ac:dyDescent="0.25">
      <c r="A8325" t="s">
        <v>5324</v>
      </c>
    </row>
    <row r="8326" spans="1:1" x14ac:dyDescent="0.25">
      <c r="A8326" t="s">
        <v>5325</v>
      </c>
    </row>
    <row r="8327" spans="1:1" x14ac:dyDescent="0.25">
      <c r="A8327" t="s">
        <v>5326</v>
      </c>
    </row>
    <row r="8328" spans="1:1" x14ac:dyDescent="0.25">
      <c r="A8328" t="s">
        <v>5327</v>
      </c>
    </row>
    <row r="8329" spans="1:1" x14ac:dyDescent="0.25">
      <c r="A8329" t="s">
        <v>5328</v>
      </c>
    </row>
    <row r="8330" spans="1:1" x14ac:dyDescent="0.25">
      <c r="A8330" t="s">
        <v>5329</v>
      </c>
    </row>
    <row r="8331" spans="1:1" x14ac:dyDescent="0.25">
      <c r="A8331" t="s">
        <v>5330</v>
      </c>
    </row>
    <row r="8332" spans="1:1" x14ac:dyDescent="0.25">
      <c r="A8332" t="s">
        <v>5331</v>
      </c>
    </row>
    <row r="8333" spans="1:1" x14ac:dyDescent="0.25">
      <c r="A8333" t="s">
        <v>5332</v>
      </c>
    </row>
    <row r="8334" spans="1:1" x14ac:dyDescent="0.25">
      <c r="A8334" t="s">
        <v>5333</v>
      </c>
    </row>
    <row r="8335" spans="1:1" x14ac:dyDescent="0.25">
      <c r="A8335" t="s">
        <v>5334</v>
      </c>
    </row>
    <row r="8336" spans="1:1" x14ac:dyDescent="0.25">
      <c r="A8336" t="s">
        <v>5335</v>
      </c>
    </row>
    <row r="8337" spans="1:1" x14ac:dyDescent="0.25">
      <c r="A8337" t="s">
        <v>5336</v>
      </c>
    </row>
    <row r="8338" spans="1:1" x14ac:dyDescent="0.25">
      <c r="A8338" t="s">
        <v>5337</v>
      </c>
    </row>
    <row r="8339" spans="1:1" x14ac:dyDescent="0.25">
      <c r="A8339" t="s">
        <v>5338</v>
      </c>
    </row>
    <row r="8340" spans="1:1" x14ac:dyDescent="0.25">
      <c r="A8340" t="s">
        <v>5339</v>
      </c>
    </row>
    <row r="8341" spans="1:1" x14ac:dyDescent="0.25">
      <c r="A8341" t="s">
        <v>5340</v>
      </c>
    </row>
    <row r="8342" spans="1:1" x14ac:dyDescent="0.25">
      <c r="A8342" t="s">
        <v>5341</v>
      </c>
    </row>
    <row r="8343" spans="1:1" x14ac:dyDescent="0.25">
      <c r="A8343" t="s">
        <v>5342</v>
      </c>
    </row>
    <row r="8344" spans="1:1" x14ac:dyDescent="0.25">
      <c r="A8344" t="s">
        <v>5343</v>
      </c>
    </row>
    <row r="8345" spans="1:1" x14ac:dyDescent="0.25">
      <c r="A8345" t="s">
        <v>5344</v>
      </c>
    </row>
    <row r="8346" spans="1:1" x14ac:dyDescent="0.25">
      <c r="A8346" t="s">
        <v>5345</v>
      </c>
    </row>
    <row r="8347" spans="1:1" x14ac:dyDescent="0.25">
      <c r="A8347" t="s">
        <v>5346</v>
      </c>
    </row>
    <row r="8348" spans="1:1" x14ac:dyDescent="0.25">
      <c r="A8348" t="s">
        <v>5347</v>
      </c>
    </row>
    <row r="8349" spans="1:1" x14ac:dyDescent="0.25">
      <c r="A8349" t="s">
        <v>5348</v>
      </c>
    </row>
    <row r="8350" spans="1:1" x14ac:dyDescent="0.25">
      <c r="A8350" t="s">
        <v>5349</v>
      </c>
    </row>
    <row r="8351" spans="1:1" x14ac:dyDescent="0.25">
      <c r="A8351" t="s">
        <v>5350</v>
      </c>
    </row>
    <row r="8352" spans="1:1" x14ac:dyDescent="0.25">
      <c r="A8352" t="s">
        <v>5351</v>
      </c>
    </row>
    <row r="8353" spans="1:1" x14ac:dyDescent="0.25">
      <c r="A8353" t="s">
        <v>5352</v>
      </c>
    </row>
    <row r="8354" spans="1:1" x14ac:dyDescent="0.25">
      <c r="A8354" t="s">
        <v>5353</v>
      </c>
    </row>
    <row r="8355" spans="1:1" x14ac:dyDescent="0.25">
      <c r="A8355" t="s">
        <v>5354</v>
      </c>
    </row>
    <row r="8356" spans="1:1" x14ac:dyDescent="0.25">
      <c r="A8356" t="s">
        <v>5355</v>
      </c>
    </row>
    <row r="8357" spans="1:1" x14ac:dyDescent="0.25">
      <c r="A8357" t="s">
        <v>5356</v>
      </c>
    </row>
    <row r="8358" spans="1:1" x14ac:dyDescent="0.25">
      <c r="A8358" t="s">
        <v>5357</v>
      </c>
    </row>
    <row r="8359" spans="1:1" x14ac:dyDescent="0.25">
      <c r="A8359" t="s">
        <v>5358</v>
      </c>
    </row>
    <row r="8360" spans="1:1" x14ac:dyDescent="0.25">
      <c r="A8360" t="s">
        <v>5359</v>
      </c>
    </row>
    <row r="8361" spans="1:1" x14ac:dyDescent="0.25">
      <c r="A8361" t="s">
        <v>5360</v>
      </c>
    </row>
    <row r="8362" spans="1:1" x14ac:dyDescent="0.25">
      <c r="A8362" t="s">
        <v>5361</v>
      </c>
    </row>
    <row r="8363" spans="1:1" x14ac:dyDescent="0.25">
      <c r="A8363" t="s">
        <v>5362</v>
      </c>
    </row>
    <row r="8364" spans="1:1" x14ac:dyDescent="0.25">
      <c r="A8364" t="s">
        <v>5363</v>
      </c>
    </row>
    <row r="8365" spans="1:1" x14ac:dyDescent="0.25">
      <c r="A8365" t="s">
        <v>5364</v>
      </c>
    </row>
    <row r="8366" spans="1:1" x14ac:dyDescent="0.25">
      <c r="A8366" t="s">
        <v>5365</v>
      </c>
    </row>
    <row r="8367" spans="1:1" x14ac:dyDescent="0.25">
      <c r="A8367" t="s">
        <v>5366</v>
      </c>
    </row>
    <row r="8368" spans="1:1" x14ac:dyDescent="0.25">
      <c r="A8368" t="s">
        <v>5367</v>
      </c>
    </row>
    <row r="8369" spans="1:1" x14ac:dyDescent="0.25">
      <c r="A8369" t="s">
        <v>5368</v>
      </c>
    </row>
    <row r="8370" spans="1:1" x14ac:dyDescent="0.25">
      <c r="A8370" t="s">
        <v>5369</v>
      </c>
    </row>
    <row r="8371" spans="1:1" x14ac:dyDescent="0.25">
      <c r="A8371" t="s">
        <v>5370</v>
      </c>
    </row>
    <row r="8372" spans="1:1" x14ac:dyDescent="0.25">
      <c r="A8372" t="s">
        <v>5371</v>
      </c>
    </row>
    <row r="8373" spans="1:1" x14ac:dyDescent="0.25">
      <c r="A8373" t="s">
        <v>5372</v>
      </c>
    </row>
    <row r="8374" spans="1:1" x14ac:dyDescent="0.25">
      <c r="A8374" t="s">
        <v>5373</v>
      </c>
    </row>
    <row r="8375" spans="1:1" x14ac:dyDescent="0.25">
      <c r="A8375" t="s">
        <v>5374</v>
      </c>
    </row>
    <row r="8376" spans="1:1" x14ac:dyDescent="0.25">
      <c r="A8376" t="s">
        <v>5375</v>
      </c>
    </row>
    <row r="8377" spans="1:1" x14ac:dyDescent="0.25">
      <c r="A8377" t="s">
        <v>5376</v>
      </c>
    </row>
    <row r="8378" spans="1:1" x14ac:dyDescent="0.25">
      <c r="A8378" t="s">
        <v>5377</v>
      </c>
    </row>
    <row r="8379" spans="1:1" x14ac:dyDescent="0.25">
      <c r="A8379" t="s">
        <v>5378</v>
      </c>
    </row>
    <row r="8380" spans="1:1" x14ac:dyDescent="0.25">
      <c r="A8380" t="s">
        <v>5379</v>
      </c>
    </row>
    <row r="8381" spans="1:1" x14ac:dyDescent="0.25">
      <c r="A8381" t="s">
        <v>5380</v>
      </c>
    </row>
    <row r="8382" spans="1:1" x14ac:dyDescent="0.25">
      <c r="A8382" t="s">
        <v>5381</v>
      </c>
    </row>
    <row r="8383" spans="1:1" x14ac:dyDescent="0.25">
      <c r="A8383" t="s">
        <v>5382</v>
      </c>
    </row>
    <row r="8384" spans="1:1" x14ac:dyDescent="0.25">
      <c r="A8384" t="s">
        <v>5383</v>
      </c>
    </row>
    <row r="8385" spans="1:1" x14ac:dyDescent="0.25">
      <c r="A8385" t="s">
        <v>5384</v>
      </c>
    </row>
    <row r="8386" spans="1:1" x14ac:dyDescent="0.25">
      <c r="A8386" t="s">
        <v>5385</v>
      </c>
    </row>
    <row r="8387" spans="1:1" x14ac:dyDescent="0.25">
      <c r="A8387" t="s">
        <v>5386</v>
      </c>
    </row>
    <row r="8388" spans="1:1" x14ac:dyDescent="0.25">
      <c r="A8388" t="s">
        <v>5387</v>
      </c>
    </row>
    <row r="8389" spans="1:1" x14ac:dyDescent="0.25">
      <c r="A8389" t="s">
        <v>5388</v>
      </c>
    </row>
    <row r="8390" spans="1:1" x14ac:dyDescent="0.25">
      <c r="A8390" t="s">
        <v>5389</v>
      </c>
    </row>
    <row r="8391" spans="1:1" x14ac:dyDescent="0.25">
      <c r="A8391" t="s">
        <v>5390</v>
      </c>
    </row>
    <row r="8392" spans="1:1" x14ac:dyDescent="0.25">
      <c r="A8392" t="s">
        <v>5391</v>
      </c>
    </row>
    <row r="8393" spans="1:1" x14ac:dyDescent="0.25">
      <c r="A8393" t="s">
        <v>5392</v>
      </c>
    </row>
    <row r="8394" spans="1:1" x14ac:dyDescent="0.25">
      <c r="A8394" t="s">
        <v>5393</v>
      </c>
    </row>
    <row r="8395" spans="1:1" x14ac:dyDescent="0.25">
      <c r="A8395" t="s">
        <v>5394</v>
      </c>
    </row>
    <row r="8396" spans="1:1" x14ac:dyDescent="0.25">
      <c r="A8396" t="s">
        <v>5395</v>
      </c>
    </row>
    <row r="8397" spans="1:1" x14ac:dyDescent="0.25">
      <c r="A8397" t="s">
        <v>5396</v>
      </c>
    </row>
    <row r="8398" spans="1:1" x14ac:dyDescent="0.25">
      <c r="A8398" t="s">
        <v>5397</v>
      </c>
    </row>
    <row r="8399" spans="1:1" x14ac:dyDescent="0.25">
      <c r="A8399" t="s">
        <v>5398</v>
      </c>
    </row>
    <row r="8400" spans="1:1" x14ac:dyDescent="0.25">
      <c r="A8400" t="s">
        <v>5399</v>
      </c>
    </row>
    <row r="8401" spans="1:1" x14ac:dyDescent="0.25">
      <c r="A8401" t="s">
        <v>5400</v>
      </c>
    </row>
    <row r="8402" spans="1:1" x14ac:dyDescent="0.25">
      <c r="A8402" t="s">
        <v>5401</v>
      </c>
    </row>
    <row r="8403" spans="1:1" x14ac:dyDescent="0.25">
      <c r="A8403" t="s">
        <v>5402</v>
      </c>
    </row>
    <row r="8404" spans="1:1" x14ac:dyDescent="0.25">
      <c r="A8404" t="s">
        <v>5403</v>
      </c>
    </row>
    <row r="8405" spans="1:1" x14ac:dyDescent="0.25">
      <c r="A8405" t="s">
        <v>5404</v>
      </c>
    </row>
    <row r="8406" spans="1:1" x14ac:dyDescent="0.25">
      <c r="A8406" t="s">
        <v>5405</v>
      </c>
    </row>
    <row r="8407" spans="1:1" x14ac:dyDescent="0.25">
      <c r="A8407" t="s">
        <v>5406</v>
      </c>
    </row>
    <row r="8408" spans="1:1" x14ac:dyDescent="0.25">
      <c r="A8408" t="s">
        <v>5407</v>
      </c>
    </row>
    <row r="8409" spans="1:1" x14ac:dyDescent="0.25">
      <c r="A8409" t="s">
        <v>5408</v>
      </c>
    </row>
    <row r="8410" spans="1:1" x14ac:dyDescent="0.25">
      <c r="A8410" t="s">
        <v>5409</v>
      </c>
    </row>
    <row r="8411" spans="1:1" x14ac:dyDescent="0.25">
      <c r="A8411" t="s">
        <v>5410</v>
      </c>
    </row>
    <row r="8412" spans="1:1" x14ac:dyDescent="0.25">
      <c r="A8412" t="s">
        <v>5411</v>
      </c>
    </row>
    <row r="8413" spans="1:1" x14ac:dyDescent="0.25">
      <c r="A8413" t="s">
        <v>5412</v>
      </c>
    </row>
    <row r="8414" spans="1:1" x14ac:dyDescent="0.25">
      <c r="A8414" t="s">
        <v>5413</v>
      </c>
    </row>
    <row r="8415" spans="1:1" x14ac:dyDescent="0.25">
      <c r="A8415" t="s">
        <v>5414</v>
      </c>
    </row>
    <row r="8416" spans="1:1" x14ac:dyDescent="0.25">
      <c r="A8416" t="s">
        <v>5415</v>
      </c>
    </row>
    <row r="8417" spans="1:1" x14ac:dyDescent="0.25">
      <c r="A8417" t="s">
        <v>5416</v>
      </c>
    </row>
    <row r="8418" spans="1:1" x14ac:dyDescent="0.25">
      <c r="A8418" t="s">
        <v>5417</v>
      </c>
    </row>
    <row r="8419" spans="1:1" x14ac:dyDescent="0.25">
      <c r="A8419" t="s">
        <v>5418</v>
      </c>
    </row>
    <row r="8420" spans="1:1" x14ac:dyDescent="0.25">
      <c r="A8420" t="s">
        <v>5419</v>
      </c>
    </row>
    <row r="8421" spans="1:1" x14ac:dyDescent="0.25">
      <c r="A8421" t="s">
        <v>5420</v>
      </c>
    </row>
    <row r="8422" spans="1:1" x14ac:dyDescent="0.25">
      <c r="A8422" t="s">
        <v>5421</v>
      </c>
    </row>
    <row r="8423" spans="1:1" x14ac:dyDescent="0.25">
      <c r="A8423" t="s">
        <v>5422</v>
      </c>
    </row>
    <row r="8424" spans="1:1" x14ac:dyDescent="0.25">
      <c r="A8424" t="s">
        <v>5423</v>
      </c>
    </row>
    <row r="8425" spans="1:1" x14ac:dyDescent="0.25">
      <c r="A8425" t="s">
        <v>5424</v>
      </c>
    </row>
    <row r="8426" spans="1:1" x14ac:dyDescent="0.25">
      <c r="A8426" t="s">
        <v>5425</v>
      </c>
    </row>
    <row r="8427" spans="1:1" x14ac:dyDescent="0.25">
      <c r="A8427" t="s">
        <v>5426</v>
      </c>
    </row>
    <row r="8428" spans="1:1" x14ac:dyDescent="0.25">
      <c r="A8428" t="s">
        <v>5427</v>
      </c>
    </row>
    <row r="8429" spans="1:1" x14ac:dyDescent="0.25">
      <c r="A8429" t="s">
        <v>5428</v>
      </c>
    </row>
    <row r="8430" spans="1:1" x14ac:dyDescent="0.25">
      <c r="A8430" t="s">
        <v>5429</v>
      </c>
    </row>
    <row r="8431" spans="1:1" x14ac:dyDescent="0.25">
      <c r="A8431" t="s">
        <v>5430</v>
      </c>
    </row>
    <row r="8432" spans="1:1" x14ac:dyDescent="0.25">
      <c r="A8432" t="s">
        <v>5431</v>
      </c>
    </row>
    <row r="8433" spans="1:1" x14ac:dyDescent="0.25">
      <c r="A8433" t="s">
        <v>5432</v>
      </c>
    </row>
    <row r="8434" spans="1:1" x14ac:dyDescent="0.25">
      <c r="A8434" t="s">
        <v>5433</v>
      </c>
    </row>
    <row r="8435" spans="1:1" x14ac:dyDescent="0.25">
      <c r="A8435" t="s">
        <v>5434</v>
      </c>
    </row>
    <row r="8436" spans="1:1" x14ac:dyDescent="0.25">
      <c r="A8436" t="s">
        <v>5435</v>
      </c>
    </row>
    <row r="8437" spans="1:1" x14ac:dyDescent="0.25">
      <c r="A8437" t="s">
        <v>5436</v>
      </c>
    </row>
    <row r="8438" spans="1:1" x14ac:dyDescent="0.25">
      <c r="A8438" t="s">
        <v>5437</v>
      </c>
    </row>
    <row r="8439" spans="1:1" x14ac:dyDescent="0.25">
      <c r="A8439" t="s">
        <v>5438</v>
      </c>
    </row>
    <row r="8440" spans="1:1" x14ac:dyDescent="0.25">
      <c r="A8440" t="s">
        <v>5439</v>
      </c>
    </row>
    <row r="8441" spans="1:1" x14ac:dyDescent="0.25">
      <c r="A8441" t="s">
        <v>5440</v>
      </c>
    </row>
    <row r="8442" spans="1:1" x14ac:dyDescent="0.25">
      <c r="A8442" t="s">
        <v>5441</v>
      </c>
    </row>
    <row r="8443" spans="1:1" x14ac:dyDescent="0.25">
      <c r="A8443" t="s">
        <v>5442</v>
      </c>
    </row>
    <row r="8444" spans="1:1" x14ac:dyDescent="0.25">
      <c r="A8444" t="s">
        <v>5443</v>
      </c>
    </row>
    <row r="8445" spans="1:1" x14ac:dyDescent="0.25">
      <c r="A8445" t="s">
        <v>5444</v>
      </c>
    </row>
    <row r="8446" spans="1:1" x14ac:dyDescent="0.25">
      <c r="A8446" t="s">
        <v>5445</v>
      </c>
    </row>
    <row r="8447" spans="1:1" x14ac:dyDescent="0.25">
      <c r="A8447" t="s">
        <v>5446</v>
      </c>
    </row>
    <row r="8448" spans="1:1" x14ac:dyDescent="0.25">
      <c r="A8448" t="s">
        <v>5447</v>
      </c>
    </row>
    <row r="8449" spans="1:1" x14ac:dyDescent="0.25">
      <c r="A8449" t="s">
        <v>5448</v>
      </c>
    </row>
    <row r="8450" spans="1:1" x14ac:dyDescent="0.25">
      <c r="A8450" t="s">
        <v>5449</v>
      </c>
    </row>
    <row r="8451" spans="1:1" x14ac:dyDescent="0.25">
      <c r="A8451" t="s">
        <v>5450</v>
      </c>
    </row>
    <row r="8452" spans="1:1" x14ac:dyDescent="0.25">
      <c r="A8452" t="s">
        <v>5451</v>
      </c>
    </row>
    <row r="8453" spans="1:1" x14ac:dyDescent="0.25">
      <c r="A8453" t="s">
        <v>5452</v>
      </c>
    </row>
    <row r="8454" spans="1:1" x14ac:dyDescent="0.25">
      <c r="A8454" t="s">
        <v>5453</v>
      </c>
    </row>
    <row r="8455" spans="1:1" x14ac:dyDescent="0.25">
      <c r="A8455" t="s">
        <v>5454</v>
      </c>
    </row>
    <row r="8456" spans="1:1" x14ac:dyDescent="0.25">
      <c r="A8456" t="s">
        <v>5455</v>
      </c>
    </row>
    <row r="8457" spans="1:1" x14ac:dyDescent="0.25">
      <c r="A8457" t="s">
        <v>5456</v>
      </c>
    </row>
    <row r="8458" spans="1:1" x14ac:dyDescent="0.25">
      <c r="A8458" t="s">
        <v>5457</v>
      </c>
    </row>
    <row r="8459" spans="1:1" x14ac:dyDescent="0.25">
      <c r="A8459" t="s">
        <v>5458</v>
      </c>
    </row>
    <row r="8460" spans="1:1" x14ac:dyDescent="0.25">
      <c r="A8460" t="s">
        <v>5459</v>
      </c>
    </row>
    <row r="8461" spans="1:1" x14ac:dyDescent="0.25">
      <c r="A8461" t="s">
        <v>5460</v>
      </c>
    </row>
    <row r="8462" spans="1:1" x14ac:dyDescent="0.25">
      <c r="A8462" t="s">
        <v>5461</v>
      </c>
    </row>
    <row r="8463" spans="1:1" x14ac:dyDescent="0.25">
      <c r="A8463" t="s">
        <v>5462</v>
      </c>
    </row>
    <row r="8464" spans="1:1" x14ac:dyDescent="0.25">
      <c r="A8464" t="s">
        <v>5463</v>
      </c>
    </row>
    <row r="8465" spans="1:1" x14ac:dyDescent="0.25">
      <c r="A8465" t="s">
        <v>5464</v>
      </c>
    </row>
    <row r="8466" spans="1:1" x14ac:dyDescent="0.25">
      <c r="A8466" t="s">
        <v>5465</v>
      </c>
    </row>
    <row r="8467" spans="1:1" x14ac:dyDescent="0.25">
      <c r="A8467" t="s">
        <v>5466</v>
      </c>
    </row>
    <row r="8468" spans="1:1" x14ac:dyDescent="0.25">
      <c r="A8468" t="s">
        <v>5467</v>
      </c>
    </row>
    <row r="8469" spans="1:1" x14ac:dyDescent="0.25">
      <c r="A8469" t="s">
        <v>5468</v>
      </c>
    </row>
    <row r="8470" spans="1:1" x14ac:dyDescent="0.25">
      <c r="A8470" t="s">
        <v>5469</v>
      </c>
    </row>
    <row r="8471" spans="1:1" x14ac:dyDescent="0.25">
      <c r="A8471" t="s">
        <v>5470</v>
      </c>
    </row>
    <row r="8472" spans="1:1" x14ac:dyDescent="0.25">
      <c r="A8472" t="s">
        <v>5471</v>
      </c>
    </row>
    <row r="8473" spans="1:1" x14ac:dyDescent="0.25">
      <c r="A8473" t="s">
        <v>5472</v>
      </c>
    </row>
    <row r="8474" spans="1:1" x14ac:dyDescent="0.25">
      <c r="A8474" t="s">
        <v>5473</v>
      </c>
    </row>
    <row r="8475" spans="1:1" x14ac:dyDescent="0.25">
      <c r="A8475" t="s">
        <v>5474</v>
      </c>
    </row>
    <row r="8476" spans="1:1" x14ac:dyDescent="0.25">
      <c r="A8476" t="s">
        <v>5475</v>
      </c>
    </row>
    <row r="8477" spans="1:1" x14ac:dyDescent="0.25">
      <c r="A8477" t="s">
        <v>5476</v>
      </c>
    </row>
    <row r="8478" spans="1:1" x14ac:dyDescent="0.25">
      <c r="A8478" t="s">
        <v>5477</v>
      </c>
    </row>
    <row r="8479" spans="1:1" x14ac:dyDescent="0.25">
      <c r="A8479" t="s">
        <v>5478</v>
      </c>
    </row>
    <row r="8480" spans="1:1" x14ac:dyDescent="0.25">
      <c r="A8480" t="s">
        <v>5479</v>
      </c>
    </row>
    <row r="8481" spans="1:1" x14ac:dyDescent="0.25">
      <c r="A8481" t="s">
        <v>5480</v>
      </c>
    </row>
    <row r="8482" spans="1:1" x14ac:dyDescent="0.25">
      <c r="A8482" t="s">
        <v>5481</v>
      </c>
    </row>
    <row r="8483" spans="1:1" x14ac:dyDescent="0.25">
      <c r="A8483" t="s">
        <v>5482</v>
      </c>
    </row>
    <row r="8484" spans="1:1" x14ac:dyDescent="0.25">
      <c r="A8484" t="s">
        <v>5483</v>
      </c>
    </row>
    <row r="8485" spans="1:1" x14ac:dyDescent="0.25">
      <c r="A8485" t="s">
        <v>5484</v>
      </c>
    </row>
    <row r="8486" spans="1:1" x14ac:dyDescent="0.25">
      <c r="A8486" t="s">
        <v>5485</v>
      </c>
    </row>
    <row r="8487" spans="1:1" x14ac:dyDescent="0.25">
      <c r="A8487" t="s">
        <v>5486</v>
      </c>
    </row>
    <row r="8488" spans="1:1" x14ac:dyDescent="0.25">
      <c r="A8488" t="s">
        <v>5487</v>
      </c>
    </row>
    <row r="8489" spans="1:1" x14ac:dyDescent="0.25">
      <c r="A8489" t="s">
        <v>5488</v>
      </c>
    </row>
    <row r="8490" spans="1:1" x14ac:dyDescent="0.25">
      <c r="A8490" t="s">
        <v>5489</v>
      </c>
    </row>
    <row r="8491" spans="1:1" x14ac:dyDescent="0.25">
      <c r="A8491" t="s">
        <v>5490</v>
      </c>
    </row>
    <row r="8492" spans="1:1" x14ac:dyDescent="0.25">
      <c r="A8492" t="s">
        <v>5491</v>
      </c>
    </row>
    <row r="8493" spans="1:1" x14ac:dyDescent="0.25">
      <c r="A8493" t="s">
        <v>5492</v>
      </c>
    </row>
    <row r="8494" spans="1:1" x14ac:dyDescent="0.25">
      <c r="A8494" t="s">
        <v>5493</v>
      </c>
    </row>
    <row r="8495" spans="1:1" x14ac:dyDescent="0.25">
      <c r="A8495" t="s">
        <v>5494</v>
      </c>
    </row>
    <row r="8496" spans="1:1" x14ac:dyDescent="0.25">
      <c r="A8496" t="s">
        <v>5495</v>
      </c>
    </row>
    <row r="8497" spans="1:1" x14ac:dyDescent="0.25">
      <c r="A8497" t="s">
        <v>5496</v>
      </c>
    </row>
    <row r="8498" spans="1:1" x14ac:dyDescent="0.25">
      <c r="A8498" t="s">
        <v>5497</v>
      </c>
    </row>
    <row r="8499" spans="1:1" x14ac:dyDescent="0.25">
      <c r="A8499" t="s">
        <v>5498</v>
      </c>
    </row>
    <row r="8500" spans="1:1" x14ac:dyDescent="0.25">
      <c r="A8500" t="s">
        <v>5499</v>
      </c>
    </row>
    <row r="8501" spans="1:1" x14ac:dyDescent="0.25">
      <c r="A8501" t="s">
        <v>5500</v>
      </c>
    </row>
    <row r="8502" spans="1:1" x14ac:dyDescent="0.25">
      <c r="A8502" t="s">
        <v>5501</v>
      </c>
    </row>
    <row r="8503" spans="1:1" x14ac:dyDescent="0.25">
      <c r="A8503" t="s">
        <v>5502</v>
      </c>
    </row>
    <row r="8504" spans="1:1" x14ac:dyDescent="0.25">
      <c r="A8504" t="s">
        <v>5503</v>
      </c>
    </row>
    <row r="8505" spans="1:1" x14ac:dyDescent="0.25">
      <c r="A8505" t="s">
        <v>5504</v>
      </c>
    </row>
    <row r="8506" spans="1:1" x14ac:dyDescent="0.25">
      <c r="A8506" t="s">
        <v>5505</v>
      </c>
    </row>
    <row r="8507" spans="1:1" x14ac:dyDescent="0.25">
      <c r="A8507" t="s">
        <v>5506</v>
      </c>
    </row>
    <row r="8508" spans="1:1" x14ac:dyDescent="0.25">
      <c r="A8508" t="s">
        <v>5507</v>
      </c>
    </row>
    <row r="8509" spans="1:1" x14ac:dyDescent="0.25">
      <c r="A8509" t="s">
        <v>5508</v>
      </c>
    </row>
    <row r="8510" spans="1:1" x14ac:dyDescent="0.25">
      <c r="A8510" t="s">
        <v>5509</v>
      </c>
    </row>
    <row r="8511" spans="1:1" x14ac:dyDescent="0.25">
      <c r="A8511" t="s">
        <v>5510</v>
      </c>
    </row>
    <row r="8512" spans="1:1" x14ac:dyDescent="0.25">
      <c r="A8512" t="s">
        <v>5511</v>
      </c>
    </row>
    <row r="8513" spans="1:1" x14ac:dyDescent="0.25">
      <c r="A8513" t="s">
        <v>5512</v>
      </c>
    </row>
    <row r="8514" spans="1:1" x14ac:dyDescent="0.25">
      <c r="A8514" t="s">
        <v>5513</v>
      </c>
    </row>
    <row r="8515" spans="1:1" x14ac:dyDescent="0.25">
      <c r="A8515" t="s">
        <v>5514</v>
      </c>
    </row>
    <row r="8516" spans="1:1" x14ac:dyDescent="0.25">
      <c r="A8516" t="s">
        <v>5515</v>
      </c>
    </row>
    <row r="8517" spans="1:1" x14ac:dyDescent="0.25">
      <c r="A8517" t="s">
        <v>5516</v>
      </c>
    </row>
    <row r="8518" spans="1:1" x14ac:dyDescent="0.25">
      <c r="A8518" t="s">
        <v>5517</v>
      </c>
    </row>
    <row r="8519" spans="1:1" x14ac:dyDescent="0.25">
      <c r="A8519" t="s">
        <v>5518</v>
      </c>
    </row>
    <row r="8520" spans="1:1" x14ac:dyDescent="0.25">
      <c r="A8520" t="s">
        <v>5519</v>
      </c>
    </row>
    <row r="8521" spans="1:1" x14ac:dyDescent="0.25">
      <c r="A8521" t="s">
        <v>5520</v>
      </c>
    </row>
    <row r="8522" spans="1:1" x14ac:dyDescent="0.25">
      <c r="A8522" t="s">
        <v>5521</v>
      </c>
    </row>
    <row r="8523" spans="1:1" x14ac:dyDescent="0.25">
      <c r="A8523" t="s">
        <v>5522</v>
      </c>
    </row>
    <row r="8524" spans="1:1" x14ac:dyDescent="0.25">
      <c r="A8524" t="s">
        <v>5523</v>
      </c>
    </row>
    <row r="8525" spans="1:1" x14ac:dyDescent="0.25">
      <c r="A8525" t="s">
        <v>5524</v>
      </c>
    </row>
    <row r="8526" spans="1:1" x14ac:dyDescent="0.25">
      <c r="A8526" t="s">
        <v>5525</v>
      </c>
    </row>
    <row r="8527" spans="1:1" x14ac:dyDescent="0.25">
      <c r="A8527" t="s">
        <v>5526</v>
      </c>
    </row>
    <row r="8528" spans="1:1" x14ac:dyDescent="0.25">
      <c r="A8528" t="s">
        <v>5527</v>
      </c>
    </row>
    <row r="8529" spans="1:1" x14ac:dyDescent="0.25">
      <c r="A8529" t="s">
        <v>5528</v>
      </c>
    </row>
    <row r="8530" spans="1:1" x14ac:dyDescent="0.25">
      <c r="A8530" t="s">
        <v>5529</v>
      </c>
    </row>
    <row r="8531" spans="1:1" x14ac:dyDescent="0.25">
      <c r="A8531" t="s">
        <v>5530</v>
      </c>
    </row>
    <row r="8532" spans="1:1" x14ac:dyDescent="0.25">
      <c r="A8532" t="s">
        <v>5531</v>
      </c>
    </row>
    <row r="8533" spans="1:1" x14ac:dyDescent="0.25">
      <c r="A8533" t="s">
        <v>5532</v>
      </c>
    </row>
    <row r="8534" spans="1:1" x14ac:dyDescent="0.25">
      <c r="A8534" t="s">
        <v>5533</v>
      </c>
    </row>
    <row r="8535" spans="1:1" x14ac:dyDescent="0.25">
      <c r="A8535" t="s">
        <v>5534</v>
      </c>
    </row>
    <row r="8536" spans="1:1" x14ac:dyDescent="0.25">
      <c r="A8536" t="s">
        <v>5535</v>
      </c>
    </row>
    <row r="8537" spans="1:1" x14ac:dyDescent="0.25">
      <c r="A8537" t="s">
        <v>5536</v>
      </c>
    </row>
    <row r="8538" spans="1:1" x14ac:dyDescent="0.25">
      <c r="A8538" t="s">
        <v>5537</v>
      </c>
    </row>
    <row r="8539" spans="1:1" x14ac:dyDescent="0.25">
      <c r="A8539" t="s">
        <v>5538</v>
      </c>
    </row>
    <row r="8540" spans="1:1" x14ac:dyDescent="0.25">
      <c r="A8540" t="s">
        <v>5539</v>
      </c>
    </row>
    <row r="8541" spans="1:1" x14ac:dyDescent="0.25">
      <c r="A8541" t="s">
        <v>5540</v>
      </c>
    </row>
    <row r="8542" spans="1:1" x14ac:dyDescent="0.25">
      <c r="A8542" t="s">
        <v>5541</v>
      </c>
    </row>
    <row r="8543" spans="1:1" x14ac:dyDescent="0.25">
      <c r="A8543" t="s">
        <v>5542</v>
      </c>
    </row>
    <row r="8544" spans="1:1" x14ac:dyDescent="0.25">
      <c r="A8544" t="s">
        <v>5543</v>
      </c>
    </row>
    <row r="8545" spans="1:1" x14ac:dyDescent="0.25">
      <c r="A8545" t="s">
        <v>5544</v>
      </c>
    </row>
    <row r="8546" spans="1:1" x14ac:dyDescent="0.25">
      <c r="A8546" t="s">
        <v>5545</v>
      </c>
    </row>
    <row r="8547" spans="1:1" x14ac:dyDescent="0.25">
      <c r="A8547" t="s">
        <v>5546</v>
      </c>
    </row>
    <row r="8548" spans="1:1" x14ac:dyDescent="0.25">
      <c r="A8548" t="s">
        <v>5547</v>
      </c>
    </row>
    <row r="8549" spans="1:1" x14ac:dyDescent="0.25">
      <c r="A8549" t="s">
        <v>5548</v>
      </c>
    </row>
    <row r="8550" spans="1:1" x14ac:dyDescent="0.25">
      <c r="A8550" t="s">
        <v>5549</v>
      </c>
    </row>
    <row r="8551" spans="1:1" x14ac:dyDescent="0.25">
      <c r="A8551" t="s">
        <v>5550</v>
      </c>
    </row>
    <row r="8552" spans="1:1" x14ac:dyDescent="0.25">
      <c r="A8552" t="s">
        <v>5551</v>
      </c>
    </row>
    <row r="8553" spans="1:1" x14ac:dyDescent="0.25">
      <c r="A8553" t="s">
        <v>5552</v>
      </c>
    </row>
    <row r="8554" spans="1:1" x14ac:dyDescent="0.25">
      <c r="A8554" t="s">
        <v>5553</v>
      </c>
    </row>
    <row r="8555" spans="1:1" x14ac:dyDescent="0.25">
      <c r="A8555" t="s">
        <v>5554</v>
      </c>
    </row>
    <row r="8556" spans="1:1" x14ac:dyDescent="0.25">
      <c r="A8556" t="s">
        <v>5555</v>
      </c>
    </row>
    <row r="8557" spans="1:1" x14ac:dyDescent="0.25">
      <c r="A8557" t="s">
        <v>5556</v>
      </c>
    </row>
    <row r="8558" spans="1:1" x14ac:dyDescent="0.25">
      <c r="A8558" t="s">
        <v>5557</v>
      </c>
    </row>
    <row r="8559" spans="1:1" x14ac:dyDescent="0.25">
      <c r="A8559" t="s">
        <v>5558</v>
      </c>
    </row>
    <row r="8560" spans="1:1" x14ac:dyDescent="0.25">
      <c r="A8560" t="s">
        <v>5559</v>
      </c>
    </row>
    <row r="8561" spans="1:1" x14ac:dyDescent="0.25">
      <c r="A8561" t="s">
        <v>5560</v>
      </c>
    </row>
    <row r="8562" spans="1:1" x14ac:dyDescent="0.25">
      <c r="A8562" t="s">
        <v>5561</v>
      </c>
    </row>
    <row r="8563" spans="1:1" x14ac:dyDescent="0.25">
      <c r="A8563" t="s">
        <v>5562</v>
      </c>
    </row>
    <row r="8564" spans="1:1" x14ac:dyDescent="0.25">
      <c r="A8564" t="s">
        <v>5563</v>
      </c>
    </row>
    <row r="8565" spans="1:1" x14ac:dyDescent="0.25">
      <c r="A8565" t="s">
        <v>5564</v>
      </c>
    </row>
    <row r="8566" spans="1:1" x14ac:dyDescent="0.25">
      <c r="A8566" t="s">
        <v>5565</v>
      </c>
    </row>
    <row r="8567" spans="1:1" x14ac:dyDescent="0.25">
      <c r="A8567" t="s">
        <v>5566</v>
      </c>
    </row>
    <row r="8568" spans="1:1" x14ac:dyDescent="0.25">
      <c r="A8568" t="s">
        <v>5567</v>
      </c>
    </row>
    <row r="8569" spans="1:1" x14ac:dyDescent="0.25">
      <c r="A8569" t="s">
        <v>5568</v>
      </c>
    </row>
    <row r="8570" spans="1:1" x14ac:dyDescent="0.25">
      <c r="A8570" t="s">
        <v>5569</v>
      </c>
    </row>
    <row r="8571" spans="1:1" x14ac:dyDescent="0.25">
      <c r="A8571" t="s">
        <v>5570</v>
      </c>
    </row>
    <row r="8572" spans="1:1" x14ac:dyDescent="0.25">
      <c r="A8572" t="s">
        <v>5571</v>
      </c>
    </row>
    <row r="8573" spans="1:1" x14ac:dyDescent="0.25">
      <c r="A8573" t="s">
        <v>5572</v>
      </c>
    </row>
    <row r="8574" spans="1:1" x14ac:dyDescent="0.25">
      <c r="A8574" t="s">
        <v>5573</v>
      </c>
    </row>
    <row r="8575" spans="1:1" x14ac:dyDescent="0.25">
      <c r="A8575" t="s">
        <v>5574</v>
      </c>
    </row>
    <row r="8576" spans="1:1" x14ac:dyDescent="0.25">
      <c r="A8576" t="s">
        <v>5575</v>
      </c>
    </row>
    <row r="8577" spans="1:1" x14ac:dyDescent="0.25">
      <c r="A8577" t="s">
        <v>5576</v>
      </c>
    </row>
    <row r="8578" spans="1:1" x14ac:dyDescent="0.25">
      <c r="A8578" t="s">
        <v>5577</v>
      </c>
    </row>
    <row r="8579" spans="1:1" x14ac:dyDescent="0.25">
      <c r="A8579" t="s">
        <v>5578</v>
      </c>
    </row>
    <row r="8580" spans="1:1" x14ac:dyDescent="0.25">
      <c r="A8580" t="s">
        <v>5579</v>
      </c>
    </row>
    <row r="8581" spans="1:1" x14ac:dyDescent="0.25">
      <c r="A8581" t="s">
        <v>5580</v>
      </c>
    </row>
    <row r="8582" spans="1:1" x14ac:dyDescent="0.25">
      <c r="A8582" t="s">
        <v>5581</v>
      </c>
    </row>
    <row r="8583" spans="1:1" x14ac:dyDescent="0.25">
      <c r="A8583" t="s">
        <v>5582</v>
      </c>
    </row>
    <row r="8584" spans="1:1" x14ac:dyDescent="0.25">
      <c r="A8584" t="s">
        <v>5583</v>
      </c>
    </row>
    <row r="8585" spans="1:1" x14ac:dyDescent="0.25">
      <c r="A8585" t="s">
        <v>5584</v>
      </c>
    </row>
    <row r="8586" spans="1:1" x14ac:dyDescent="0.25">
      <c r="A8586" t="s">
        <v>5585</v>
      </c>
    </row>
    <row r="8587" spans="1:1" x14ac:dyDescent="0.25">
      <c r="A8587" t="s">
        <v>5586</v>
      </c>
    </row>
    <row r="8588" spans="1:1" x14ac:dyDescent="0.25">
      <c r="A8588" t="s">
        <v>5587</v>
      </c>
    </row>
    <row r="8589" spans="1:1" x14ac:dyDescent="0.25">
      <c r="A8589" t="s">
        <v>5588</v>
      </c>
    </row>
    <row r="8590" spans="1:1" x14ac:dyDescent="0.25">
      <c r="A8590" t="s">
        <v>5589</v>
      </c>
    </row>
    <row r="8591" spans="1:1" x14ac:dyDescent="0.25">
      <c r="A8591" t="s">
        <v>5590</v>
      </c>
    </row>
    <row r="8592" spans="1:1" x14ac:dyDescent="0.25">
      <c r="A8592" t="s">
        <v>5591</v>
      </c>
    </row>
    <row r="8593" spans="1:1" x14ac:dyDescent="0.25">
      <c r="A8593" t="s">
        <v>5592</v>
      </c>
    </row>
    <row r="8594" spans="1:1" x14ac:dyDescent="0.25">
      <c r="A8594" t="s">
        <v>5593</v>
      </c>
    </row>
    <row r="8595" spans="1:1" x14ac:dyDescent="0.25">
      <c r="A8595" t="s">
        <v>5594</v>
      </c>
    </row>
    <row r="8596" spans="1:1" x14ac:dyDescent="0.25">
      <c r="A8596" t="s">
        <v>5595</v>
      </c>
    </row>
    <row r="8597" spans="1:1" x14ac:dyDescent="0.25">
      <c r="A8597" t="s">
        <v>5596</v>
      </c>
    </row>
    <row r="8598" spans="1:1" x14ac:dyDescent="0.25">
      <c r="A8598" t="s">
        <v>5597</v>
      </c>
    </row>
    <row r="8599" spans="1:1" x14ac:dyDescent="0.25">
      <c r="A8599" t="s">
        <v>5598</v>
      </c>
    </row>
    <row r="8600" spans="1:1" x14ac:dyDescent="0.25">
      <c r="A8600" t="s">
        <v>5599</v>
      </c>
    </row>
    <row r="8601" spans="1:1" x14ac:dyDescent="0.25">
      <c r="A8601" t="s">
        <v>5600</v>
      </c>
    </row>
    <row r="8602" spans="1:1" x14ac:dyDescent="0.25">
      <c r="A8602" t="s">
        <v>5601</v>
      </c>
    </row>
    <row r="8603" spans="1:1" x14ac:dyDescent="0.25">
      <c r="A8603" t="s">
        <v>5602</v>
      </c>
    </row>
    <row r="8604" spans="1:1" x14ac:dyDescent="0.25">
      <c r="A8604" t="s">
        <v>5603</v>
      </c>
    </row>
    <row r="8605" spans="1:1" x14ac:dyDescent="0.25">
      <c r="A8605" t="s">
        <v>5604</v>
      </c>
    </row>
    <row r="8606" spans="1:1" x14ac:dyDescent="0.25">
      <c r="A8606" t="s">
        <v>5605</v>
      </c>
    </row>
    <row r="8607" spans="1:1" x14ac:dyDescent="0.25">
      <c r="A8607" t="s">
        <v>5606</v>
      </c>
    </row>
    <row r="8608" spans="1:1" x14ac:dyDescent="0.25">
      <c r="A8608" t="s">
        <v>5607</v>
      </c>
    </row>
    <row r="8609" spans="1:1" x14ac:dyDescent="0.25">
      <c r="A8609" t="s">
        <v>5608</v>
      </c>
    </row>
    <row r="8610" spans="1:1" x14ac:dyDescent="0.25">
      <c r="A8610" t="s">
        <v>5609</v>
      </c>
    </row>
    <row r="8611" spans="1:1" x14ac:dyDescent="0.25">
      <c r="A8611" t="s">
        <v>5610</v>
      </c>
    </row>
    <row r="8612" spans="1:1" x14ac:dyDescent="0.25">
      <c r="A8612" t="s">
        <v>5611</v>
      </c>
    </row>
    <row r="8613" spans="1:1" x14ac:dyDescent="0.25">
      <c r="A8613" t="s">
        <v>5612</v>
      </c>
    </row>
    <row r="8614" spans="1:1" x14ac:dyDescent="0.25">
      <c r="A8614" t="s">
        <v>5613</v>
      </c>
    </row>
    <row r="8615" spans="1:1" x14ac:dyDescent="0.25">
      <c r="A8615" t="s">
        <v>5614</v>
      </c>
    </row>
    <row r="8616" spans="1:1" x14ac:dyDescent="0.25">
      <c r="A8616" t="s">
        <v>5615</v>
      </c>
    </row>
    <row r="8617" spans="1:1" x14ac:dyDescent="0.25">
      <c r="A8617" t="s">
        <v>5616</v>
      </c>
    </row>
    <row r="8618" spans="1:1" x14ac:dyDescent="0.25">
      <c r="A8618" t="s">
        <v>5617</v>
      </c>
    </row>
    <row r="8619" spans="1:1" x14ac:dyDescent="0.25">
      <c r="A8619" t="s">
        <v>5618</v>
      </c>
    </row>
    <row r="8620" spans="1:1" x14ac:dyDescent="0.25">
      <c r="A8620" t="s">
        <v>5619</v>
      </c>
    </row>
    <row r="8621" spans="1:1" x14ac:dyDescent="0.25">
      <c r="A8621" t="s">
        <v>5620</v>
      </c>
    </row>
    <row r="8622" spans="1:1" x14ac:dyDescent="0.25">
      <c r="A8622" t="s">
        <v>5621</v>
      </c>
    </row>
    <row r="8623" spans="1:1" x14ac:dyDescent="0.25">
      <c r="A8623" t="s">
        <v>5622</v>
      </c>
    </row>
    <row r="8624" spans="1:1" x14ac:dyDescent="0.25">
      <c r="A8624" t="s">
        <v>5623</v>
      </c>
    </row>
    <row r="8625" spans="1:1" x14ac:dyDescent="0.25">
      <c r="A8625" t="s">
        <v>5624</v>
      </c>
    </row>
    <row r="8626" spans="1:1" x14ac:dyDescent="0.25">
      <c r="A8626" t="s">
        <v>5625</v>
      </c>
    </row>
    <row r="8627" spans="1:1" x14ac:dyDescent="0.25">
      <c r="A8627" t="s">
        <v>5626</v>
      </c>
    </row>
    <row r="8628" spans="1:1" x14ac:dyDescent="0.25">
      <c r="A8628" t="s">
        <v>5627</v>
      </c>
    </row>
    <row r="8629" spans="1:1" x14ac:dyDescent="0.25">
      <c r="A8629" t="s">
        <v>5628</v>
      </c>
    </row>
    <row r="8630" spans="1:1" x14ac:dyDescent="0.25">
      <c r="A8630" t="s">
        <v>5629</v>
      </c>
    </row>
    <row r="8631" spans="1:1" x14ac:dyDescent="0.25">
      <c r="A8631" t="s">
        <v>5630</v>
      </c>
    </row>
    <row r="8632" spans="1:1" x14ac:dyDescent="0.25">
      <c r="A8632" t="s">
        <v>5631</v>
      </c>
    </row>
    <row r="8633" spans="1:1" x14ac:dyDescent="0.25">
      <c r="A8633" t="s">
        <v>5632</v>
      </c>
    </row>
    <row r="8634" spans="1:1" x14ac:dyDescent="0.25">
      <c r="A8634" t="s">
        <v>5633</v>
      </c>
    </row>
    <row r="8635" spans="1:1" x14ac:dyDescent="0.25">
      <c r="A8635" t="s">
        <v>5634</v>
      </c>
    </row>
    <row r="8636" spans="1:1" x14ac:dyDescent="0.25">
      <c r="A8636" t="s">
        <v>5635</v>
      </c>
    </row>
    <row r="8637" spans="1:1" x14ac:dyDescent="0.25">
      <c r="A8637" t="s">
        <v>5636</v>
      </c>
    </row>
    <row r="8638" spans="1:1" x14ac:dyDescent="0.25">
      <c r="A8638" t="s">
        <v>5637</v>
      </c>
    </row>
    <row r="8639" spans="1:1" x14ac:dyDescent="0.25">
      <c r="A8639" t="s">
        <v>5638</v>
      </c>
    </row>
    <row r="8640" spans="1:1" x14ac:dyDescent="0.25">
      <c r="A8640" t="s">
        <v>5639</v>
      </c>
    </row>
    <row r="8641" spans="1:1" x14ac:dyDescent="0.25">
      <c r="A8641" t="s">
        <v>5640</v>
      </c>
    </row>
    <row r="8642" spans="1:1" x14ac:dyDescent="0.25">
      <c r="A8642" t="s">
        <v>5641</v>
      </c>
    </row>
    <row r="8643" spans="1:1" x14ac:dyDescent="0.25">
      <c r="A8643" t="s">
        <v>5642</v>
      </c>
    </row>
    <row r="8644" spans="1:1" x14ac:dyDescent="0.25">
      <c r="A8644" t="s">
        <v>5643</v>
      </c>
    </row>
    <row r="8645" spans="1:1" x14ac:dyDescent="0.25">
      <c r="A8645" t="s">
        <v>5644</v>
      </c>
    </row>
    <row r="8646" spans="1:1" x14ac:dyDescent="0.25">
      <c r="A8646" t="s">
        <v>5645</v>
      </c>
    </row>
    <row r="8647" spans="1:1" x14ac:dyDescent="0.25">
      <c r="A8647" t="s">
        <v>5646</v>
      </c>
    </row>
    <row r="8648" spans="1:1" x14ac:dyDescent="0.25">
      <c r="A8648" t="s">
        <v>5647</v>
      </c>
    </row>
    <row r="8649" spans="1:1" x14ac:dyDescent="0.25">
      <c r="A8649" t="s">
        <v>5648</v>
      </c>
    </row>
    <row r="8650" spans="1:1" x14ac:dyDescent="0.25">
      <c r="A8650" t="s">
        <v>5649</v>
      </c>
    </row>
    <row r="8651" spans="1:1" x14ac:dyDescent="0.25">
      <c r="A8651" t="s">
        <v>5650</v>
      </c>
    </row>
    <row r="8652" spans="1:1" x14ac:dyDescent="0.25">
      <c r="A8652" t="s">
        <v>5651</v>
      </c>
    </row>
    <row r="8653" spans="1:1" x14ac:dyDescent="0.25">
      <c r="A8653" t="s">
        <v>5652</v>
      </c>
    </row>
    <row r="8654" spans="1:1" x14ac:dyDescent="0.25">
      <c r="A8654" t="s">
        <v>5653</v>
      </c>
    </row>
    <row r="8655" spans="1:1" x14ac:dyDescent="0.25">
      <c r="A8655" t="s">
        <v>5654</v>
      </c>
    </row>
    <row r="8656" spans="1:1" x14ac:dyDescent="0.25">
      <c r="A8656" t="s">
        <v>5655</v>
      </c>
    </row>
    <row r="8657" spans="1:1" x14ac:dyDescent="0.25">
      <c r="A8657" t="s">
        <v>5656</v>
      </c>
    </row>
    <row r="8658" spans="1:1" x14ac:dyDescent="0.25">
      <c r="A8658" t="s">
        <v>5657</v>
      </c>
    </row>
    <row r="8659" spans="1:1" x14ac:dyDescent="0.25">
      <c r="A8659" t="s">
        <v>5658</v>
      </c>
    </row>
    <row r="8660" spans="1:1" x14ac:dyDescent="0.25">
      <c r="A8660" t="s">
        <v>5659</v>
      </c>
    </row>
    <row r="8661" spans="1:1" x14ac:dyDescent="0.25">
      <c r="A8661" t="s">
        <v>5660</v>
      </c>
    </row>
    <row r="8662" spans="1:1" x14ac:dyDescent="0.25">
      <c r="A8662" t="s">
        <v>5661</v>
      </c>
    </row>
    <row r="8663" spans="1:1" x14ac:dyDescent="0.25">
      <c r="A8663" t="s">
        <v>5662</v>
      </c>
    </row>
    <row r="8664" spans="1:1" x14ac:dyDescent="0.25">
      <c r="A8664" t="s">
        <v>5663</v>
      </c>
    </row>
    <row r="8665" spans="1:1" x14ac:dyDescent="0.25">
      <c r="A8665" t="s">
        <v>5664</v>
      </c>
    </row>
    <row r="8666" spans="1:1" x14ac:dyDescent="0.25">
      <c r="A8666" t="s">
        <v>5665</v>
      </c>
    </row>
    <row r="8667" spans="1:1" x14ac:dyDescent="0.25">
      <c r="A8667" t="s">
        <v>5666</v>
      </c>
    </row>
    <row r="8668" spans="1:1" x14ac:dyDescent="0.25">
      <c r="A8668" t="s">
        <v>5667</v>
      </c>
    </row>
    <row r="8669" spans="1:1" x14ac:dyDescent="0.25">
      <c r="A8669" t="s">
        <v>5668</v>
      </c>
    </row>
    <row r="8670" spans="1:1" x14ac:dyDescent="0.25">
      <c r="A8670" t="s">
        <v>5669</v>
      </c>
    </row>
    <row r="8671" spans="1:1" x14ac:dyDescent="0.25">
      <c r="A8671" t="s">
        <v>5670</v>
      </c>
    </row>
    <row r="8672" spans="1:1" x14ac:dyDescent="0.25">
      <c r="A8672" t="s">
        <v>5671</v>
      </c>
    </row>
    <row r="8673" spans="1:1" x14ac:dyDescent="0.25">
      <c r="A8673" t="s">
        <v>5672</v>
      </c>
    </row>
    <row r="8674" spans="1:1" x14ac:dyDescent="0.25">
      <c r="A8674" t="s">
        <v>5673</v>
      </c>
    </row>
    <row r="8675" spans="1:1" x14ac:dyDescent="0.25">
      <c r="A8675" t="s">
        <v>5674</v>
      </c>
    </row>
    <row r="8676" spans="1:1" x14ac:dyDescent="0.25">
      <c r="A8676" t="s">
        <v>5675</v>
      </c>
    </row>
    <row r="8677" spans="1:1" x14ac:dyDescent="0.25">
      <c r="A8677" t="s">
        <v>5676</v>
      </c>
    </row>
    <row r="8678" spans="1:1" x14ac:dyDescent="0.25">
      <c r="A8678" t="s">
        <v>5677</v>
      </c>
    </row>
    <row r="8679" spans="1:1" x14ac:dyDescent="0.25">
      <c r="A8679" t="s">
        <v>5678</v>
      </c>
    </row>
    <row r="8680" spans="1:1" x14ac:dyDescent="0.25">
      <c r="A8680" t="s">
        <v>5679</v>
      </c>
    </row>
    <row r="8681" spans="1:1" x14ac:dyDescent="0.25">
      <c r="A8681" t="s">
        <v>5680</v>
      </c>
    </row>
    <row r="8682" spans="1:1" x14ac:dyDescent="0.25">
      <c r="A8682" t="s">
        <v>5681</v>
      </c>
    </row>
    <row r="8683" spans="1:1" x14ac:dyDescent="0.25">
      <c r="A8683" t="s">
        <v>5682</v>
      </c>
    </row>
    <row r="8684" spans="1:1" x14ac:dyDescent="0.25">
      <c r="A8684" t="s">
        <v>5683</v>
      </c>
    </row>
    <row r="8685" spans="1:1" x14ac:dyDescent="0.25">
      <c r="A8685" t="s">
        <v>5684</v>
      </c>
    </row>
    <row r="8686" spans="1:1" x14ac:dyDescent="0.25">
      <c r="A8686" t="s">
        <v>5685</v>
      </c>
    </row>
    <row r="8687" spans="1:1" x14ac:dyDescent="0.25">
      <c r="A8687" t="s">
        <v>5686</v>
      </c>
    </row>
    <row r="8688" spans="1:1" x14ac:dyDescent="0.25">
      <c r="A8688" t="s">
        <v>5687</v>
      </c>
    </row>
    <row r="8689" spans="1:1" x14ac:dyDescent="0.25">
      <c r="A8689" t="s">
        <v>5688</v>
      </c>
    </row>
    <row r="8690" spans="1:1" x14ac:dyDescent="0.25">
      <c r="A8690" t="s">
        <v>5689</v>
      </c>
    </row>
    <row r="8691" spans="1:1" x14ac:dyDescent="0.25">
      <c r="A8691" t="s">
        <v>5690</v>
      </c>
    </row>
    <row r="8692" spans="1:1" x14ac:dyDescent="0.25">
      <c r="A8692" t="s">
        <v>5691</v>
      </c>
    </row>
    <row r="8693" spans="1:1" x14ac:dyDescent="0.25">
      <c r="A8693" t="s">
        <v>5692</v>
      </c>
    </row>
    <row r="8694" spans="1:1" x14ac:dyDescent="0.25">
      <c r="A8694" t="s">
        <v>5693</v>
      </c>
    </row>
    <row r="8695" spans="1:1" x14ac:dyDescent="0.25">
      <c r="A8695" t="s">
        <v>5694</v>
      </c>
    </row>
    <row r="8696" spans="1:1" x14ac:dyDescent="0.25">
      <c r="A8696" t="s">
        <v>5695</v>
      </c>
    </row>
    <row r="8697" spans="1:1" x14ac:dyDescent="0.25">
      <c r="A8697" t="s">
        <v>5696</v>
      </c>
    </row>
    <row r="8698" spans="1:1" x14ac:dyDescent="0.25">
      <c r="A8698" t="s">
        <v>5697</v>
      </c>
    </row>
    <row r="8699" spans="1:1" x14ac:dyDescent="0.25">
      <c r="A8699" t="s">
        <v>5698</v>
      </c>
    </row>
    <row r="8700" spans="1:1" x14ac:dyDescent="0.25">
      <c r="A8700" t="s">
        <v>5699</v>
      </c>
    </row>
    <row r="8701" spans="1:1" x14ac:dyDescent="0.25">
      <c r="A8701" t="s">
        <v>5700</v>
      </c>
    </row>
    <row r="8702" spans="1:1" x14ac:dyDescent="0.25">
      <c r="A8702" t="s">
        <v>5701</v>
      </c>
    </row>
    <row r="8703" spans="1:1" x14ac:dyDescent="0.25">
      <c r="A8703" t="s">
        <v>5702</v>
      </c>
    </row>
    <row r="8704" spans="1:1" x14ac:dyDescent="0.25">
      <c r="A8704" t="s">
        <v>5703</v>
      </c>
    </row>
    <row r="8705" spans="1:1" x14ac:dyDescent="0.25">
      <c r="A8705" t="s">
        <v>5704</v>
      </c>
    </row>
    <row r="8706" spans="1:1" x14ac:dyDescent="0.25">
      <c r="A8706" t="s">
        <v>5705</v>
      </c>
    </row>
    <row r="8707" spans="1:1" x14ac:dyDescent="0.25">
      <c r="A8707" t="s">
        <v>5706</v>
      </c>
    </row>
    <row r="8708" spans="1:1" x14ac:dyDescent="0.25">
      <c r="A8708" t="s">
        <v>5707</v>
      </c>
    </row>
    <row r="8709" spans="1:1" x14ac:dyDescent="0.25">
      <c r="A8709" t="s">
        <v>5708</v>
      </c>
    </row>
    <row r="8710" spans="1:1" x14ac:dyDescent="0.25">
      <c r="A8710" t="s">
        <v>5709</v>
      </c>
    </row>
    <row r="8711" spans="1:1" x14ac:dyDescent="0.25">
      <c r="A8711" t="s">
        <v>5710</v>
      </c>
    </row>
    <row r="8712" spans="1:1" x14ac:dyDescent="0.25">
      <c r="A8712" t="s">
        <v>5711</v>
      </c>
    </row>
    <row r="8713" spans="1:1" x14ac:dyDescent="0.25">
      <c r="A8713" t="s">
        <v>5712</v>
      </c>
    </row>
    <row r="8714" spans="1:1" x14ac:dyDescent="0.25">
      <c r="A8714" t="s">
        <v>5713</v>
      </c>
    </row>
    <row r="8715" spans="1:1" x14ac:dyDescent="0.25">
      <c r="A8715" t="s">
        <v>5714</v>
      </c>
    </row>
    <row r="8716" spans="1:1" x14ac:dyDescent="0.25">
      <c r="A8716" t="s">
        <v>5715</v>
      </c>
    </row>
    <row r="8717" spans="1:1" x14ac:dyDescent="0.25">
      <c r="A8717" t="s">
        <v>5716</v>
      </c>
    </row>
    <row r="8718" spans="1:1" x14ac:dyDescent="0.25">
      <c r="A8718" t="s">
        <v>5717</v>
      </c>
    </row>
    <row r="8719" spans="1:1" x14ac:dyDescent="0.25">
      <c r="A8719" t="s">
        <v>5718</v>
      </c>
    </row>
    <row r="8720" spans="1:1" x14ac:dyDescent="0.25">
      <c r="A8720" t="s">
        <v>5719</v>
      </c>
    </row>
    <row r="8721" spans="1:1" x14ac:dyDescent="0.25">
      <c r="A8721" t="s">
        <v>5720</v>
      </c>
    </row>
    <row r="8722" spans="1:1" x14ac:dyDescent="0.25">
      <c r="A8722" t="s">
        <v>5721</v>
      </c>
    </row>
    <row r="8723" spans="1:1" x14ac:dyDescent="0.25">
      <c r="A8723" t="s">
        <v>5722</v>
      </c>
    </row>
    <row r="8724" spans="1:1" x14ac:dyDescent="0.25">
      <c r="A8724" t="s">
        <v>5723</v>
      </c>
    </row>
    <row r="8725" spans="1:1" x14ac:dyDescent="0.25">
      <c r="A8725" t="s">
        <v>5724</v>
      </c>
    </row>
    <row r="8726" spans="1:1" x14ac:dyDescent="0.25">
      <c r="A8726" t="s">
        <v>5725</v>
      </c>
    </row>
    <row r="8727" spans="1:1" x14ac:dyDescent="0.25">
      <c r="A8727" t="s">
        <v>5726</v>
      </c>
    </row>
    <row r="8728" spans="1:1" x14ac:dyDescent="0.25">
      <c r="A8728" t="s">
        <v>5727</v>
      </c>
    </row>
    <row r="8729" spans="1:1" x14ac:dyDescent="0.25">
      <c r="A8729" t="s">
        <v>5728</v>
      </c>
    </row>
    <row r="8730" spans="1:1" x14ac:dyDescent="0.25">
      <c r="A8730" t="s">
        <v>5729</v>
      </c>
    </row>
    <row r="8731" spans="1:1" x14ac:dyDescent="0.25">
      <c r="A8731" t="s">
        <v>5730</v>
      </c>
    </row>
    <row r="8732" spans="1:1" x14ac:dyDescent="0.25">
      <c r="A8732" t="s">
        <v>5731</v>
      </c>
    </row>
    <row r="8733" spans="1:1" x14ac:dyDescent="0.25">
      <c r="A8733" t="s">
        <v>5732</v>
      </c>
    </row>
    <row r="8734" spans="1:1" x14ac:dyDescent="0.25">
      <c r="A8734" t="s">
        <v>5733</v>
      </c>
    </row>
    <row r="8735" spans="1:1" x14ac:dyDescent="0.25">
      <c r="A8735" t="s">
        <v>5734</v>
      </c>
    </row>
    <row r="8736" spans="1:1" x14ac:dyDescent="0.25">
      <c r="A8736" t="s">
        <v>5735</v>
      </c>
    </row>
    <row r="8737" spans="1:1" x14ac:dyDescent="0.25">
      <c r="A8737" t="s">
        <v>5736</v>
      </c>
    </row>
    <row r="8738" spans="1:1" x14ac:dyDescent="0.25">
      <c r="A8738" t="s">
        <v>5737</v>
      </c>
    </row>
    <row r="8739" spans="1:1" x14ac:dyDescent="0.25">
      <c r="A8739" t="s">
        <v>5738</v>
      </c>
    </row>
    <row r="8740" spans="1:1" x14ac:dyDescent="0.25">
      <c r="A8740" t="s">
        <v>5739</v>
      </c>
    </row>
    <row r="8741" spans="1:1" x14ac:dyDescent="0.25">
      <c r="A8741" t="s">
        <v>5740</v>
      </c>
    </row>
    <row r="8742" spans="1:1" x14ac:dyDescent="0.25">
      <c r="A8742" t="s">
        <v>5741</v>
      </c>
    </row>
    <row r="8743" spans="1:1" x14ac:dyDescent="0.25">
      <c r="A8743" t="s">
        <v>5742</v>
      </c>
    </row>
    <row r="8744" spans="1:1" x14ac:dyDescent="0.25">
      <c r="A8744" t="s">
        <v>5743</v>
      </c>
    </row>
    <row r="8745" spans="1:1" x14ac:dyDescent="0.25">
      <c r="A8745" t="s">
        <v>5744</v>
      </c>
    </row>
    <row r="8746" spans="1:1" x14ac:dyDescent="0.25">
      <c r="A8746" t="s">
        <v>5745</v>
      </c>
    </row>
    <row r="8747" spans="1:1" x14ac:dyDescent="0.25">
      <c r="A8747" t="s">
        <v>5746</v>
      </c>
    </row>
    <row r="8748" spans="1:1" x14ac:dyDescent="0.25">
      <c r="A8748" t="s">
        <v>5747</v>
      </c>
    </row>
    <row r="8749" spans="1:1" x14ac:dyDescent="0.25">
      <c r="A8749" t="s">
        <v>5748</v>
      </c>
    </row>
    <row r="8750" spans="1:1" x14ac:dyDescent="0.25">
      <c r="A8750" t="s">
        <v>5749</v>
      </c>
    </row>
    <row r="8751" spans="1:1" x14ac:dyDescent="0.25">
      <c r="A8751" t="s">
        <v>5750</v>
      </c>
    </row>
    <row r="8752" spans="1:1" x14ac:dyDescent="0.25">
      <c r="A8752" t="s">
        <v>5751</v>
      </c>
    </row>
    <row r="8753" spans="1:1" x14ac:dyDescent="0.25">
      <c r="A8753" t="s">
        <v>5752</v>
      </c>
    </row>
    <row r="8754" spans="1:1" x14ac:dyDescent="0.25">
      <c r="A8754" t="s">
        <v>5753</v>
      </c>
    </row>
    <row r="8755" spans="1:1" x14ac:dyDescent="0.25">
      <c r="A8755" t="s">
        <v>5754</v>
      </c>
    </row>
    <row r="8756" spans="1:1" x14ac:dyDescent="0.25">
      <c r="A8756" t="s">
        <v>5755</v>
      </c>
    </row>
    <row r="8757" spans="1:1" x14ac:dyDescent="0.25">
      <c r="A8757" t="s">
        <v>5756</v>
      </c>
    </row>
    <row r="8758" spans="1:1" x14ac:dyDescent="0.25">
      <c r="A8758" t="s">
        <v>5757</v>
      </c>
    </row>
    <row r="8759" spans="1:1" x14ac:dyDescent="0.25">
      <c r="A8759" t="s">
        <v>5758</v>
      </c>
    </row>
    <row r="8760" spans="1:1" x14ac:dyDescent="0.25">
      <c r="A8760" t="s">
        <v>5759</v>
      </c>
    </row>
    <row r="8761" spans="1:1" x14ac:dyDescent="0.25">
      <c r="A8761" t="s">
        <v>5760</v>
      </c>
    </row>
    <row r="8762" spans="1:1" x14ac:dyDescent="0.25">
      <c r="A8762" t="s">
        <v>5761</v>
      </c>
    </row>
    <row r="8763" spans="1:1" x14ac:dyDescent="0.25">
      <c r="A8763" t="s">
        <v>5762</v>
      </c>
    </row>
    <row r="8764" spans="1:1" x14ac:dyDescent="0.25">
      <c r="A8764" t="s">
        <v>5763</v>
      </c>
    </row>
    <row r="8765" spans="1:1" x14ac:dyDescent="0.25">
      <c r="A8765" t="s">
        <v>5764</v>
      </c>
    </row>
    <row r="8766" spans="1:1" x14ac:dyDescent="0.25">
      <c r="A8766" t="s">
        <v>5765</v>
      </c>
    </row>
    <row r="8767" spans="1:1" x14ac:dyDescent="0.25">
      <c r="A8767" t="s">
        <v>5766</v>
      </c>
    </row>
    <row r="8768" spans="1:1" x14ac:dyDescent="0.25">
      <c r="A8768" t="s">
        <v>5767</v>
      </c>
    </row>
    <row r="8769" spans="1:1" x14ac:dyDescent="0.25">
      <c r="A8769" t="s">
        <v>5768</v>
      </c>
    </row>
    <row r="8770" spans="1:1" x14ac:dyDescent="0.25">
      <c r="A8770" t="s">
        <v>5769</v>
      </c>
    </row>
    <row r="8771" spans="1:1" x14ac:dyDescent="0.25">
      <c r="A8771" t="s">
        <v>5770</v>
      </c>
    </row>
    <row r="8772" spans="1:1" x14ac:dyDescent="0.25">
      <c r="A8772" t="s">
        <v>5771</v>
      </c>
    </row>
    <row r="8773" spans="1:1" x14ac:dyDescent="0.25">
      <c r="A8773" t="s">
        <v>5772</v>
      </c>
    </row>
    <row r="8774" spans="1:1" x14ac:dyDescent="0.25">
      <c r="A8774" t="s">
        <v>5773</v>
      </c>
    </row>
    <row r="8775" spans="1:1" x14ac:dyDescent="0.25">
      <c r="A8775" t="s">
        <v>5774</v>
      </c>
    </row>
    <row r="8776" spans="1:1" x14ac:dyDescent="0.25">
      <c r="A8776" t="s">
        <v>5775</v>
      </c>
    </row>
    <row r="8777" spans="1:1" x14ac:dyDescent="0.25">
      <c r="A8777" t="s">
        <v>5776</v>
      </c>
    </row>
    <row r="8778" spans="1:1" x14ac:dyDescent="0.25">
      <c r="A8778" t="s">
        <v>5777</v>
      </c>
    </row>
    <row r="8779" spans="1:1" x14ac:dyDescent="0.25">
      <c r="A8779" t="s">
        <v>5778</v>
      </c>
    </row>
    <row r="8780" spans="1:1" x14ac:dyDescent="0.25">
      <c r="A8780" t="s">
        <v>5779</v>
      </c>
    </row>
    <row r="8781" spans="1:1" x14ac:dyDescent="0.25">
      <c r="A8781" t="s">
        <v>5780</v>
      </c>
    </row>
    <row r="8782" spans="1:1" x14ac:dyDescent="0.25">
      <c r="A8782" t="s">
        <v>5781</v>
      </c>
    </row>
    <row r="8783" spans="1:1" x14ac:dyDescent="0.25">
      <c r="A8783" t="s">
        <v>5782</v>
      </c>
    </row>
    <row r="8784" spans="1:1" x14ac:dyDescent="0.25">
      <c r="A8784" t="s">
        <v>5783</v>
      </c>
    </row>
    <row r="8785" spans="1:1" x14ac:dyDescent="0.25">
      <c r="A8785" t="s">
        <v>5784</v>
      </c>
    </row>
    <row r="8786" spans="1:1" x14ac:dyDescent="0.25">
      <c r="A8786" t="s">
        <v>5785</v>
      </c>
    </row>
    <row r="8787" spans="1:1" x14ac:dyDescent="0.25">
      <c r="A8787" t="s">
        <v>5786</v>
      </c>
    </row>
    <row r="8788" spans="1:1" x14ac:dyDescent="0.25">
      <c r="A8788" t="s">
        <v>5787</v>
      </c>
    </row>
    <row r="8789" spans="1:1" x14ac:dyDescent="0.25">
      <c r="A8789" t="s">
        <v>5788</v>
      </c>
    </row>
    <row r="8790" spans="1:1" x14ac:dyDescent="0.25">
      <c r="A8790" t="s">
        <v>5789</v>
      </c>
    </row>
    <row r="8791" spans="1:1" x14ac:dyDescent="0.25">
      <c r="A8791" t="s">
        <v>5790</v>
      </c>
    </row>
    <row r="8792" spans="1:1" x14ac:dyDescent="0.25">
      <c r="A8792" t="s">
        <v>5791</v>
      </c>
    </row>
    <row r="8793" spans="1:1" x14ac:dyDescent="0.25">
      <c r="A8793" t="s">
        <v>5792</v>
      </c>
    </row>
    <row r="8794" spans="1:1" x14ac:dyDescent="0.25">
      <c r="A8794" t="s">
        <v>5793</v>
      </c>
    </row>
    <row r="8795" spans="1:1" x14ac:dyDescent="0.25">
      <c r="A8795" t="s">
        <v>5794</v>
      </c>
    </row>
    <row r="8796" spans="1:1" x14ac:dyDescent="0.25">
      <c r="A8796" t="s">
        <v>5795</v>
      </c>
    </row>
    <row r="8797" spans="1:1" x14ac:dyDescent="0.25">
      <c r="A8797" t="s">
        <v>5796</v>
      </c>
    </row>
    <row r="8798" spans="1:1" x14ac:dyDescent="0.25">
      <c r="A8798" t="s">
        <v>5797</v>
      </c>
    </row>
    <row r="8799" spans="1:1" x14ac:dyDescent="0.25">
      <c r="A8799" t="s">
        <v>5798</v>
      </c>
    </row>
    <row r="8800" spans="1:1" x14ac:dyDescent="0.25">
      <c r="A8800" t="s">
        <v>5799</v>
      </c>
    </row>
    <row r="8801" spans="1:1" x14ac:dyDescent="0.25">
      <c r="A8801" t="s">
        <v>5800</v>
      </c>
    </row>
    <row r="8802" spans="1:1" x14ac:dyDescent="0.25">
      <c r="A8802" t="s">
        <v>5801</v>
      </c>
    </row>
    <row r="8803" spans="1:1" x14ac:dyDescent="0.25">
      <c r="A8803" t="s">
        <v>5802</v>
      </c>
    </row>
    <row r="8804" spans="1:1" x14ac:dyDescent="0.25">
      <c r="A8804" t="s">
        <v>5803</v>
      </c>
    </row>
    <row r="8805" spans="1:1" x14ac:dyDescent="0.25">
      <c r="A8805" t="s">
        <v>5804</v>
      </c>
    </row>
    <row r="8806" spans="1:1" x14ac:dyDescent="0.25">
      <c r="A8806" t="s">
        <v>5805</v>
      </c>
    </row>
    <row r="8807" spans="1:1" x14ac:dyDescent="0.25">
      <c r="A8807" t="s">
        <v>5806</v>
      </c>
    </row>
    <row r="8808" spans="1:1" x14ac:dyDescent="0.25">
      <c r="A8808" t="s">
        <v>5807</v>
      </c>
    </row>
    <row r="8809" spans="1:1" x14ac:dyDescent="0.25">
      <c r="A8809" t="s">
        <v>5808</v>
      </c>
    </row>
    <row r="8810" spans="1:1" x14ac:dyDescent="0.25">
      <c r="A8810" t="s">
        <v>5809</v>
      </c>
    </row>
    <row r="8811" spans="1:1" x14ac:dyDescent="0.25">
      <c r="A8811" t="s">
        <v>5810</v>
      </c>
    </row>
    <row r="8812" spans="1:1" x14ac:dyDescent="0.25">
      <c r="A8812" t="s">
        <v>5811</v>
      </c>
    </row>
    <row r="8813" spans="1:1" x14ac:dyDescent="0.25">
      <c r="A8813" t="s">
        <v>5812</v>
      </c>
    </row>
    <row r="8814" spans="1:1" x14ac:dyDescent="0.25">
      <c r="A8814" t="s">
        <v>5813</v>
      </c>
    </row>
    <row r="8815" spans="1:1" x14ac:dyDescent="0.25">
      <c r="A8815" t="s">
        <v>5814</v>
      </c>
    </row>
    <row r="8816" spans="1:1" x14ac:dyDescent="0.25">
      <c r="A8816" t="s">
        <v>5815</v>
      </c>
    </row>
    <row r="8817" spans="1:1" x14ac:dyDescent="0.25">
      <c r="A8817" t="s">
        <v>5816</v>
      </c>
    </row>
    <row r="8818" spans="1:1" x14ac:dyDescent="0.25">
      <c r="A8818" t="s">
        <v>5817</v>
      </c>
    </row>
    <row r="8819" spans="1:1" x14ac:dyDescent="0.25">
      <c r="A8819" t="s">
        <v>5818</v>
      </c>
    </row>
    <row r="8820" spans="1:1" x14ac:dyDescent="0.25">
      <c r="A8820" t="s">
        <v>5819</v>
      </c>
    </row>
    <row r="8821" spans="1:1" x14ac:dyDescent="0.25">
      <c r="A8821" t="s">
        <v>5820</v>
      </c>
    </row>
    <row r="8822" spans="1:1" x14ac:dyDescent="0.25">
      <c r="A8822" t="s">
        <v>5821</v>
      </c>
    </row>
    <row r="8823" spans="1:1" x14ac:dyDescent="0.25">
      <c r="A8823" t="s">
        <v>5822</v>
      </c>
    </row>
    <row r="8824" spans="1:1" x14ac:dyDescent="0.25">
      <c r="A8824" t="s">
        <v>5823</v>
      </c>
    </row>
    <row r="8825" spans="1:1" x14ac:dyDescent="0.25">
      <c r="A8825" t="s">
        <v>5824</v>
      </c>
    </row>
    <row r="8826" spans="1:1" x14ac:dyDescent="0.25">
      <c r="A8826" t="s">
        <v>5825</v>
      </c>
    </row>
    <row r="8827" spans="1:1" x14ac:dyDescent="0.25">
      <c r="A8827" t="s">
        <v>5826</v>
      </c>
    </row>
    <row r="8828" spans="1:1" x14ac:dyDescent="0.25">
      <c r="A8828" t="s">
        <v>5827</v>
      </c>
    </row>
    <row r="8829" spans="1:1" x14ac:dyDescent="0.25">
      <c r="A8829" t="s">
        <v>5828</v>
      </c>
    </row>
    <row r="8830" spans="1:1" x14ac:dyDescent="0.25">
      <c r="A8830" t="s">
        <v>5829</v>
      </c>
    </row>
    <row r="8831" spans="1:1" x14ac:dyDescent="0.25">
      <c r="A8831" t="s">
        <v>5830</v>
      </c>
    </row>
    <row r="8832" spans="1:1" x14ac:dyDescent="0.25">
      <c r="A8832" t="s">
        <v>5831</v>
      </c>
    </row>
    <row r="8833" spans="1:1" x14ac:dyDescent="0.25">
      <c r="A8833" t="s">
        <v>5832</v>
      </c>
    </row>
    <row r="8834" spans="1:1" x14ac:dyDescent="0.25">
      <c r="A8834" t="s">
        <v>5833</v>
      </c>
    </row>
    <row r="8835" spans="1:1" x14ac:dyDescent="0.25">
      <c r="A8835" t="s">
        <v>5834</v>
      </c>
    </row>
    <row r="8836" spans="1:1" x14ac:dyDescent="0.25">
      <c r="A8836" t="s">
        <v>5835</v>
      </c>
    </row>
    <row r="8837" spans="1:1" x14ac:dyDescent="0.25">
      <c r="A8837" t="s">
        <v>5836</v>
      </c>
    </row>
    <row r="8838" spans="1:1" x14ac:dyDescent="0.25">
      <c r="A8838" t="s">
        <v>5837</v>
      </c>
    </row>
    <row r="8839" spans="1:1" x14ac:dyDescent="0.25">
      <c r="A8839" t="s">
        <v>5838</v>
      </c>
    </row>
    <row r="8840" spans="1:1" x14ac:dyDescent="0.25">
      <c r="A8840" t="s">
        <v>5839</v>
      </c>
    </row>
    <row r="8841" spans="1:1" x14ac:dyDescent="0.25">
      <c r="A8841" t="s">
        <v>5840</v>
      </c>
    </row>
    <row r="8842" spans="1:1" x14ac:dyDescent="0.25">
      <c r="A8842" t="s">
        <v>5841</v>
      </c>
    </row>
    <row r="8843" spans="1:1" x14ac:dyDescent="0.25">
      <c r="A8843" t="s">
        <v>5842</v>
      </c>
    </row>
    <row r="8844" spans="1:1" x14ac:dyDescent="0.25">
      <c r="A8844" t="s">
        <v>5843</v>
      </c>
    </row>
    <row r="8845" spans="1:1" x14ac:dyDescent="0.25">
      <c r="A8845" t="s">
        <v>5844</v>
      </c>
    </row>
    <row r="8846" spans="1:1" x14ac:dyDescent="0.25">
      <c r="A8846" t="s">
        <v>5845</v>
      </c>
    </row>
    <row r="8847" spans="1:1" x14ac:dyDescent="0.25">
      <c r="A8847" t="s">
        <v>5846</v>
      </c>
    </row>
    <row r="8848" spans="1:1" x14ac:dyDescent="0.25">
      <c r="A8848" t="s">
        <v>5847</v>
      </c>
    </row>
    <row r="8849" spans="1:1" x14ac:dyDescent="0.25">
      <c r="A8849" t="s">
        <v>5848</v>
      </c>
    </row>
    <row r="8850" spans="1:1" x14ac:dyDescent="0.25">
      <c r="A8850" t="s">
        <v>5849</v>
      </c>
    </row>
    <row r="8851" spans="1:1" x14ac:dyDescent="0.25">
      <c r="A8851" t="s">
        <v>5850</v>
      </c>
    </row>
    <row r="8852" spans="1:1" x14ac:dyDescent="0.25">
      <c r="A8852" t="s">
        <v>5851</v>
      </c>
    </row>
    <row r="8853" spans="1:1" x14ac:dyDescent="0.25">
      <c r="A8853" t="s">
        <v>5852</v>
      </c>
    </row>
    <row r="8854" spans="1:1" x14ac:dyDescent="0.25">
      <c r="A8854" t="s">
        <v>5853</v>
      </c>
    </row>
    <row r="8855" spans="1:1" x14ac:dyDescent="0.25">
      <c r="A8855" t="s">
        <v>5854</v>
      </c>
    </row>
    <row r="8856" spans="1:1" x14ac:dyDescent="0.25">
      <c r="A8856" t="s">
        <v>5855</v>
      </c>
    </row>
    <row r="8857" spans="1:1" x14ac:dyDescent="0.25">
      <c r="A8857" t="s">
        <v>5856</v>
      </c>
    </row>
    <row r="8858" spans="1:1" x14ac:dyDescent="0.25">
      <c r="A8858" t="s">
        <v>5857</v>
      </c>
    </row>
    <row r="8859" spans="1:1" x14ac:dyDescent="0.25">
      <c r="A8859" t="s">
        <v>5858</v>
      </c>
    </row>
    <row r="8860" spans="1:1" x14ac:dyDescent="0.25">
      <c r="A8860" t="s">
        <v>5859</v>
      </c>
    </row>
    <row r="8861" spans="1:1" x14ac:dyDescent="0.25">
      <c r="A8861" t="s">
        <v>5860</v>
      </c>
    </row>
    <row r="8862" spans="1:1" x14ac:dyDescent="0.25">
      <c r="A8862" t="s">
        <v>5861</v>
      </c>
    </row>
    <row r="8863" spans="1:1" x14ac:dyDescent="0.25">
      <c r="A8863" t="s">
        <v>5862</v>
      </c>
    </row>
    <row r="8864" spans="1:1" x14ac:dyDescent="0.25">
      <c r="A8864" t="s">
        <v>5863</v>
      </c>
    </row>
    <row r="8865" spans="1:1" x14ac:dyDescent="0.25">
      <c r="A8865" t="s">
        <v>5864</v>
      </c>
    </row>
    <row r="8866" spans="1:1" x14ac:dyDescent="0.25">
      <c r="A8866" t="s">
        <v>5865</v>
      </c>
    </row>
    <row r="8867" spans="1:1" x14ac:dyDescent="0.25">
      <c r="A8867" t="s">
        <v>5866</v>
      </c>
    </row>
    <row r="8868" spans="1:1" x14ac:dyDescent="0.25">
      <c r="A8868" t="s">
        <v>5867</v>
      </c>
    </row>
    <row r="8869" spans="1:1" x14ac:dyDescent="0.25">
      <c r="A8869" t="s">
        <v>5868</v>
      </c>
    </row>
    <row r="8870" spans="1:1" x14ac:dyDescent="0.25">
      <c r="A8870" t="s">
        <v>5869</v>
      </c>
    </row>
    <row r="8871" spans="1:1" x14ac:dyDescent="0.25">
      <c r="A8871" t="s">
        <v>5870</v>
      </c>
    </row>
    <row r="8872" spans="1:1" x14ac:dyDescent="0.25">
      <c r="A8872" t="s">
        <v>5871</v>
      </c>
    </row>
    <row r="8873" spans="1:1" x14ac:dyDescent="0.25">
      <c r="A8873" t="s">
        <v>5872</v>
      </c>
    </row>
    <row r="8874" spans="1:1" x14ac:dyDescent="0.25">
      <c r="A8874" t="s">
        <v>5873</v>
      </c>
    </row>
    <row r="8875" spans="1:1" x14ac:dyDescent="0.25">
      <c r="A8875" t="s">
        <v>5874</v>
      </c>
    </row>
    <row r="8876" spans="1:1" x14ac:dyDescent="0.25">
      <c r="A8876" t="s">
        <v>5875</v>
      </c>
    </row>
    <row r="8877" spans="1:1" x14ac:dyDescent="0.25">
      <c r="A8877" t="s">
        <v>5876</v>
      </c>
    </row>
    <row r="8878" spans="1:1" x14ac:dyDescent="0.25">
      <c r="A8878" t="s">
        <v>5877</v>
      </c>
    </row>
    <row r="8879" spans="1:1" x14ac:dyDescent="0.25">
      <c r="A8879" t="s">
        <v>5878</v>
      </c>
    </row>
    <row r="8880" spans="1:1" x14ac:dyDescent="0.25">
      <c r="A8880" t="s">
        <v>5879</v>
      </c>
    </row>
    <row r="8881" spans="1:1" x14ac:dyDescent="0.25">
      <c r="A8881" t="s">
        <v>5880</v>
      </c>
    </row>
    <row r="8882" spans="1:1" x14ac:dyDescent="0.25">
      <c r="A8882" t="s">
        <v>5881</v>
      </c>
    </row>
    <row r="8883" spans="1:1" x14ac:dyDescent="0.25">
      <c r="A8883" t="s">
        <v>5882</v>
      </c>
    </row>
    <row r="8884" spans="1:1" x14ac:dyDescent="0.25">
      <c r="A8884" t="s">
        <v>5883</v>
      </c>
    </row>
    <row r="8885" spans="1:1" x14ac:dyDescent="0.25">
      <c r="A8885" t="s">
        <v>5884</v>
      </c>
    </row>
    <row r="8886" spans="1:1" x14ac:dyDescent="0.25">
      <c r="A8886" t="s">
        <v>5885</v>
      </c>
    </row>
    <row r="8887" spans="1:1" x14ac:dyDescent="0.25">
      <c r="A8887" t="s">
        <v>5886</v>
      </c>
    </row>
    <row r="8888" spans="1:1" x14ac:dyDescent="0.25">
      <c r="A8888" t="s">
        <v>5887</v>
      </c>
    </row>
    <row r="8889" spans="1:1" x14ac:dyDescent="0.25">
      <c r="A8889" t="s">
        <v>5888</v>
      </c>
    </row>
    <row r="8890" spans="1:1" x14ac:dyDescent="0.25">
      <c r="A8890" t="s">
        <v>5889</v>
      </c>
    </row>
    <row r="8891" spans="1:1" x14ac:dyDescent="0.25">
      <c r="A8891" t="s">
        <v>5890</v>
      </c>
    </row>
    <row r="8892" spans="1:1" x14ac:dyDescent="0.25">
      <c r="A8892" t="s">
        <v>5891</v>
      </c>
    </row>
    <row r="8893" spans="1:1" x14ac:dyDescent="0.25">
      <c r="A8893" t="s">
        <v>5892</v>
      </c>
    </row>
    <row r="8894" spans="1:1" x14ac:dyDescent="0.25">
      <c r="A8894" t="s">
        <v>5893</v>
      </c>
    </row>
    <row r="8895" spans="1:1" x14ac:dyDescent="0.25">
      <c r="A8895" t="s">
        <v>5894</v>
      </c>
    </row>
    <row r="8896" spans="1:1" x14ac:dyDescent="0.25">
      <c r="A8896" t="s">
        <v>5895</v>
      </c>
    </row>
    <row r="8897" spans="1:1" x14ac:dyDescent="0.25">
      <c r="A8897" t="s">
        <v>5896</v>
      </c>
    </row>
    <row r="8898" spans="1:1" x14ac:dyDescent="0.25">
      <c r="A8898" t="s">
        <v>5897</v>
      </c>
    </row>
    <row r="8899" spans="1:1" x14ac:dyDescent="0.25">
      <c r="A8899" t="s">
        <v>5898</v>
      </c>
    </row>
    <row r="8900" spans="1:1" x14ac:dyDescent="0.25">
      <c r="A8900" t="s">
        <v>5899</v>
      </c>
    </row>
    <row r="8901" spans="1:1" x14ac:dyDescent="0.25">
      <c r="A8901" t="s">
        <v>5900</v>
      </c>
    </row>
    <row r="8902" spans="1:1" x14ac:dyDescent="0.25">
      <c r="A8902" t="s">
        <v>5901</v>
      </c>
    </row>
    <row r="8903" spans="1:1" x14ac:dyDescent="0.25">
      <c r="A8903" t="s">
        <v>5902</v>
      </c>
    </row>
    <row r="8904" spans="1:1" x14ac:dyDescent="0.25">
      <c r="A8904" t="s">
        <v>5903</v>
      </c>
    </row>
    <row r="8905" spans="1:1" x14ac:dyDescent="0.25">
      <c r="A8905" t="s">
        <v>5904</v>
      </c>
    </row>
    <row r="8906" spans="1:1" x14ac:dyDescent="0.25">
      <c r="A8906" t="s">
        <v>5905</v>
      </c>
    </row>
    <row r="8907" spans="1:1" x14ac:dyDescent="0.25">
      <c r="A8907" t="s">
        <v>5906</v>
      </c>
    </row>
    <row r="8908" spans="1:1" x14ac:dyDescent="0.25">
      <c r="A8908" t="s">
        <v>5907</v>
      </c>
    </row>
    <row r="8909" spans="1:1" x14ac:dyDescent="0.25">
      <c r="A8909" t="s">
        <v>5908</v>
      </c>
    </row>
    <row r="8910" spans="1:1" x14ac:dyDescent="0.25">
      <c r="A8910" t="s">
        <v>5909</v>
      </c>
    </row>
    <row r="8911" spans="1:1" x14ac:dyDescent="0.25">
      <c r="A8911" t="s">
        <v>5910</v>
      </c>
    </row>
    <row r="8912" spans="1:1" x14ac:dyDescent="0.25">
      <c r="A8912" t="s">
        <v>5911</v>
      </c>
    </row>
    <row r="8913" spans="1:1" x14ac:dyDescent="0.25">
      <c r="A8913" t="s">
        <v>5912</v>
      </c>
    </row>
    <row r="8914" spans="1:1" x14ac:dyDescent="0.25">
      <c r="A8914" t="s">
        <v>5913</v>
      </c>
    </row>
    <row r="8915" spans="1:1" x14ac:dyDescent="0.25">
      <c r="A8915" t="s">
        <v>5914</v>
      </c>
    </row>
    <row r="8916" spans="1:1" x14ac:dyDescent="0.25">
      <c r="A8916" t="s">
        <v>5915</v>
      </c>
    </row>
    <row r="8917" spans="1:1" x14ac:dyDescent="0.25">
      <c r="A8917" t="s">
        <v>5916</v>
      </c>
    </row>
    <row r="8918" spans="1:1" x14ac:dyDescent="0.25">
      <c r="A8918" t="s">
        <v>5917</v>
      </c>
    </row>
    <row r="8919" spans="1:1" x14ac:dyDescent="0.25">
      <c r="A8919" t="s">
        <v>5918</v>
      </c>
    </row>
    <row r="8920" spans="1:1" x14ac:dyDescent="0.25">
      <c r="A8920" t="s">
        <v>5919</v>
      </c>
    </row>
    <row r="8921" spans="1:1" x14ac:dyDescent="0.25">
      <c r="A8921" t="s">
        <v>5920</v>
      </c>
    </row>
    <row r="8922" spans="1:1" x14ac:dyDescent="0.25">
      <c r="A8922" t="s">
        <v>5921</v>
      </c>
    </row>
    <row r="8923" spans="1:1" x14ac:dyDescent="0.25">
      <c r="A8923" t="s">
        <v>5922</v>
      </c>
    </row>
    <row r="8924" spans="1:1" x14ac:dyDescent="0.25">
      <c r="A8924" t="s">
        <v>5923</v>
      </c>
    </row>
    <row r="8925" spans="1:1" x14ac:dyDescent="0.25">
      <c r="A8925" t="s">
        <v>5924</v>
      </c>
    </row>
    <row r="8926" spans="1:1" x14ac:dyDescent="0.25">
      <c r="A8926" t="s">
        <v>5925</v>
      </c>
    </row>
    <row r="8927" spans="1:1" x14ac:dyDescent="0.25">
      <c r="A8927" t="s">
        <v>5926</v>
      </c>
    </row>
    <row r="8928" spans="1:1" x14ac:dyDescent="0.25">
      <c r="A8928" t="s">
        <v>5927</v>
      </c>
    </row>
    <row r="8929" spans="1:1" x14ac:dyDescent="0.25">
      <c r="A8929" t="s">
        <v>5928</v>
      </c>
    </row>
    <row r="8930" spans="1:1" x14ac:dyDescent="0.25">
      <c r="A8930" t="s">
        <v>5929</v>
      </c>
    </row>
    <row r="8931" spans="1:1" x14ac:dyDescent="0.25">
      <c r="A8931" t="s">
        <v>5930</v>
      </c>
    </row>
    <row r="8932" spans="1:1" x14ac:dyDescent="0.25">
      <c r="A8932" t="s">
        <v>5931</v>
      </c>
    </row>
    <row r="8933" spans="1:1" x14ac:dyDescent="0.25">
      <c r="A8933" t="s">
        <v>5932</v>
      </c>
    </row>
    <row r="8934" spans="1:1" x14ac:dyDescent="0.25">
      <c r="A8934" t="s">
        <v>5933</v>
      </c>
    </row>
    <row r="8935" spans="1:1" x14ac:dyDescent="0.25">
      <c r="A8935" t="s">
        <v>5934</v>
      </c>
    </row>
    <row r="8936" spans="1:1" x14ac:dyDescent="0.25">
      <c r="A8936" t="s">
        <v>5935</v>
      </c>
    </row>
    <row r="8937" spans="1:1" x14ac:dyDescent="0.25">
      <c r="A8937" t="s">
        <v>5936</v>
      </c>
    </row>
    <row r="8938" spans="1:1" x14ac:dyDescent="0.25">
      <c r="A8938" t="s">
        <v>5937</v>
      </c>
    </row>
    <row r="8939" spans="1:1" x14ac:dyDescent="0.25">
      <c r="A8939" t="s">
        <v>5938</v>
      </c>
    </row>
    <row r="8940" spans="1:1" x14ac:dyDescent="0.25">
      <c r="A8940" t="s">
        <v>5939</v>
      </c>
    </row>
    <row r="8941" spans="1:1" x14ac:dyDescent="0.25">
      <c r="A8941" t="s">
        <v>5940</v>
      </c>
    </row>
    <row r="8942" spans="1:1" x14ac:dyDescent="0.25">
      <c r="A8942" t="s">
        <v>5941</v>
      </c>
    </row>
    <row r="8943" spans="1:1" x14ac:dyDescent="0.25">
      <c r="A8943" t="s">
        <v>5942</v>
      </c>
    </row>
    <row r="8944" spans="1:1" x14ac:dyDescent="0.25">
      <c r="A8944" t="s">
        <v>5943</v>
      </c>
    </row>
    <row r="8945" spans="1:1" x14ac:dyDescent="0.25">
      <c r="A8945" t="s">
        <v>5944</v>
      </c>
    </row>
    <row r="8946" spans="1:1" x14ac:dyDescent="0.25">
      <c r="A8946" t="s">
        <v>5945</v>
      </c>
    </row>
    <row r="8947" spans="1:1" x14ac:dyDescent="0.25">
      <c r="A8947" t="s">
        <v>5946</v>
      </c>
    </row>
    <row r="8948" spans="1:1" x14ac:dyDescent="0.25">
      <c r="A8948" t="s">
        <v>5947</v>
      </c>
    </row>
    <row r="8949" spans="1:1" x14ac:dyDescent="0.25">
      <c r="A8949" t="s">
        <v>5948</v>
      </c>
    </row>
    <row r="8950" spans="1:1" x14ac:dyDescent="0.25">
      <c r="A8950" t="s">
        <v>5949</v>
      </c>
    </row>
    <row r="8951" spans="1:1" x14ac:dyDescent="0.25">
      <c r="A8951" t="s">
        <v>5950</v>
      </c>
    </row>
    <row r="8952" spans="1:1" x14ac:dyDescent="0.25">
      <c r="A8952" t="s">
        <v>5951</v>
      </c>
    </row>
    <row r="8953" spans="1:1" x14ac:dyDescent="0.25">
      <c r="A8953" t="s">
        <v>5952</v>
      </c>
    </row>
    <row r="8954" spans="1:1" x14ac:dyDescent="0.25">
      <c r="A8954" t="s">
        <v>5953</v>
      </c>
    </row>
    <row r="8955" spans="1:1" x14ac:dyDescent="0.25">
      <c r="A8955" t="s">
        <v>5954</v>
      </c>
    </row>
    <row r="8956" spans="1:1" x14ac:dyDescent="0.25">
      <c r="A8956" t="s">
        <v>5955</v>
      </c>
    </row>
    <row r="8957" spans="1:1" x14ac:dyDescent="0.25">
      <c r="A8957" t="s">
        <v>5956</v>
      </c>
    </row>
    <row r="8958" spans="1:1" x14ac:dyDescent="0.25">
      <c r="A8958" t="s">
        <v>5957</v>
      </c>
    </row>
    <row r="8959" spans="1:1" x14ac:dyDescent="0.25">
      <c r="A8959" t="s">
        <v>5958</v>
      </c>
    </row>
    <row r="8960" spans="1:1" x14ac:dyDescent="0.25">
      <c r="A8960" t="s">
        <v>5959</v>
      </c>
    </row>
    <row r="8961" spans="1:1" x14ac:dyDescent="0.25">
      <c r="A8961" t="s">
        <v>5960</v>
      </c>
    </row>
    <row r="8962" spans="1:1" x14ac:dyDescent="0.25">
      <c r="A8962" t="s">
        <v>5961</v>
      </c>
    </row>
    <row r="8963" spans="1:1" x14ac:dyDescent="0.25">
      <c r="A8963" t="s">
        <v>5962</v>
      </c>
    </row>
    <row r="8964" spans="1:1" x14ac:dyDescent="0.25">
      <c r="A8964" t="s">
        <v>5963</v>
      </c>
    </row>
    <row r="8965" spans="1:1" x14ac:dyDescent="0.25">
      <c r="A8965" t="s">
        <v>5964</v>
      </c>
    </row>
    <row r="8966" spans="1:1" x14ac:dyDescent="0.25">
      <c r="A8966" t="s">
        <v>5965</v>
      </c>
    </row>
    <row r="8967" spans="1:1" x14ac:dyDescent="0.25">
      <c r="A8967" t="s">
        <v>5966</v>
      </c>
    </row>
    <row r="8968" spans="1:1" x14ac:dyDescent="0.25">
      <c r="A8968" t="s">
        <v>5967</v>
      </c>
    </row>
    <row r="8969" spans="1:1" x14ac:dyDescent="0.25">
      <c r="A8969" t="s">
        <v>5968</v>
      </c>
    </row>
    <row r="8970" spans="1:1" x14ac:dyDescent="0.25">
      <c r="A8970" t="s">
        <v>5969</v>
      </c>
    </row>
    <row r="8971" spans="1:1" x14ac:dyDescent="0.25">
      <c r="A8971" t="s">
        <v>5970</v>
      </c>
    </row>
    <row r="8972" spans="1:1" x14ac:dyDescent="0.25">
      <c r="A8972" t="s">
        <v>5971</v>
      </c>
    </row>
    <row r="8973" spans="1:1" x14ac:dyDescent="0.25">
      <c r="A8973" t="s">
        <v>5972</v>
      </c>
    </row>
    <row r="8974" spans="1:1" x14ac:dyDescent="0.25">
      <c r="A8974" t="s">
        <v>5973</v>
      </c>
    </row>
    <row r="8975" spans="1:1" x14ac:dyDescent="0.25">
      <c r="A8975" t="s">
        <v>5974</v>
      </c>
    </row>
    <row r="8976" spans="1:1" x14ac:dyDescent="0.25">
      <c r="A8976" t="s">
        <v>5975</v>
      </c>
    </row>
    <row r="8977" spans="1:1" x14ac:dyDescent="0.25">
      <c r="A8977" t="s">
        <v>5976</v>
      </c>
    </row>
    <row r="8978" spans="1:1" x14ac:dyDescent="0.25">
      <c r="A8978" t="s">
        <v>5977</v>
      </c>
    </row>
    <row r="8979" spans="1:1" x14ac:dyDescent="0.25">
      <c r="A8979" t="s">
        <v>5978</v>
      </c>
    </row>
    <row r="8980" spans="1:1" x14ac:dyDescent="0.25">
      <c r="A8980" t="s">
        <v>5979</v>
      </c>
    </row>
    <row r="8981" spans="1:1" x14ac:dyDescent="0.25">
      <c r="A8981" t="s">
        <v>5980</v>
      </c>
    </row>
    <row r="8982" spans="1:1" x14ac:dyDescent="0.25">
      <c r="A8982" t="s">
        <v>5981</v>
      </c>
    </row>
    <row r="8983" spans="1:1" x14ac:dyDescent="0.25">
      <c r="A8983" t="s">
        <v>5982</v>
      </c>
    </row>
    <row r="8984" spans="1:1" x14ac:dyDescent="0.25">
      <c r="A8984" t="s">
        <v>5983</v>
      </c>
    </row>
    <row r="8985" spans="1:1" x14ac:dyDescent="0.25">
      <c r="A8985" t="s">
        <v>5984</v>
      </c>
    </row>
    <row r="8986" spans="1:1" x14ac:dyDescent="0.25">
      <c r="A8986" t="s">
        <v>5985</v>
      </c>
    </row>
    <row r="8987" spans="1:1" x14ac:dyDescent="0.25">
      <c r="A8987" t="s">
        <v>5986</v>
      </c>
    </row>
    <row r="8988" spans="1:1" x14ac:dyDescent="0.25">
      <c r="A8988" t="s">
        <v>5987</v>
      </c>
    </row>
    <row r="8989" spans="1:1" x14ac:dyDescent="0.25">
      <c r="A8989" t="s">
        <v>5988</v>
      </c>
    </row>
    <row r="8990" spans="1:1" x14ac:dyDescent="0.25">
      <c r="A8990" t="s">
        <v>5989</v>
      </c>
    </row>
    <row r="8991" spans="1:1" x14ac:dyDescent="0.25">
      <c r="A8991" t="s">
        <v>5990</v>
      </c>
    </row>
    <row r="8992" spans="1:1" x14ac:dyDescent="0.25">
      <c r="A8992" t="s">
        <v>5991</v>
      </c>
    </row>
    <row r="8993" spans="1:1" x14ac:dyDescent="0.25">
      <c r="A8993" t="s">
        <v>5992</v>
      </c>
    </row>
    <row r="8994" spans="1:1" x14ac:dyDescent="0.25">
      <c r="A8994" t="s">
        <v>5993</v>
      </c>
    </row>
    <row r="8995" spans="1:1" x14ac:dyDescent="0.25">
      <c r="A8995" t="s">
        <v>5994</v>
      </c>
    </row>
    <row r="8996" spans="1:1" x14ac:dyDescent="0.25">
      <c r="A8996" t="s">
        <v>5995</v>
      </c>
    </row>
    <row r="8997" spans="1:1" x14ac:dyDescent="0.25">
      <c r="A8997" t="s">
        <v>5996</v>
      </c>
    </row>
    <row r="8998" spans="1:1" x14ac:dyDescent="0.25">
      <c r="A8998" t="s">
        <v>5997</v>
      </c>
    </row>
    <row r="8999" spans="1:1" x14ac:dyDescent="0.25">
      <c r="A8999" t="s">
        <v>5998</v>
      </c>
    </row>
    <row r="9000" spans="1:1" x14ac:dyDescent="0.25">
      <c r="A9000" t="s">
        <v>5999</v>
      </c>
    </row>
    <row r="9001" spans="1:1" x14ac:dyDescent="0.25">
      <c r="A9001" t="s">
        <v>6000</v>
      </c>
    </row>
    <row r="9002" spans="1:1" x14ac:dyDescent="0.25">
      <c r="A9002" t="s">
        <v>6001</v>
      </c>
    </row>
    <row r="9003" spans="1:1" x14ac:dyDescent="0.25">
      <c r="A9003" t="s">
        <v>6002</v>
      </c>
    </row>
    <row r="9004" spans="1:1" x14ac:dyDescent="0.25">
      <c r="A9004" t="s">
        <v>6003</v>
      </c>
    </row>
    <row r="9005" spans="1:1" x14ac:dyDescent="0.25">
      <c r="A9005" t="s">
        <v>6004</v>
      </c>
    </row>
    <row r="9006" spans="1:1" x14ac:dyDescent="0.25">
      <c r="A9006" t="s">
        <v>6005</v>
      </c>
    </row>
    <row r="9007" spans="1:1" x14ac:dyDescent="0.25">
      <c r="A9007" t="s">
        <v>6006</v>
      </c>
    </row>
    <row r="9008" spans="1:1" x14ac:dyDescent="0.25">
      <c r="A9008" t="s">
        <v>6007</v>
      </c>
    </row>
    <row r="9009" spans="1:1" x14ac:dyDescent="0.25">
      <c r="A9009" t="s">
        <v>6008</v>
      </c>
    </row>
    <row r="9010" spans="1:1" x14ac:dyDescent="0.25">
      <c r="A9010" t="s">
        <v>6009</v>
      </c>
    </row>
    <row r="9011" spans="1:1" x14ac:dyDescent="0.25">
      <c r="A9011" t="s">
        <v>6010</v>
      </c>
    </row>
    <row r="9012" spans="1:1" x14ac:dyDescent="0.25">
      <c r="A9012" t="s">
        <v>6011</v>
      </c>
    </row>
    <row r="9013" spans="1:1" x14ac:dyDescent="0.25">
      <c r="A9013" t="s">
        <v>6012</v>
      </c>
    </row>
    <row r="9014" spans="1:1" x14ac:dyDescent="0.25">
      <c r="A9014" t="s">
        <v>6013</v>
      </c>
    </row>
    <row r="9015" spans="1:1" x14ac:dyDescent="0.25">
      <c r="A9015" t="s">
        <v>6014</v>
      </c>
    </row>
    <row r="9016" spans="1:1" x14ac:dyDescent="0.25">
      <c r="A9016" t="s">
        <v>6015</v>
      </c>
    </row>
    <row r="9017" spans="1:1" x14ac:dyDescent="0.25">
      <c r="A9017" t="s">
        <v>6016</v>
      </c>
    </row>
    <row r="9018" spans="1:1" x14ac:dyDescent="0.25">
      <c r="A9018" t="s">
        <v>6017</v>
      </c>
    </row>
    <row r="9019" spans="1:1" x14ac:dyDescent="0.25">
      <c r="A9019" t="s">
        <v>6018</v>
      </c>
    </row>
    <row r="9020" spans="1:1" x14ac:dyDescent="0.25">
      <c r="A9020" t="s">
        <v>6019</v>
      </c>
    </row>
    <row r="9021" spans="1:1" x14ac:dyDescent="0.25">
      <c r="A9021" t="s">
        <v>6020</v>
      </c>
    </row>
    <row r="9022" spans="1:1" x14ac:dyDescent="0.25">
      <c r="A9022" t="s">
        <v>6021</v>
      </c>
    </row>
    <row r="9023" spans="1:1" x14ac:dyDescent="0.25">
      <c r="A9023" t="s">
        <v>6022</v>
      </c>
    </row>
    <row r="9024" spans="1:1" x14ac:dyDescent="0.25">
      <c r="A9024" t="s">
        <v>6023</v>
      </c>
    </row>
    <row r="9025" spans="1:1" x14ac:dyDescent="0.25">
      <c r="A9025" t="s">
        <v>6024</v>
      </c>
    </row>
    <row r="9026" spans="1:1" x14ac:dyDescent="0.25">
      <c r="A9026" t="s">
        <v>6025</v>
      </c>
    </row>
    <row r="9027" spans="1:1" x14ac:dyDescent="0.25">
      <c r="A9027" t="s">
        <v>6026</v>
      </c>
    </row>
    <row r="9028" spans="1:1" x14ac:dyDescent="0.25">
      <c r="A9028" t="s">
        <v>6027</v>
      </c>
    </row>
    <row r="9029" spans="1:1" x14ac:dyDescent="0.25">
      <c r="A9029" t="s">
        <v>6028</v>
      </c>
    </row>
    <row r="9030" spans="1:1" x14ac:dyDescent="0.25">
      <c r="A9030" t="s">
        <v>6029</v>
      </c>
    </row>
    <row r="9031" spans="1:1" x14ac:dyDescent="0.25">
      <c r="A9031" t="s">
        <v>6030</v>
      </c>
    </row>
    <row r="9032" spans="1:1" x14ac:dyDescent="0.25">
      <c r="A9032" t="s">
        <v>6031</v>
      </c>
    </row>
    <row r="9033" spans="1:1" x14ac:dyDescent="0.25">
      <c r="A9033" t="s">
        <v>6032</v>
      </c>
    </row>
    <row r="9034" spans="1:1" x14ac:dyDescent="0.25">
      <c r="A9034" t="s">
        <v>6033</v>
      </c>
    </row>
    <row r="9035" spans="1:1" x14ac:dyDescent="0.25">
      <c r="A9035" t="s">
        <v>6034</v>
      </c>
    </row>
    <row r="9036" spans="1:1" x14ac:dyDescent="0.25">
      <c r="A9036" t="s">
        <v>6035</v>
      </c>
    </row>
    <row r="9037" spans="1:1" x14ac:dyDescent="0.25">
      <c r="A9037" t="s">
        <v>6036</v>
      </c>
    </row>
    <row r="9038" spans="1:1" x14ac:dyDescent="0.25">
      <c r="A9038" t="s">
        <v>6037</v>
      </c>
    </row>
    <row r="9039" spans="1:1" x14ac:dyDescent="0.25">
      <c r="A9039" t="s">
        <v>6038</v>
      </c>
    </row>
    <row r="9040" spans="1:1" x14ac:dyDescent="0.25">
      <c r="A9040" t="s">
        <v>6039</v>
      </c>
    </row>
    <row r="9041" spans="1:1" x14ac:dyDescent="0.25">
      <c r="A9041" t="s">
        <v>6040</v>
      </c>
    </row>
    <row r="9042" spans="1:1" x14ac:dyDescent="0.25">
      <c r="A9042" t="s">
        <v>6041</v>
      </c>
    </row>
    <row r="9043" spans="1:1" x14ac:dyDescent="0.25">
      <c r="A9043" t="s">
        <v>6042</v>
      </c>
    </row>
    <row r="9044" spans="1:1" x14ac:dyDescent="0.25">
      <c r="A9044" t="s">
        <v>6043</v>
      </c>
    </row>
    <row r="9045" spans="1:1" x14ac:dyDescent="0.25">
      <c r="A9045" t="s">
        <v>6044</v>
      </c>
    </row>
    <row r="9046" spans="1:1" x14ac:dyDescent="0.25">
      <c r="A9046" t="s">
        <v>6045</v>
      </c>
    </row>
    <row r="9047" spans="1:1" x14ac:dyDescent="0.25">
      <c r="A9047" t="s">
        <v>6046</v>
      </c>
    </row>
    <row r="9048" spans="1:1" x14ac:dyDescent="0.25">
      <c r="A9048" t="s">
        <v>6047</v>
      </c>
    </row>
    <row r="9049" spans="1:1" x14ac:dyDescent="0.25">
      <c r="A9049" t="s">
        <v>6048</v>
      </c>
    </row>
    <row r="9050" spans="1:1" x14ac:dyDescent="0.25">
      <c r="A9050" t="s">
        <v>6049</v>
      </c>
    </row>
    <row r="9051" spans="1:1" x14ac:dyDescent="0.25">
      <c r="A9051" t="s">
        <v>6050</v>
      </c>
    </row>
    <row r="9052" spans="1:1" x14ac:dyDescent="0.25">
      <c r="A9052" t="s">
        <v>6051</v>
      </c>
    </row>
    <row r="9053" spans="1:1" x14ac:dyDescent="0.25">
      <c r="A9053" t="s">
        <v>6052</v>
      </c>
    </row>
    <row r="9054" spans="1:1" x14ac:dyDescent="0.25">
      <c r="A9054" t="s">
        <v>6053</v>
      </c>
    </row>
    <row r="9055" spans="1:1" x14ac:dyDescent="0.25">
      <c r="A9055" t="s">
        <v>6054</v>
      </c>
    </row>
    <row r="9056" spans="1:1" x14ac:dyDescent="0.25">
      <c r="A9056" t="s">
        <v>6055</v>
      </c>
    </row>
    <row r="9057" spans="1:1" x14ac:dyDescent="0.25">
      <c r="A9057" t="s">
        <v>6056</v>
      </c>
    </row>
    <row r="9058" spans="1:1" x14ac:dyDescent="0.25">
      <c r="A9058" t="s">
        <v>6057</v>
      </c>
    </row>
    <row r="9059" spans="1:1" x14ac:dyDescent="0.25">
      <c r="A9059" t="s">
        <v>6058</v>
      </c>
    </row>
    <row r="9060" spans="1:1" x14ac:dyDescent="0.25">
      <c r="A9060" t="s">
        <v>6059</v>
      </c>
    </row>
    <row r="9061" spans="1:1" x14ac:dyDescent="0.25">
      <c r="A9061" t="s">
        <v>6060</v>
      </c>
    </row>
    <row r="9062" spans="1:1" x14ac:dyDescent="0.25">
      <c r="A9062" t="s">
        <v>6061</v>
      </c>
    </row>
    <row r="9063" spans="1:1" x14ac:dyDescent="0.25">
      <c r="A9063" t="s">
        <v>6062</v>
      </c>
    </row>
    <row r="9064" spans="1:1" x14ac:dyDescent="0.25">
      <c r="A9064" t="s">
        <v>6063</v>
      </c>
    </row>
    <row r="9065" spans="1:1" x14ac:dyDescent="0.25">
      <c r="A9065" t="s">
        <v>6064</v>
      </c>
    </row>
    <row r="9066" spans="1:1" x14ac:dyDescent="0.25">
      <c r="A9066" t="s">
        <v>6065</v>
      </c>
    </row>
    <row r="9067" spans="1:1" x14ac:dyDescent="0.25">
      <c r="A9067" t="s">
        <v>6066</v>
      </c>
    </row>
    <row r="9068" spans="1:1" x14ac:dyDescent="0.25">
      <c r="A9068" t="s">
        <v>6067</v>
      </c>
    </row>
    <row r="9069" spans="1:1" x14ac:dyDescent="0.25">
      <c r="A9069" t="s">
        <v>6068</v>
      </c>
    </row>
    <row r="9070" spans="1:1" x14ac:dyDescent="0.25">
      <c r="A9070" t="s">
        <v>6069</v>
      </c>
    </row>
    <row r="9071" spans="1:1" x14ac:dyDescent="0.25">
      <c r="A9071" t="s">
        <v>6070</v>
      </c>
    </row>
    <row r="9072" spans="1:1" x14ac:dyDescent="0.25">
      <c r="A9072" t="s">
        <v>6071</v>
      </c>
    </row>
    <row r="9073" spans="1:1" x14ac:dyDescent="0.25">
      <c r="A9073" t="s">
        <v>6072</v>
      </c>
    </row>
    <row r="9074" spans="1:1" x14ac:dyDescent="0.25">
      <c r="A9074" t="s">
        <v>6073</v>
      </c>
    </row>
    <row r="9075" spans="1:1" x14ac:dyDescent="0.25">
      <c r="A9075" t="s">
        <v>6074</v>
      </c>
    </row>
    <row r="9076" spans="1:1" x14ac:dyDescent="0.25">
      <c r="A9076" t="s">
        <v>6075</v>
      </c>
    </row>
    <row r="9077" spans="1:1" x14ac:dyDescent="0.25">
      <c r="A9077" t="s">
        <v>6076</v>
      </c>
    </row>
    <row r="9078" spans="1:1" x14ac:dyDescent="0.25">
      <c r="A9078" t="s">
        <v>6077</v>
      </c>
    </row>
    <row r="9079" spans="1:1" x14ac:dyDescent="0.25">
      <c r="A9079" t="s">
        <v>6078</v>
      </c>
    </row>
    <row r="9080" spans="1:1" x14ac:dyDescent="0.25">
      <c r="A9080" t="s">
        <v>6079</v>
      </c>
    </row>
    <row r="9081" spans="1:1" x14ac:dyDescent="0.25">
      <c r="A9081" t="s">
        <v>6080</v>
      </c>
    </row>
    <row r="9082" spans="1:1" x14ac:dyDescent="0.25">
      <c r="A9082" t="s">
        <v>6081</v>
      </c>
    </row>
    <row r="9083" spans="1:1" x14ac:dyDescent="0.25">
      <c r="A9083" t="s">
        <v>6082</v>
      </c>
    </row>
    <row r="9084" spans="1:1" x14ac:dyDescent="0.25">
      <c r="A9084" t="s">
        <v>6083</v>
      </c>
    </row>
    <row r="9085" spans="1:1" x14ac:dyDescent="0.25">
      <c r="A9085" t="s">
        <v>6084</v>
      </c>
    </row>
    <row r="9086" spans="1:1" x14ac:dyDescent="0.25">
      <c r="A9086" t="s">
        <v>6085</v>
      </c>
    </row>
    <row r="9087" spans="1:1" x14ac:dyDescent="0.25">
      <c r="A9087" t="s">
        <v>6086</v>
      </c>
    </row>
    <row r="9088" spans="1:1" x14ac:dyDescent="0.25">
      <c r="A9088" t="s">
        <v>6087</v>
      </c>
    </row>
    <row r="9089" spans="1:1" x14ac:dyDescent="0.25">
      <c r="A9089" t="s">
        <v>6088</v>
      </c>
    </row>
    <row r="9090" spans="1:1" x14ac:dyDescent="0.25">
      <c r="A9090" t="s">
        <v>6089</v>
      </c>
    </row>
    <row r="9091" spans="1:1" x14ac:dyDescent="0.25">
      <c r="A9091" t="s">
        <v>6090</v>
      </c>
    </row>
    <row r="9092" spans="1:1" x14ac:dyDescent="0.25">
      <c r="A9092" t="s">
        <v>6091</v>
      </c>
    </row>
    <row r="9093" spans="1:1" x14ac:dyDescent="0.25">
      <c r="A9093" t="s">
        <v>6092</v>
      </c>
    </row>
    <row r="9094" spans="1:1" x14ac:dyDescent="0.25">
      <c r="A9094" t="s">
        <v>6093</v>
      </c>
    </row>
    <row r="9095" spans="1:1" x14ac:dyDescent="0.25">
      <c r="A9095" t="s">
        <v>6094</v>
      </c>
    </row>
    <row r="9096" spans="1:1" x14ac:dyDescent="0.25">
      <c r="A9096" t="s">
        <v>6095</v>
      </c>
    </row>
    <row r="9097" spans="1:1" x14ac:dyDescent="0.25">
      <c r="A9097" t="s">
        <v>6096</v>
      </c>
    </row>
    <row r="9098" spans="1:1" x14ac:dyDescent="0.25">
      <c r="A9098" t="s">
        <v>6097</v>
      </c>
    </row>
    <row r="9099" spans="1:1" x14ac:dyDescent="0.25">
      <c r="A9099" t="s">
        <v>6098</v>
      </c>
    </row>
    <row r="9100" spans="1:1" x14ac:dyDescent="0.25">
      <c r="A9100" t="s">
        <v>6099</v>
      </c>
    </row>
    <row r="9101" spans="1:1" x14ac:dyDescent="0.25">
      <c r="A9101" t="s">
        <v>6100</v>
      </c>
    </row>
    <row r="9102" spans="1:1" x14ac:dyDescent="0.25">
      <c r="A9102" t="s">
        <v>6101</v>
      </c>
    </row>
    <row r="9103" spans="1:1" x14ac:dyDescent="0.25">
      <c r="A9103" t="s">
        <v>6102</v>
      </c>
    </row>
    <row r="9104" spans="1:1" x14ac:dyDescent="0.25">
      <c r="A9104" t="s">
        <v>6103</v>
      </c>
    </row>
    <row r="9105" spans="1:1" x14ac:dyDescent="0.25">
      <c r="A9105" t="s">
        <v>6104</v>
      </c>
    </row>
    <row r="9106" spans="1:1" x14ac:dyDescent="0.25">
      <c r="A9106" t="s">
        <v>6105</v>
      </c>
    </row>
    <row r="9107" spans="1:1" x14ac:dyDescent="0.25">
      <c r="A9107" t="s">
        <v>6106</v>
      </c>
    </row>
    <row r="9108" spans="1:1" x14ac:dyDescent="0.25">
      <c r="A9108" t="s">
        <v>6107</v>
      </c>
    </row>
    <row r="9109" spans="1:1" x14ac:dyDescent="0.25">
      <c r="A9109" t="s">
        <v>6108</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A2" workbookViewId="0">
      <selection activeCell="F12" sqref="F12"/>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1361</v>
      </c>
      <c r="D1" s="1" t="s">
        <v>193</v>
      </c>
      <c r="E1" s="1" t="s">
        <v>1560</v>
      </c>
      <c r="F1" s="1" t="s">
        <v>199</v>
      </c>
      <c r="G1" s="1" t="s">
        <v>194</v>
      </c>
      <c r="H1" s="1" t="s">
        <v>195</v>
      </c>
      <c r="I1" s="1" t="s">
        <v>196</v>
      </c>
      <c r="J1" s="1" t="s">
        <v>197</v>
      </c>
      <c r="K1" s="1" t="s">
        <v>198</v>
      </c>
      <c r="L1" s="1" t="s">
        <v>201</v>
      </c>
      <c r="M1" s="1" t="s">
        <v>234</v>
      </c>
      <c r="N1" s="1" t="s">
        <v>245</v>
      </c>
      <c r="O1" s="1" t="s">
        <v>286</v>
      </c>
      <c r="P1" s="1" t="s">
        <v>288</v>
      </c>
      <c r="Q1" s="1" t="s">
        <v>7449</v>
      </c>
      <c r="R1" s="3" t="s">
        <v>1138</v>
      </c>
      <c r="S1" s="1" t="s">
        <v>1143</v>
      </c>
      <c r="T1" s="1" t="s">
        <v>1144</v>
      </c>
      <c r="U1" s="1" t="s">
        <v>1154</v>
      </c>
      <c r="V1" s="1" t="s">
        <v>1170</v>
      </c>
      <c r="W1" s="1" t="s">
        <v>1183</v>
      </c>
      <c r="X1" s="1" t="s">
        <v>1374</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7450</v>
      </c>
      <c r="R2" t="s">
        <v>1139</v>
      </c>
      <c r="S2" t="s">
        <v>1145</v>
      </c>
      <c r="T2" t="s">
        <v>1150</v>
      </c>
      <c r="U2" t="s">
        <v>1155</v>
      </c>
      <c r="V2" t="s">
        <v>1171</v>
      </c>
      <c r="W2" t="s">
        <v>250</v>
      </c>
      <c r="X2" t="s">
        <v>1375</v>
      </c>
    </row>
    <row r="3" spans="1:24" x14ac:dyDescent="0.25">
      <c r="A3" t="b">
        <v>1</v>
      </c>
      <c r="C3" s="5" t="s">
        <v>1428</v>
      </c>
      <c r="D3" t="s">
        <v>152</v>
      </c>
      <c r="E3" t="s">
        <v>1087</v>
      </c>
      <c r="F3" t="s">
        <v>39</v>
      </c>
      <c r="G3" t="s">
        <v>48</v>
      </c>
      <c r="H3" t="s">
        <v>56</v>
      </c>
      <c r="I3" t="s">
        <v>1089</v>
      </c>
      <c r="J3" t="s">
        <v>132</v>
      </c>
      <c r="K3" t="s">
        <v>182</v>
      </c>
      <c r="L3" t="s">
        <v>203</v>
      </c>
      <c r="M3" t="s">
        <v>1116</v>
      </c>
      <c r="N3" t="s">
        <v>268</v>
      </c>
      <c r="O3" t="s">
        <v>1123</v>
      </c>
      <c r="P3" t="s">
        <v>290</v>
      </c>
      <c r="Q3" s="5" t="s">
        <v>7451</v>
      </c>
      <c r="R3" s="5" t="s">
        <v>1140</v>
      </c>
      <c r="S3" t="s">
        <v>1146</v>
      </c>
      <c r="T3" t="s">
        <v>1151</v>
      </c>
      <c r="U3" t="s">
        <v>1156</v>
      </c>
      <c r="V3" t="s">
        <v>1172</v>
      </c>
      <c r="W3" t="s">
        <v>251</v>
      </c>
      <c r="X3" t="s">
        <v>1376</v>
      </c>
    </row>
    <row r="4" spans="1:24" x14ac:dyDescent="0.25">
      <c r="C4" s="5" t="s">
        <v>1429</v>
      </c>
      <c r="D4" t="s">
        <v>154</v>
      </c>
      <c r="E4" t="s">
        <v>113</v>
      </c>
      <c r="F4" t="s">
        <v>1088</v>
      </c>
      <c r="G4" t="s">
        <v>49</v>
      </c>
      <c r="H4" t="s">
        <v>57</v>
      </c>
      <c r="I4" t="s">
        <v>1090</v>
      </c>
      <c r="J4" t="s">
        <v>133</v>
      </c>
      <c r="K4" t="s">
        <v>1094</v>
      </c>
      <c r="L4" t="s">
        <v>204</v>
      </c>
      <c r="M4" t="s">
        <v>34</v>
      </c>
      <c r="O4" t="s">
        <v>1124</v>
      </c>
      <c r="P4" t="s">
        <v>291</v>
      </c>
      <c r="Q4" s="5" t="s">
        <v>7452</v>
      </c>
      <c r="R4" s="5" t="s">
        <v>1141</v>
      </c>
      <c r="S4" t="s">
        <v>1147</v>
      </c>
      <c r="T4" t="s">
        <v>1152</v>
      </c>
      <c r="U4" t="s">
        <v>1157</v>
      </c>
      <c r="V4" t="s">
        <v>1173</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7453</v>
      </c>
      <c r="R5" s="5" t="s">
        <v>1142</v>
      </c>
      <c r="S5" t="s">
        <v>1148</v>
      </c>
      <c r="T5" t="s">
        <v>1153</v>
      </c>
      <c r="U5" t="s">
        <v>1158</v>
      </c>
      <c r="W5" t="s">
        <v>253</v>
      </c>
      <c r="X5" t="s">
        <v>1377</v>
      </c>
    </row>
    <row r="6" spans="1:24" x14ac:dyDescent="0.25">
      <c r="C6" s="5" t="s">
        <v>1426</v>
      </c>
      <c r="D6" t="s">
        <v>156</v>
      </c>
      <c r="E6" t="s">
        <v>1086</v>
      </c>
      <c r="F6" t="s">
        <v>43</v>
      </c>
      <c r="G6" t="s">
        <v>51</v>
      </c>
      <c r="H6" t="s">
        <v>59</v>
      </c>
      <c r="I6" t="s">
        <v>1092</v>
      </c>
      <c r="K6" t="s">
        <v>1095</v>
      </c>
      <c r="L6" t="s">
        <v>47</v>
      </c>
      <c r="M6" t="s">
        <v>1118</v>
      </c>
      <c r="O6" t="s">
        <v>1126</v>
      </c>
      <c r="P6" t="s">
        <v>293</v>
      </c>
      <c r="Q6" s="5" t="s">
        <v>7454</v>
      </c>
      <c r="S6" t="s">
        <v>1149</v>
      </c>
      <c r="T6" t="s">
        <v>14</v>
      </c>
      <c r="U6" t="s">
        <v>1159</v>
      </c>
      <c r="W6" t="s">
        <v>254</v>
      </c>
      <c r="X6" t="s">
        <v>1378</v>
      </c>
    </row>
    <row r="7" spans="1:24" x14ac:dyDescent="0.25">
      <c r="C7" s="5" t="s">
        <v>1427</v>
      </c>
      <c r="D7" t="s">
        <v>157</v>
      </c>
      <c r="F7" t="s">
        <v>42</v>
      </c>
      <c r="G7" t="s">
        <v>52</v>
      </c>
      <c r="H7" t="s">
        <v>60</v>
      </c>
      <c r="I7" t="s">
        <v>105</v>
      </c>
      <c r="K7" t="s">
        <v>1096</v>
      </c>
      <c r="L7" t="s">
        <v>113</v>
      </c>
      <c r="M7" t="s">
        <v>235</v>
      </c>
      <c r="O7" t="s">
        <v>1127</v>
      </c>
      <c r="P7" t="s">
        <v>294</v>
      </c>
      <c r="Q7" s="5" t="s">
        <v>7455</v>
      </c>
      <c r="U7" t="s">
        <v>1160</v>
      </c>
      <c r="W7" t="s">
        <v>255</v>
      </c>
      <c r="X7" t="s">
        <v>1379</v>
      </c>
    </row>
    <row r="8" spans="1:24" x14ac:dyDescent="0.25">
      <c r="C8" s="5" t="s">
        <v>1521</v>
      </c>
      <c r="D8" t="s">
        <v>158</v>
      </c>
      <c r="F8" t="s">
        <v>30</v>
      </c>
      <c r="G8" t="s">
        <v>53</v>
      </c>
      <c r="H8" t="s">
        <v>61</v>
      </c>
      <c r="I8" t="s">
        <v>106</v>
      </c>
      <c r="K8" t="s">
        <v>1097</v>
      </c>
      <c r="L8" t="s">
        <v>206</v>
      </c>
      <c r="M8" t="s">
        <v>236</v>
      </c>
      <c r="O8" t="s">
        <v>1128</v>
      </c>
      <c r="P8" t="s">
        <v>295</v>
      </c>
      <c r="Q8" s="5" t="s">
        <v>7456</v>
      </c>
      <c r="U8" t="s">
        <v>1161</v>
      </c>
      <c r="W8" t="s">
        <v>256</v>
      </c>
      <c r="X8" t="s">
        <v>1380</v>
      </c>
    </row>
    <row r="9" spans="1:24" x14ac:dyDescent="0.25">
      <c r="C9" s="5" t="s">
        <v>1513</v>
      </c>
      <c r="D9" t="s">
        <v>153</v>
      </c>
      <c r="F9" t="s">
        <v>31</v>
      </c>
      <c r="G9" t="s">
        <v>54</v>
      </c>
      <c r="H9" t="s">
        <v>62</v>
      </c>
      <c r="I9" t="s">
        <v>107</v>
      </c>
      <c r="K9" t="s">
        <v>1098</v>
      </c>
      <c r="L9" t="s">
        <v>207</v>
      </c>
      <c r="M9" t="s">
        <v>1119</v>
      </c>
      <c r="O9" t="s">
        <v>1129</v>
      </c>
      <c r="P9" t="s">
        <v>296</v>
      </c>
      <c r="Q9" s="5" t="s">
        <v>7457</v>
      </c>
      <c r="U9" t="s">
        <v>1162</v>
      </c>
      <c r="W9" t="s">
        <v>257</v>
      </c>
      <c r="X9" t="s">
        <v>8</v>
      </c>
    </row>
    <row r="10" spans="1:24" x14ac:dyDescent="0.25">
      <c r="C10" s="5" t="s">
        <v>1456</v>
      </c>
      <c r="D10" t="s">
        <v>159</v>
      </c>
      <c r="F10" t="s">
        <v>32</v>
      </c>
      <c r="H10" t="s">
        <v>63</v>
      </c>
      <c r="I10" t="s">
        <v>108</v>
      </c>
      <c r="K10" t="s">
        <v>1099</v>
      </c>
      <c r="L10" t="s">
        <v>208</v>
      </c>
      <c r="M10" t="s">
        <v>1120</v>
      </c>
      <c r="O10" t="s">
        <v>1130</v>
      </c>
      <c r="P10" t="s">
        <v>297</v>
      </c>
      <c r="Q10" s="5" t="s">
        <v>7458</v>
      </c>
      <c r="U10" t="s">
        <v>1163</v>
      </c>
      <c r="W10" t="s">
        <v>258</v>
      </c>
      <c r="X10" t="s">
        <v>9</v>
      </c>
    </row>
    <row r="11" spans="1:24" x14ac:dyDescent="0.25">
      <c r="C11" s="5" t="s">
        <v>1522</v>
      </c>
      <c r="D11" t="s">
        <v>160</v>
      </c>
      <c r="F11" t="s">
        <v>33</v>
      </c>
      <c r="H11" t="s">
        <v>64</v>
      </c>
      <c r="I11" t="s">
        <v>109</v>
      </c>
      <c r="K11" t="s">
        <v>1100</v>
      </c>
      <c r="L11" t="s">
        <v>13</v>
      </c>
      <c r="M11" t="s">
        <v>237</v>
      </c>
      <c r="O11" t="s">
        <v>1131</v>
      </c>
      <c r="P11" t="s">
        <v>298</v>
      </c>
      <c r="Q11" s="5" t="s">
        <v>7459</v>
      </c>
      <c r="U11" t="s">
        <v>1164</v>
      </c>
      <c r="W11" t="s">
        <v>259</v>
      </c>
      <c r="X11" t="s">
        <v>10</v>
      </c>
    </row>
    <row r="12" spans="1:24" x14ac:dyDescent="0.25">
      <c r="C12" s="5" t="s">
        <v>1476</v>
      </c>
      <c r="D12" t="s">
        <v>161</v>
      </c>
      <c r="F12" t="s">
        <v>38</v>
      </c>
      <c r="H12" t="s">
        <v>65</v>
      </c>
      <c r="I12" t="s">
        <v>110</v>
      </c>
      <c r="K12" t="s">
        <v>1101</v>
      </c>
      <c r="L12" t="s">
        <v>209</v>
      </c>
      <c r="M12" t="s">
        <v>1121</v>
      </c>
      <c r="O12" t="s">
        <v>1132</v>
      </c>
      <c r="P12" t="s">
        <v>299</v>
      </c>
      <c r="Q12" s="5" t="s">
        <v>7460</v>
      </c>
      <c r="U12" t="s">
        <v>1165</v>
      </c>
      <c r="W12" t="s">
        <v>260</v>
      </c>
      <c r="X12" t="s">
        <v>11</v>
      </c>
    </row>
    <row r="13" spans="1:24" x14ac:dyDescent="0.25">
      <c r="C13" s="5" t="s">
        <v>1364</v>
      </c>
      <c r="D13" t="s">
        <v>162</v>
      </c>
      <c r="F13" t="s">
        <v>41</v>
      </c>
      <c r="H13" t="s">
        <v>66</v>
      </c>
      <c r="I13" t="s">
        <v>111</v>
      </c>
      <c r="K13" t="s">
        <v>1102</v>
      </c>
      <c r="L13" t="s">
        <v>210</v>
      </c>
      <c r="O13" t="s">
        <v>1133</v>
      </c>
      <c r="P13" t="s">
        <v>300</v>
      </c>
      <c r="Q13" s="5" t="s">
        <v>7461</v>
      </c>
      <c r="U13" t="s">
        <v>1166</v>
      </c>
      <c r="W13" t="s">
        <v>261</v>
      </c>
      <c r="X13" t="s">
        <v>12</v>
      </c>
    </row>
    <row r="14" spans="1:24" x14ac:dyDescent="0.25">
      <c r="C14" s="5" t="s">
        <v>1144</v>
      </c>
      <c r="D14" t="s">
        <v>163</v>
      </c>
      <c r="F14" t="s">
        <v>35</v>
      </c>
      <c r="H14" t="s">
        <v>67</v>
      </c>
      <c r="I14" t="s">
        <v>112</v>
      </c>
      <c r="K14" t="s">
        <v>1103</v>
      </c>
      <c r="L14" t="s">
        <v>211</v>
      </c>
      <c r="O14" t="s">
        <v>1134</v>
      </c>
      <c r="P14" t="s">
        <v>301</v>
      </c>
      <c r="Q14" s="5" t="s">
        <v>7462</v>
      </c>
      <c r="U14" t="s">
        <v>1167</v>
      </c>
      <c r="W14" t="s">
        <v>262</v>
      </c>
      <c r="X14" t="s">
        <v>13</v>
      </c>
    </row>
    <row r="15" spans="1:24" x14ac:dyDescent="0.25">
      <c r="C15" s="5" t="s">
        <v>198</v>
      </c>
      <c r="D15" t="s">
        <v>164</v>
      </c>
      <c r="F15" t="s">
        <v>27</v>
      </c>
      <c r="H15" t="s">
        <v>68</v>
      </c>
      <c r="I15" t="s">
        <v>113</v>
      </c>
      <c r="K15" t="s">
        <v>1104</v>
      </c>
      <c r="L15" t="s">
        <v>212</v>
      </c>
      <c r="O15" t="s">
        <v>1135</v>
      </c>
      <c r="P15" t="s">
        <v>302</v>
      </c>
      <c r="Q15" s="5" t="s">
        <v>7463</v>
      </c>
      <c r="U15" t="s">
        <v>14</v>
      </c>
      <c r="W15" t="s">
        <v>263</v>
      </c>
      <c r="X15" t="s">
        <v>287</v>
      </c>
    </row>
    <row r="16" spans="1:24" x14ac:dyDescent="0.25">
      <c r="C16" s="5" t="s">
        <v>1462</v>
      </c>
      <c r="D16" t="s">
        <v>165</v>
      </c>
      <c r="F16" t="s">
        <v>40</v>
      </c>
      <c r="H16" t="s">
        <v>69</v>
      </c>
      <c r="I16" t="s">
        <v>114</v>
      </c>
      <c r="K16" t="s">
        <v>1105</v>
      </c>
      <c r="L16" t="s">
        <v>14</v>
      </c>
      <c r="O16" t="s">
        <v>7</v>
      </c>
      <c r="P16" t="s">
        <v>303</v>
      </c>
      <c r="Q16" s="5" t="s">
        <v>7464</v>
      </c>
      <c r="U16" t="s">
        <v>1168</v>
      </c>
      <c r="W16" t="s">
        <v>264</v>
      </c>
    </row>
    <row r="17" spans="3:23" x14ac:dyDescent="0.25">
      <c r="C17" s="5" t="s">
        <v>1138</v>
      </c>
      <c r="D17" t="s">
        <v>150</v>
      </c>
      <c r="F17" t="s">
        <v>26</v>
      </c>
      <c r="H17" t="s">
        <v>70</v>
      </c>
      <c r="I17" t="s">
        <v>115</v>
      </c>
      <c r="K17" t="s">
        <v>1106</v>
      </c>
      <c r="O17" t="s">
        <v>8</v>
      </c>
      <c r="P17" t="s">
        <v>304</v>
      </c>
      <c r="Q17" s="5" t="s">
        <v>7465</v>
      </c>
      <c r="W17" t="s">
        <v>265</v>
      </c>
    </row>
    <row r="18" spans="3:23" x14ac:dyDescent="0.25">
      <c r="C18" s="5" t="s">
        <v>1137</v>
      </c>
      <c r="D18" t="s">
        <v>166</v>
      </c>
      <c r="F18" t="s">
        <v>44</v>
      </c>
      <c r="H18" t="s">
        <v>71</v>
      </c>
      <c r="I18" t="s">
        <v>116</v>
      </c>
      <c r="K18" t="s">
        <v>1107</v>
      </c>
      <c r="O18" t="s">
        <v>9</v>
      </c>
      <c r="P18" t="s">
        <v>305</v>
      </c>
      <c r="Q18" s="5" t="s">
        <v>7466</v>
      </c>
      <c r="W18" t="s">
        <v>266</v>
      </c>
    </row>
    <row r="19" spans="3:23" x14ac:dyDescent="0.25">
      <c r="C19" s="5" t="s">
        <v>201</v>
      </c>
      <c r="D19" t="s">
        <v>167</v>
      </c>
      <c r="F19" t="s">
        <v>36</v>
      </c>
      <c r="H19" t="s">
        <v>72</v>
      </c>
      <c r="I19" t="s">
        <v>117</v>
      </c>
      <c r="K19" t="s">
        <v>1108</v>
      </c>
      <c r="O19" t="s">
        <v>10</v>
      </c>
      <c r="P19" t="s">
        <v>306</v>
      </c>
      <c r="Q19" s="5" t="s">
        <v>7467</v>
      </c>
      <c r="W19" t="s">
        <v>267</v>
      </c>
    </row>
    <row r="20" spans="3:23" x14ac:dyDescent="0.25">
      <c r="C20" s="5" t="s">
        <v>1477</v>
      </c>
      <c r="D20" t="s">
        <v>168</v>
      </c>
      <c r="F20" t="s">
        <v>28</v>
      </c>
      <c r="H20" t="s">
        <v>73</v>
      </c>
      <c r="I20" t="s">
        <v>118</v>
      </c>
      <c r="K20" t="s">
        <v>1109</v>
      </c>
      <c r="O20" t="s">
        <v>11</v>
      </c>
      <c r="P20" t="s">
        <v>307</v>
      </c>
      <c r="Q20" s="5" t="s">
        <v>7468</v>
      </c>
      <c r="W20" t="s">
        <v>268</v>
      </c>
    </row>
    <row r="21" spans="3:23" x14ac:dyDescent="0.25">
      <c r="C21" s="5" t="s">
        <v>1539</v>
      </c>
      <c r="D21" t="s">
        <v>149</v>
      </c>
      <c r="F21" t="s">
        <v>37</v>
      </c>
      <c r="H21" t="s">
        <v>74</v>
      </c>
      <c r="I21" t="s">
        <v>119</v>
      </c>
      <c r="K21" t="s">
        <v>1110</v>
      </c>
      <c r="O21" t="s">
        <v>12</v>
      </c>
      <c r="P21" t="s">
        <v>308</v>
      </c>
      <c r="Q21" s="5" t="s">
        <v>7469</v>
      </c>
      <c r="W21" t="s">
        <v>269</v>
      </c>
    </row>
    <row r="22" spans="3:23" x14ac:dyDescent="0.25">
      <c r="C22" s="5" t="s">
        <v>1461</v>
      </c>
      <c r="D22" t="s">
        <v>148</v>
      </c>
      <c r="F22" t="s">
        <v>46</v>
      </c>
      <c r="H22" t="s">
        <v>75</v>
      </c>
      <c r="I22" t="s">
        <v>120</v>
      </c>
      <c r="K22" t="s">
        <v>183</v>
      </c>
      <c r="O22" t="s">
        <v>13</v>
      </c>
      <c r="P22" t="s">
        <v>309</v>
      </c>
      <c r="Q22" s="5" t="s">
        <v>7470</v>
      </c>
      <c r="W22" t="s">
        <v>270</v>
      </c>
    </row>
    <row r="23" spans="3:23" x14ac:dyDescent="0.25">
      <c r="C23" s="5" t="s">
        <v>1425</v>
      </c>
      <c r="D23" t="s">
        <v>169</v>
      </c>
      <c r="F23" t="s">
        <v>45</v>
      </c>
      <c r="H23" t="s">
        <v>76</v>
      </c>
      <c r="I23" t="s">
        <v>121</v>
      </c>
      <c r="K23" t="s">
        <v>184</v>
      </c>
      <c r="O23" t="s">
        <v>14</v>
      </c>
      <c r="P23" t="s">
        <v>310</v>
      </c>
      <c r="Q23" s="5" t="s">
        <v>7471</v>
      </c>
      <c r="W23" t="s">
        <v>271</v>
      </c>
    </row>
    <row r="24" spans="3:23" x14ac:dyDescent="0.25">
      <c r="C24" s="5" t="s">
        <v>1398</v>
      </c>
      <c r="D24" t="s">
        <v>170</v>
      </c>
      <c r="H24" t="s">
        <v>77</v>
      </c>
      <c r="I24" t="s">
        <v>122</v>
      </c>
      <c r="K24" t="s">
        <v>1111</v>
      </c>
      <c r="O24" t="s">
        <v>287</v>
      </c>
      <c r="P24" t="s">
        <v>311</v>
      </c>
      <c r="Q24" s="5" t="s">
        <v>7472</v>
      </c>
      <c r="W24" t="s">
        <v>272</v>
      </c>
    </row>
    <row r="25" spans="3:23" x14ac:dyDescent="0.25">
      <c r="C25" s="5" t="s">
        <v>1384</v>
      </c>
      <c r="D25" t="s">
        <v>171</v>
      </c>
      <c r="H25" t="s">
        <v>78</v>
      </c>
      <c r="I25" t="s">
        <v>1093</v>
      </c>
      <c r="K25" t="s">
        <v>1112</v>
      </c>
      <c r="P25" t="s">
        <v>312</v>
      </c>
      <c r="Q25" s="5" t="s">
        <v>7473</v>
      </c>
    </row>
    <row r="26" spans="3:23" x14ac:dyDescent="0.25">
      <c r="C26" s="5" t="s">
        <v>1424</v>
      </c>
      <c r="D26" t="s">
        <v>147</v>
      </c>
      <c r="H26" t="s">
        <v>79</v>
      </c>
      <c r="I26" t="s">
        <v>123</v>
      </c>
      <c r="K26" t="s">
        <v>1113</v>
      </c>
      <c r="P26" t="s">
        <v>313</v>
      </c>
      <c r="Q26" s="5" t="s">
        <v>7474</v>
      </c>
    </row>
    <row r="27" spans="3:23" x14ac:dyDescent="0.25">
      <c r="C27" s="5" t="s">
        <v>196</v>
      </c>
      <c r="D27" t="s">
        <v>151</v>
      </c>
      <c r="H27" t="s">
        <v>80</v>
      </c>
      <c r="I27" t="s">
        <v>124</v>
      </c>
      <c r="K27" t="s">
        <v>185</v>
      </c>
      <c r="P27" t="s">
        <v>314</v>
      </c>
      <c r="Q27" s="5" t="s">
        <v>7475</v>
      </c>
    </row>
    <row r="28" spans="3:23" x14ac:dyDescent="0.25">
      <c r="C28" s="5" t="s">
        <v>1399</v>
      </c>
      <c r="H28" t="s">
        <v>81</v>
      </c>
      <c r="K28" t="s">
        <v>1114</v>
      </c>
      <c r="P28" t="s">
        <v>315</v>
      </c>
      <c r="Q28" s="5" t="s">
        <v>7476</v>
      </c>
    </row>
    <row r="29" spans="3:23" x14ac:dyDescent="0.25">
      <c r="C29" s="5" t="s">
        <v>1381</v>
      </c>
      <c r="H29" t="s">
        <v>82</v>
      </c>
      <c r="P29" t="s">
        <v>316</v>
      </c>
      <c r="Q29" s="5" t="s">
        <v>7477</v>
      </c>
    </row>
    <row r="30" spans="3:23" x14ac:dyDescent="0.25">
      <c r="C30" s="5" t="s">
        <v>1362</v>
      </c>
      <c r="H30" t="s">
        <v>83</v>
      </c>
      <c r="P30" t="s">
        <v>317</v>
      </c>
      <c r="Q30" s="5" t="s">
        <v>7478</v>
      </c>
    </row>
    <row r="31" spans="3:23" x14ac:dyDescent="0.25">
      <c r="C31" s="5" t="s">
        <v>1363</v>
      </c>
      <c r="H31" t="s">
        <v>84</v>
      </c>
      <c r="P31" t="s">
        <v>318</v>
      </c>
      <c r="Q31" s="5" t="s">
        <v>7479</v>
      </c>
    </row>
    <row r="32" spans="3:23" x14ac:dyDescent="0.25">
      <c r="C32" s="5" t="s">
        <v>1449</v>
      </c>
      <c r="H32" t="s">
        <v>85</v>
      </c>
      <c r="P32" t="s">
        <v>319</v>
      </c>
      <c r="Q32" s="5" t="s">
        <v>7480</v>
      </c>
    </row>
    <row r="33" spans="3:17" x14ac:dyDescent="0.25">
      <c r="C33" s="5" t="s">
        <v>1430</v>
      </c>
      <c r="H33" t="s">
        <v>86</v>
      </c>
      <c r="P33" t="s">
        <v>320</v>
      </c>
      <c r="Q33" s="5" t="s">
        <v>7481</v>
      </c>
    </row>
    <row r="34" spans="3:17" x14ac:dyDescent="0.25">
      <c r="C34" s="5" t="s">
        <v>1450</v>
      </c>
      <c r="H34" t="s">
        <v>87</v>
      </c>
      <c r="P34" t="s">
        <v>321</v>
      </c>
      <c r="Q34" s="5" t="s">
        <v>7482</v>
      </c>
    </row>
    <row r="35" spans="3:17" x14ac:dyDescent="0.25">
      <c r="C35" s="5"/>
      <c r="H35" t="s">
        <v>88</v>
      </c>
      <c r="P35" t="s">
        <v>322</v>
      </c>
      <c r="Q35" s="5" t="s">
        <v>7483</v>
      </c>
    </row>
    <row r="36" spans="3:17" x14ac:dyDescent="0.25">
      <c r="C36" s="5"/>
      <c r="H36" t="s">
        <v>89</v>
      </c>
      <c r="P36" t="s">
        <v>323</v>
      </c>
      <c r="Q36" s="5" t="s">
        <v>7484</v>
      </c>
    </row>
    <row r="37" spans="3:17" x14ac:dyDescent="0.25">
      <c r="C37" s="5"/>
      <c r="H37" t="s">
        <v>90</v>
      </c>
      <c r="P37" t="s">
        <v>324</v>
      </c>
      <c r="Q37" s="5" t="s">
        <v>7485</v>
      </c>
    </row>
    <row r="38" spans="3:17" x14ac:dyDescent="0.25">
      <c r="C38" s="5"/>
      <c r="H38" t="s">
        <v>91</v>
      </c>
      <c r="P38" t="s">
        <v>325</v>
      </c>
      <c r="Q38" s="5" t="s">
        <v>7486</v>
      </c>
    </row>
    <row r="39" spans="3:17" x14ac:dyDescent="0.25">
      <c r="C39" s="5"/>
      <c r="H39" t="s">
        <v>92</v>
      </c>
      <c r="P39" t="s">
        <v>326</v>
      </c>
      <c r="Q39" s="5" t="s">
        <v>7487</v>
      </c>
    </row>
    <row r="40" spans="3:17" x14ac:dyDescent="0.25">
      <c r="C40" s="5"/>
      <c r="H40" t="s">
        <v>93</v>
      </c>
      <c r="P40" t="s">
        <v>327</v>
      </c>
      <c r="Q40" s="5" t="s">
        <v>7488</v>
      </c>
    </row>
    <row r="41" spans="3:17" x14ac:dyDescent="0.25">
      <c r="C41" s="5"/>
      <c r="H41" t="s">
        <v>94</v>
      </c>
      <c r="P41" t="s">
        <v>328</v>
      </c>
      <c r="Q41" s="5" t="s">
        <v>7489</v>
      </c>
    </row>
    <row r="42" spans="3:17" x14ac:dyDescent="0.25">
      <c r="C42" s="5"/>
      <c r="H42" t="s">
        <v>14</v>
      </c>
      <c r="P42" t="s">
        <v>329</v>
      </c>
      <c r="Q42" s="5" t="s">
        <v>7490</v>
      </c>
    </row>
    <row r="43" spans="3:17" x14ac:dyDescent="0.25">
      <c r="C43" s="5"/>
      <c r="H43" t="s">
        <v>95</v>
      </c>
      <c r="P43" t="s">
        <v>330</v>
      </c>
      <c r="Q43" s="5" t="s">
        <v>7491</v>
      </c>
    </row>
    <row r="44" spans="3:17" x14ac:dyDescent="0.25">
      <c r="C44" s="5"/>
      <c r="H44" t="s">
        <v>96</v>
      </c>
      <c r="P44" t="s">
        <v>331</v>
      </c>
      <c r="Q44" s="5" t="s">
        <v>7492</v>
      </c>
    </row>
    <row r="45" spans="3:17" x14ac:dyDescent="0.25">
      <c r="C45" s="5"/>
      <c r="H45" t="s">
        <v>97</v>
      </c>
      <c r="P45" t="s">
        <v>332</v>
      </c>
      <c r="Q45" s="5" t="s">
        <v>7493</v>
      </c>
    </row>
    <row r="46" spans="3:17" x14ac:dyDescent="0.25">
      <c r="C46" s="5"/>
      <c r="H46" t="s">
        <v>98</v>
      </c>
      <c r="P46" t="s">
        <v>333</v>
      </c>
      <c r="Q46" s="5" t="s">
        <v>7494</v>
      </c>
    </row>
    <row r="47" spans="3:17" x14ac:dyDescent="0.25">
      <c r="C47" s="5"/>
      <c r="H47" t="s">
        <v>99</v>
      </c>
      <c r="P47" t="s">
        <v>334</v>
      </c>
      <c r="Q47" s="5" t="s">
        <v>7495</v>
      </c>
    </row>
    <row r="48" spans="3:17" x14ac:dyDescent="0.25">
      <c r="C48" s="5"/>
      <c r="H48" t="s">
        <v>100</v>
      </c>
      <c r="P48" t="s">
        <v>335</v>
      </c>
      <c r="Q48" s="5" t="s">
        <v>7496</v>
      </c>
    </row>
    <row r="49" spans="3:17" x14ac:dyDescent="0.25">
      <c r="C49" s="5"/>
      <c r="H49" t="s">
        <v>101</v>
      </c>
      <c r="P49" t="s">
        <v>336</v>
      </c>
      <c r="Q49" s="5" t="s">
        <v>7497</v>
      </c>
    </row>
    <row r="50" spans="3:17" x14ac:dyDescent="0.25">
      <c r="C50" s="5"/>
      <c r="H50" t="s">
        <v>102</v>
      </c>
      <c r="P50" t="s">
        <v>337</v>
      </c>
      <c r="Q50" s="5" t="s">
        <v>7498</v>
      </c>
    </row>
    <row r="51" spans="3:17" x14ac:dyDescent="0.25">
      <c r="C51" s="5"/>
      <c r="H51" t="s">
        <v>103</v>
      </c>
      <c r="P51" t="s">
        <v>338</v>
      </c>
      <c r="Q51" s="5" t="s">
        <v>7499</v>
      </c>
    </row>
    <row r="52" spans="3:17" x14ac:dyDescent="0.25">
      <c r="C52" s="5"/>
      <c r="P52" t="s">
        <v>339</v>
      </c>
      <c r="Q52" s="5" t="s">
        <v>7500</v>
      </c>
    </row>
    <row r="53" spans="3:17" x14ac:dyDescent="0.25">
      <c r="C53" s="5"/>
      <c r="P53" t="s">
        <v>340</v>
      </c>
      <c r="Q53" s="5" t="s">
        <v>7501</v>
      </c>
    </row>
    <row r="54" spans="3:17" x14ac:dyDescent="0.25">
      <c r="C54" s="5"/>
      <c r="P54" t="s">
        <v>341</v>
      </c>
      <c r="Q54" s="5" t="s">
        <v>7502</v>
      </c>
    </row>
    <row r="55" spans="3:17" x14ac:dyDescent="0.25">
      <c r="C55" s="5"/>
      <c r="P55" t="s">
        <v>342</v>
      </c>
      <c r="Q55" s="5" t="s">
        <v>7503</v>
      </c>
    </row>
    <row r="56" spans="3:17" x14ac:dyDescent="0.25">
      <c r="C56" s="5"/>
      <c r="P56" t="s">
        <v>343</v>
      </c>
      <c r="Q56" s="5" t="s">
        <v>7504</v>
      </c>
    </row>
    <row r="57" spans="3:17" x14ac:dyDescent="0.25">
      <c r="C57" s="5"/>
      <c r="P57" t="s">
        <v>344</v>
      </c>
      <c r="Q57" s="5" t="s">
        <v>7505</v>
      </c>
    </row>
    <row r="58" spans="3:17" x14ac:dyDescent="0.25">
      <c r="C58" s="5"/>
      <c r="P58" t="s">
        <v>345</v>
      </c>
      <c r="Q58" s="5" t="s">
        <v>7506</v>
      </c>
    </row>
    <row r="59" spans="3:17" x14ac:dyDescent="0.25">
      <c r="C59" s="5"/>
      <c r="P59" t="s">
        <v>346</v>
      </c>
      <c r="Q59" s="5" t="s">
        <v>7507</v>
      </c>
    </row>
    <row r="60" spans="3:17" x14ac:dyDescent="0.25">
      <c r="C60" s="5"/>
      <c r="P60" t="s">
        <v>347</v>
      </c>
      <c r="Q60" s="5" t="s">
        <v>7508</v>
      </c>
    </row>
    <row r="61" spans="3:17" x14ac:dyDescent="0.25">
      <c r="C61" s="5"/>
      <c r="P61" t="s">
        <v>348</v>
      </c>
      <c r="Q61" s="5" t="s">
        <v>7509</v>
      </c>
    </row>
    <row r="62" spans="3:17" x14ac:dyDescent="0.25">
      <c r="C62" s="5"/>
      <c r="P62" t="s">
        <v>349</v>
      </c>
      <c r="Q62" s="5" t="s">
        <v>7510</v>
      </c>
    </row>
    <row r="63" spans="3:17" x14ac:dyDescent="0.25">
      <c r="C63" s="5"/>
      <c r="P63" t="s">
        <v>350</v>
      </c>
      <c r="Q63" s="5" t="s">
        <v>7511</v>
      </c>
    </row>
    <row r="64" spans="3:17" x14ac:dyDescent="0.25">
      <c r="C64" s="5"/>
      <c r="P64" t="s">
        <v>351</v>
      </c>
      <c r="Q64" s="5" t="s">
        <v>7512</v>
      </c>
    </row>
    <row r="65" spans="3:17" x14ac:dyDescent="0.25">
      <c r="C65" s="5"/>
      <c r="P65" t="s">
        <v>352</v>
      </c>
      <c r="Q65" s="5" t="s">
        <v>7513</v>
      </c>
    </row>
    <row r="66" spans="3:17" x14ac:dyDescent="0.25">
      <c r="C66" s="5"/>
      <c r="P66" t="s">
        <v>353</v>
      </c>
      <c r="Q66" s="5" t="s">
        <v>7514</v>
      </c>
    </row>
    <row r="67" spans="3:17" x14ac:dyDescent="0.25">
      <c r="C67" s="5"/>
      <c r="P67" t="s">
        <v>354</v>
      </c>
      <c r="Q67" s="5" t="s">
        <v>7515</v>
      </c>
    </row>
    <row r="68" spans="3:17" x14ac:dyDescent="0.25">
      <c r="C68" s="5"/>
      <c r="P68" t="s">
        <v>355</v>
      </c>
      <c r="Q68" s="5" t="s">
        <v>7516</v>
      </c>
    </row>
    <row r="69" spans="3:17" x14ac:dyDescent="0.25">
      <c r="C69" s="5"/>
      <c r="P69" t="s">
        <v>356</v>
      </c>
      <c r="Q69" s="5" t="s">
        <v>7517</v>
      </c>
    </row>
    <row r="70" spans="3:17" x14ac:dyDescent="0.25">
      <c r="C70" s="5"/>
      <c r="P70" t="s">
        <v>357</v>
      </c>
      <c r="Q70" s="5" t="s">
        <v>7518</v>
      </c>
    </row>
    <row r="71" spans="3:17" x14ac:dyDescent="0.25">
      <c r="C71" s="5"/>
      <c r="P71" t="s">
        <v>358</v>
      </c>
      <c r="Q71" s="5" t="s">
        <v>7519</v>
      </c>
    </row>
    <row r="72" spans="3:17" x14ac:dyDescent="0.25">
      <c r="C72" s="5"/>
      <c r="P72" t="s">
        <v>359</v>
      </c>
      <c r="Q72" s="5" t="s">
        <v>7520</v>
      </c>
    </row>
    <row r="73" spans="3:17" x14ac:dyDescent="0.25">
      <c r="C73" s="5"/>
      <c r="P73" t="s">
        <v>360</v>
      </c>
      <c r="Q73" s="5" t="s">
        <v>7521</v>
      </c>
    </row>
    <row r="74" spans="3:17" x14ac:dyDescent="0.25">
      <c r="C74" s="5"/>
      <c r="P74" t="s">
        <v>361</v>
      </c>
      <c r="Q74" s="5" t="s">
        <v>7522</v>
      </c>
    </row>
    <row r="75" spans="3:17" x14ac:dyDescent="0.25">
      <c r="C75" s="5"/>
      <c r="P75" t="s">
        <v>362</v>
      </c>
      <c r="Q75" s="5" t="s">
        <v>7523</v>
      </c>
    </row>
    <row r="76" spans="3:17" x14ac:dyDescent="0.25">
      <c r="C76" s="5"/>
      <c r="P76" t="s">
        <v>363</v>
      </c>
      <c r="Q76" s="5" t="s">
        <v>7524</v>
      </c>
    </row>
    <row r="77" spans="3:17" x14ac:dyDescent="0.25">
      <c r="C77" s="5"/>
      <c r="P77" t="s">
        <v>364</v>
      </c>
      <c r="Q77" s="5" t="s">
        <v>7525</v>
      </c>
    </row>
    <row r="78" spans="3:17" x14ac:dyDescent="0.25">
      <c r="C78" s="5"/>
      <c r="P78" t="s">
        <v>365</v>
      </c>
      <c r="Q78" s="5" t="s">
        <v>7526</v>
      </c>
    </row>
    <row r="79" spans="3:17" x14ac:dyDescent="0.25">
      <c r="C79" s="5"/>
      <c r="P79" t="s">
        <v>366</v>
      </c>
      <c r="Q79" s="5" t="s">
        <v>7527</v>
      </c>
    </row>
    <row r="80" spans="3:17" x14ac:dyDescent="0.25">
      <c r="C80" s="5"/>
      <c r="P80" t="s">
        <v>367</v>
      </c>
      <c r="Q80" s="5" t="s">
        <v>7528</v>
      </c>
    </row>
    <row r="81" spans="3:17" x14ac:dyDescent="0.25">
      <c r="C81" s="5"/>
      <c r="P81" t="s">
        <v>368</v>
      </c>
      <c r="Q81" s="5" t="s">
        <v>7529</v>
      </c>
    </row>
    <row r="82" spans="3:17" x14ac:dyDescent="0.25">
      <c r="C82" s="5"/>
      <c r="P82" t="s">
        <v>369</v>
      </c>
      <c r="Q82" s="5" t="s">
        <v>7530</v>
      </c>
    </row>
    <row r="83" spans="3:17" x14ac:dyDescent="0.25">
      <c r="C83" s="5"/>
      <c r="P83" t="s">
        <v>370</v>
      </c>
      <c r="Q83" s="5" t="s">
        <v>7531</v>
      </c>
    </row>
    <row r="84" spans="3:17" x14ac:dyDescent="0.25">
      <c r="C84" s="5"/>
      <c r="P84" t="s">
        <v>371</v>
      </c>
      <c r="Q84" s="5" t="s">
        <v>7532</v>
      </c>
    </row>
    <row r="85" spans="3:17" x14ac:dyDescent="0.25">
      <c r="C85" s="5"/>
      <c r="P85" t="s">
        <v>372</v>
      </c>
      <c r="Q85" s="5" t="s">
        <v>7533</v>
      </c>
    </row>
    <row r="86" spans="3:17" x14ac:dyDescent="0.25">
      <c r="C86" s="5"/>
      <c r="P86" t="s">
        <v>373</v>
      </c>
      <c r="Q86" s="5" t="s">
        <v>7534</v>
      </c>
    </row>
    <row r="87" spans="3:17" x14ac:dyDescent="0.25">
      <c r="C87" s="5"/>
      <c r="P87" t="s">
        <v>374</v>
      </c>
      <c r="Q87" s="5" t="s">
        <v>7535</v>
      </c>
    </row>
    <row r="88" spans="3:17" x14ac:dyDescent="0.25">
      <c r="C88" s="5"/>
      <c r="P88" t="s">
        <v>375</v>
      </c>
      <c r="Q88" s="5" t="s">
        <v>7536</v>
      </c>
    </row>
    <row r="89" spans="3:17" x14ac:dyDescent="0.25">
      <c r="C89" s="5"/>
      <c r="P89" t="s">
        <v>376</v>
      </c>
      <c r="Q89" s="5" t="s">
        <v>7537</v>
      </c>
    </row>
    <row r="90" spans="3:17" x14ac:dyDescent="0.25">
      <c r="C90" s="5"/>
      <c r="P90" t="s">
        <v>377</v>
      </c>
      <c r="Q90" s="5" t="s">
        <v>7538</v>
      </c>
    </row>
    <row r="91" spans="3:17" x14ac:dyDescent="0.25">
      <c r="C91" s="5"/>
      <c r="P91" t="s">
        <v>378</v>
      </c>
      <c r="Q91" s="5" t="s">
        <v>7539</v>
      </c>
    </row>
    <row r="92" spans="3:17" x14ac:dyDescent="0.25">
      <c r="C92" s="5"/>
      <c r="P92" t="s">
        <v>379</v>
      </c>
      <c r="Q92" s="5" t="s">
        <v>7540</v>
      </c>
    </row>
    <row r="93" spans="3:17" x14ac:dyDescent="0.25">
      <c r="C93" s="5"/>
      <c r="P93" t="s">
        <v>380</v>
      </c>
      <c r="Q93" s="5" t="s">
        <v>7541</v>
      </c>
    </row>
    <row r="94" spans="3:17" x14ac:dyDescent="0.25">
      <c r="C94" s="5"/>
      <c r="P94" t="s">
        <v>381</v>
      </c>
      <c r="Q94" s="5" t="s">
        <v>7542</v>
      </c>
    </row>
    <row r="95" spans="3:17" x14ac:dyDescent="0.25">
      <c r="C95" s="5"/>
      <c r="P95" t="s">
        <v>382</v>
      </c>
      <c r="Q95" s="5" t="s">
        <v>7543</v>
      </c>
    </row>
    <row r="96" spans="3:17" x14ac:dyDescent="0.25">
      <c r="C96" s="5"/>
      <c r="P96" t="s">
        <v>383</v>
      </c>
      <c r="Q96" s="5" t="s">
        <v>7544</v>
      </c>
    </row>
    <row r="97" spans="3:17" x14ac:dyDescent="0.25">
      <c r="C97" s="5"/>
      <c r="P97" t="s">
        <v>384</v>
      </c>
      <c r="Q97" s="5" t="s">
        <v>7545</v>
      </c>
    </row>
    <row r="98" spans="3:17" x14ac:dyDescent="0.25">
      <c r="C98" s="5"/>
      <c r="P98" t="s">
        <v>385</v>
      </c>
      <c r="Q98" s="5" t="s">
        <v>7546</v>
      </c>
    </row>
    <row r="99" spans="3:17" x14ac:dyDescent="0.25">
      <c r="C99" s="5"/>
      <c r="P99" t="s">
        <v>386</v>
      </c>
      <c r="Q99" s="5" t="s">
        <v>7547</v>
      </c>
    </row>
    <row r="100" spans="3:17" x14ac:dyDescent="0.25">
      <c r="C100" s="5"/>
      <c r="P100" t="s">
        <v>387</v>
      </c>
      <c r="Q100" s="5" t="s">
        <v>7548</v>
      </c>
    </row>
    <row r="101" spans="3:17" x14ac:dyDescent="0.25">
      <c r="C101" s="5"/>
      <c r="P101" t="s">
        <v>388</v>
      </c>
      <c r="Q101" s="5" t="s">
        <v>7549</v>
      </c>
    </row>
    <row r="102" spans="3:17" x14ac:dyDescent="0.25">
      <c r="C102" s="5"/>
      <c r="P102" t="s">
        <v>389</v>
      </c>
      <c r="Q102" s="5" t="s">
        <v>7550</v>
      </c>
    </row>
    <row r="103" spans="3:17" x14ac:dyDescent="0.25">
      <c r="C103" s="5"/>
      <c r="P103" t="s">
        <v>390</v>
      </c>
      <c r="Q103" s="5" t="s">
        <v>7551</v>
      </c>
    </row>
    <row r="104" spans="3:17" x14ac:dyDescent="0.25">
      <c r="C104" s="5"/>
      <c r="P104" t="s">
        <v>391</v>
      </c>
      <c r="Q104" s="5" t="s">
        <v>7552</v>
      </c>
    </row>
    <row r="105" spans="3:17" x14ac:dyDescent="0.25">
      <c r="C105" s="5"/>
      <c r="P105" t="s">
        <v>392</v>
      </c>
      <c r="Q105" s="5" t="s">
        <v>7553</v>
      </c>
    </row>
    <row r="106" spans="3:17" x14ac:dyDescent="0.25">
      <c r="C106" s="5"/>
      <c r="P106" t="s">
        <v>393</v>
      </c>
      <c r="Q106" s="5" t="s">
        <v>7554</v>
      </c>
    </row>
    <row r="107" spans="3:17" x14ac:dyDescent="0.25">
      <c r="C107" s="5"/>
      <c r="P107" t="s">
        <v>394</v>
      </c>
      <c r="Q107" s="5" t="s">
        <v>7555</v>
      </c>
    </row>
    <row r="108" spans="3:17" x14ac:dyDescent="0.25">
      <c r="C108" s="5"/>
      <c r="P108" t="s">
        <v>395</v>
      </c>
      <c r="Q108" s="5" t="s">
        <v>7556</v>
      </c>
    </row>
    <row r="109" spans="3:17" x14ac:dyDescent="0.25">
      <c r="C109" s="5"/>
      <c r="P109" t="s">
        <v>396</v>
      </c>
      <c r="Q109" s="5" t="s">
        <v>7557</v>
      </c>
    </row>
    <row r="110" spans="3:17" x14ac:dyDescent="0.25">
      <c r="C110" s="5"/>
      <c r="P110" t="s">
        <v>397</v>
      </c>
      <c r="Q110" s="5" t="s">
        <v>7558</v>
      </c>
    </row>
    <row r="111" spans="3:17" x14ac:dyDescent="0.25">
      <c r="C111" s="5"/>
      <c r="P111" t="s">
        <v>398</v>
      </c>
      <c r="Q111" s="5" t="s">
        <v>7559</v>
      </c>
    </row>
    <row r="112" spans="3:17" x14ac:dyDescent="0.25">
      <c r="C112" s="5"/>
      <c r="P112" t="s">
        <v>399</v>
      </c>
      <c r="Q112" s="5" t="s">
        <v>7560</v>
      </c>
    </row>
    <row r="113" spans="3:17" x14ac:dyDescent="0.25">
      <c r="C113" s="5"/>
      <c r="P113" t="s">
        <v>400</v>
      </c>
      <c r="Q113" s="5" t="s">
        <v>7561</v>
      </c>
    </row>
    <row r="114" spans="3:17" x14ac:dyDescent="0.25">
      <c r="C114" s="5"/>
      <c r="P114" t="s">
        <v>401</v>
      </c>
      <c r="Q114" s="5" t="s">
        <v>7562</v>
      </c>
    </row>
    <row r="115" spans="3:17" x14ac:dyDescent="0.25">
      <c r="C115" s="5"/>
      <c r="P115" t="s">
        <v>402</v>
      </c>
      <c r="Q115" s="5" t="s">
        <v>7563</v>
      </c>
    </row>
    <row r="116" spans="3:17" x14ac:dyDescent="0.25">
      <c r="C116" s="5"/>
      <c r="P116" t="s">
        <v>403</v>
      </c>
      <c r="Q116" s="5" t="s">
        <v>7564</v>
      </c>
    </row>
    <row r="117" spans="3:17" x14ac:dyDescent="0.25">
      <c r="C117" s="5"/>
      <c r="P117" t="s">
        <v>404</v>
      </c>
      <c r="Q117" s="5" t="s">
        <v>7565</v>
      </c>
    </row>
    <row r="118" spans="3:17" x14ac:dyDescent="0.25">
      <c r="C118" s="5"/>
      <c r="P118" t="s">
        <v>405</v>
      </c>
      <c r="Q118" s="5" t="s">
        <v>7566</v>
      </c>
    </row>
    <row r="119" spans="3:17" x14ac:dyDescent="0.25">
      <c r="C119" s="5"/>
      <c r="P119" t="s">
        <v>406</v>
      </c>
      <c r="Q119" s="5" t="s">
        <v>7567</v>
      </c>
    </row>
    <row r="120" spans="3:17" x14ac:dyDescent="0.25">
      <c r="C120" s="5"/>
      <c r="P120" t="s">
        <v>407</v>
      </c>
      <c r="Q120" s="5" t="s">
        <v>7568</v>
      </c>
    </row>
    <row r="121" spans="3:17" x14ac:dyDescent="0.25">
      <c r="C121" s="5"/>
      <c r="P121" t="s">
        <v>408</v>
      </c>
      <c r="Q121" s="5" t="s">
        <v>7569</v>
      </c>
    </row>
    <row r="122" spans="3:17" x14ac:dyDescent="0.25">
      <c r="C122" s="5"/>
      <c r="P122" t="s">
        <v>409</v>
      </c>
      <c r="Q122" s="5" t="s">
        <v>7570</v>
      </c>
    </row>
    <row r="123" spans="3:17" x14ac:dyDescent="0.25">
      <c r="C123" s="5"/>
      <c r="P123" t="s">
        <v>410</v>
      </c>
      <c r="Q123" s="5" t="s">
        <v>7571</v>
      </c>
    </row>
    <row r="124" spans="3:17" x14ac:dyDescent="0.25">
      <c r="C124" s="5"/>
      <c r="P124" t="s">
        <v>411</v>
      </c>
      <c r="Q124" s="5" t="s">
        <v>7572</v>
      </c>
    </row>
    <row r="125" spans="3:17" x14ac:dyDescent="0.25">
      <c r="C125" s="5"/>
      <c r="P125" t="s">
        <v>412</v>
      </c>
      <c r="Q125" s="5" t="s">
        <v>7573</v>
      </c>
    </row>
    <row r="126" spans="3:17" x14ac:dyDescent="0.25">
      <c r="C126" s="5"/>
      <c r="P126" t="s">
        <v>413</v>
      </c>
      <c r="Q126" s="5" t="s">
        <v>832</v>
      </c>
    </row>
    <row r="127" spans="3:17" x14ac:dyDescent="0.25">
      <c r="C127" s="5"/>
      <c r="P127" t="s">
        <v>414</v>
      </c>
      <c r="Q127" s="5" t="s">
        <v>7574</v>
      </c>
    </row>
    <row r="128" spans="3:17" x14ac:dyDescent="0.25">
      <c r="C128" s="5"/>
      <c r="P128" t="s">
        <v>415</v>
      </c>
      <c r="Q128" s="5" t="s">
        <v>7575</v>
      </c>
    </row>
    <row r="129" spans="3:17" x14ac:dyDescent="0.25">
      <c r="C129" s="5"/>
      <c r="P129" t="s">
        <v>416</v>
      </c>
      <c r="Q129" s="5" t="s">
        <v>7576</v>
      </c>
    </row>
    <row r="130" spans="3:17" x14ac:dyDescent="0.25">
      <c r="C130" s="5"/>
      <c r="P130" t="s">
        <v>417</v>
      </c>
      <c r="Q130" s="5" t="s">
        <v>7577</v>
      </c>
    </row>
    <row r="131" spans="3:17" x14ac:dyDescent="0.25">
      <c r="C131" s="5"/>
      <c r="P131" t="s">
        <v>418</v>
      </c>
      <c r="Q131" s="5" t="s">
        <v>7578</v>
      </c>
    </row>
    <row r="132" spans="3:17" x14ac:dyDescent="0.25">
      <c r="C132" s="5"/>
      <c r="P132" t="s">
        <v>419</v>
      </c>
      <c r="Q132" s="5" t="s">
        <v>7579</v>
      </c>
    </row>
    <row r="133" spans="3:17" x14ac:dyDescent="0.25">
      <c r="C133" s="5"/>
      <c r="P133" t="s">
        <v>420</v>
      </c>
      <c r="Q133" s="5" t="s">
        <v>7580</v>
      </c>
    </row>
    <row r="134" spans="3:17" x14ac:dyDescent="0.25">
      <c r="C134" s="5"/>
      <c r="P134" t="s">
        <v>421</v>
      </c>
      <c r="Q134" s="5" t="s">
        <v>7581</v>
      </c>
    </row>
    <row r="135" spans="3:17" x14ac:dyDescent="0.25">
      <c r="C135" s="5"/>
      <c r="P135" t="s">
        <v>422</v>
      </c>
      <c r="Q135" s="5" t="s">
        <v>7582</v>
      </c>
    </row>
    <row r="136" spans="3:17" x14ac:dyDescent="0.25">
      <c r="C136" s="5"/>
      <c r="P136" t="s">
        <v>423</v>
      </c>
      <c r="Q136" s="5" t="s">
        <v>7583</v>
      </c>
    </row>
    <row r="137" spans="3:17" x14ac:dyDescent="0.25">
      <c r="C137" s="5"/>
      <c r="P137" t="s">
        <v>424</v>
      </c>
      <c r="Q137" s="5" t="s">
        <v>7584</v>
      </c>
    </row>
    <row r="138" spans="3:17" x14ac:dyDescent="0.25">
      <c r="C138" s="5"/>
      <c r="P138" t="s">
        <v>425</v>
      </c>
      <c r="Q138" s="5" t="s">
        <v>7585</v>
      </c>
    </row>
    <row r="139" spans="3:17" x14ac:dyDescent="0.25">
      <c r="C139" s="5"/>
      <c r="P139" t="s">
        <v>426</v>
      </c>
      <c r="Q139" s="5" t="s">
        <v>7586</v>
      </c>
    </row>
    <row r="140" spans="3:17" x14ac:dyDescent="0.25">
      <c r="C140" s="5"/>
      <c r="P140" t="s">
        <v>427</v>
      </c>
      <c r="Q140" s="5" t="s">
        <v>7587</v>
      </c>
    </row>
    <row r="141" spans="3:17" x14ac:dyDescent="0.25">
      <c r="C141" s="5"/>
      <c r="P141" t="s">
        <v>428</v>
      </c>
      <c r="Q141" s="5" t="s">
        <v>7588</v>
      </c>
    </row>
    <row r="142" spans="3:17" x14ac:dyDescent="0.25">
      <c r="C142" s="5"/>
      <c r="P142" t="s">
        <v>429</v>
      </c>
      <c r="Q142" s="5" t="s">
        <v>7589</v>
      </c>
    </row>
    <row r="143" spans="3:17" x14ac:dyDescent="0.25">
      <c r="C143" s="5"/>
      <c r="P143" t="s">
        <v>430</v>
      </c>
      <c r="Q143" s="5" t="s">
        <v>14</v>
      </c>
    </row>
    <row r="144" spans="3:17" x14ac:dyDescent="0.25">
      <c r="C144" s="5"/>
      <c r="P144" t="s">
        <v>431</v>
      </c>
      <c r="Q144" s="5" t="s">
        <v>7590</v>
      </c>
    </row>
    <row r="145" spans="3:17" x14ac:dyDescent="0.25">
      <c r="C145" s="5"/>
      <c r="P145" t="s">
        <v>432</v>
      </c>
      <c r="Q145" s="5" t="s">
        <v>7591</v>
      </c>
    </row>
    <row r="146" spans="3:17" x14ac:dyDescent="0.25">
      <c r="C146" s="5"/>
      <c r="P146" t="s">
        <v>433</v>
      </c>
      <c r="Q146" s="5" t="s">
        <v>7592</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1225</v>
      </c>
    </row>
    <row r="2" spans="1:4" ht="15.75" thickBot="1" x14ac:dyDescent="0.3"/>
    <row r="3" spans="1:4" ht="15.75" thickTop="1" x14ac:dyDescent="0.25">
      <c r="A3" s="232" t="s">
        <v>1230</v>
      </c>
      <c r="B3" s="233"/>
      <c r="C3" s="233"/>
      <c r="D3" s="234"/>
    </row>
    <row r="4" spans="1:4" ht="15.75" thickBot="1" x14ac:dyDescent="0.3">
      <c r="A4" s="87" t="s">
        <v>1226</v>
      </c>
      <c r="B4" s="88" t="s">
        <v>1227</v>
      </c>
      <c r="C4" s="88" t="s">
        <v>1228</v>
      </c>
      <c r="D4" s="89" t="s">
        <v>1229</v>
      </c>
    </row>
    <row r="5" spans="1:4" ht="15.75" thickTop="1" x14ac:dyDescent="0.25">
      <c r="A5" s="96" t="s">
        <v>14</v>
      </c>
      <c r="B5" s="90" t="s">
        <v>14</v>
      </c>
      <c r="C5" s="91" t="s">
        <v>1240</v>
      </c>
      <c r="D5" s="97"/>
    </row>
    <row r="6" spans="1:4" ht="60" x14ac:dyDescent="0.25">
      <c r="A6" s="98" t="s">
        <v>1231</v>
      </c>
      <c r="B6" s="92" t="s">
        <v>128</v>
      </c>
      <c r="C6" s="93" t="s">
        <v>1232</v>
      </c>
      <c r="D6" s="99" t="s">
        <v>1233</v>
      </c>
    </row>
    <row r="7" spans="1:4" ht="60" x14ac:dyDescent="0.25">
      <c r="A7" s="98" t="s">
        <v>1234</v>
      </c>
      <c r="B7" s="92" t="s">
        <v>129</v>
      </c>
      <c r="C7" s="93" t="s">
        <v>1235</v>
      </c>
      <c r="D7" s="99" t="s">
        <v>1236</v>
      </c>
    </row>
    <row r="8" spans="1:4" ht="30.75" thickBot="1" x14ac:dyDescent="0.3">
      <c r="A8" s="100" t="s">
        <v>1237</v>
      </c>
      <c r="B8" s="101" t="s">
        <v>130</v>
      </c>
      <c r="C8" s="102" t="s">
        <v>1238</v>
      </c>
      <c r="D8" s="103" t="s">
        <v>1239</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6" customWidth="1"/>
    <col min="4" max="4" width="48.140625" customWidth="1"/>
    <col min="5" max="5" width="38.42578125" bestFit="1" customWidth="1"/>
  </cols>
  <sheetData>
    <row r="1" spans="1:6" x14ac:dyDescent="0.25">
      <c r="A1" t="s">
        <v>1225</v>
      </c>
    </row>
    <row r="2" spans="1:6" ht="15.75" thickBot="1" x14ac:dyDescent="0.3"/>
    <row r="3" spans="1:6" s="6" customFormat="1" x14ac:dyDescent="0.25">
      <c r="A3" s="235" t="s">
        <v>1263</v>
      </c>
      <c r="B3" s="236"/>
      <c r="C3" s="236"/>
      <c r="D3" s="236"/>
      <c r="E3" s="237"/>
      <c r="F3"/>
    </row>
    <row r="4" spans="1:6" s="6" customFormat="1" ht="15.75" thickBot="1" x14ac:dyDescent="0.3">
      <c r="A4" s="70" t="s">
        <v>143</v>
      </c>
      <c r="B4" s="54" t="s">
        <v>144</v>
      </c>
      <c r="C4" s="54" t="s">
        <v>19</v>
      </c>
      <c r="D4" s="61" t="s">
        <v>145</v>
      </c>
      <c r="E4" s="62" t="s">
        <v>146</v>
      </c>
    </row>
    <row r="5" spans="1:6" s="6" customFormat="1" ht="75.75" thickTop="1" x14ac:dyDescent="0.25">
      <c r="A5" s="111" t="s">
        <v>158</v>
      </c>
      <c r="B5" s="18" t="s">
        <v>1244</v>
      </c>
      <c r="C5" s="18" t="s">
        <v>1244</v>
      </c>
      <c r="D5" s="41" t="s">
        <v>1256</v>
      </c>
      <c r="E5" s="112" t="s">
        <v>1245</v>
      </c>
    </row>
    <row r="6" spans="1:6" s="6" customFormat="1" ht="150" x14ac:dyDescent="0.25">
      <c r="A6" s="105" t="s">
        <v>158</v>
      </c>
      <c r="B6" s="10" t="s">
        <v>1257</v>
      </c>
      <c r="C6" s="10" t="s">
        <v>1258</v>
      </c>
      <c r="D6" s="11" t="s">
        <v>1259</v>
      </c>
      <c r="E6" s="106" t="s">
        <v>1260</v>
      </c>
    </row>
    <row r="7" spans="1:6" s="6" customFormat="1" ht="75.75" thickBot="1" x14ac:dyDescent="0.3">
      <c r="A7" s="107" t="s">
        <v>158</v>
      </c>
      <c r="B7" s="108" t="s">
        <v>1250</v>
      </c>
      <c r="C7" s="108" t="s">
        <v>1261</v>
      </c>
      <c r="D7" s="109" t="s">
        <v>1262</v>
      </c>
      <c r="E7" s="110" t="s">
        <v>1248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38" t="s">
        <v>1255</v>
      </c>
      <c r="B16" s="239"/>
      <c r="C16" s="239"/>
      <c r="D16" s="239"/>
      <c r="E16" s="240"/>
    </row>
    <row r="17" spans="1:5" ht="15.75" thickBot="1" x14ac:dyDescent="0.3">
      <c r="A17" s="87" t="s">
        <v>1241</v>
      </c>
      <c r="B17" s="88" t="s">
        <v>1264</v>
      </c>
      <c r="C17" s="104" t="s">
        <v>1242</v>
      </c>
      <c r="D17" s="89" t="s">
        <v>1243</v>
      </c>
      <c r="E17" s="88" t="s">
        <v>1268</v>
      </c>
    </row>
    <row r="18" spans="1:5" ht="90.75" thickTop="1" x14ac:dyDescent="0.25">
      <c r="A18" s="113" t="s">
        <v>1244</v>
      </c>
      <c r="B18" s="90" t="s">
        <v>1244</v>
      </c>
      <c r="C18" s="91" t="s">
        <v>1246</v>
      </c>
      <c r="D18" s="115" t="s">
        <v>1245</v>
      </c>
      <c r="E18" s="120" t="s">
        <v>1245</v>
      </c>
    </row>
    <row r="19" spans="1:5" s="5" customFormat="1" ht="30" x14ac:dyDescent="0.25">
      <c r="A19" s="114" t="s">
        <v>1254</v>
      </c>
      <c r="B19" s="92" t="s">
        <v>1258</v>
      </c>
      <c r="C19" s="93" t="s">
        <v>1251</v>
      </c>
      <c r="D19" s="116" t="s">
        <v>1252</v>
      </c>
      <c r="E19" s="99"/>
    </row>
    <row r="20" spans="1:5" ht="90.75" thickBot="1" x14ac:dyDescent="0.3">
      <c r="A20" s="117" t="s">
        <v>1253</v>
      </c>
      <c r="B20" s="94" t="s">
        <v>1261</v>
      </c>
      <c r="C20" s="95" t="s">
        <v>1247</v>
      </c>
      <c r="D20" s="118" t="s">
        <v>1248</v>
      </c>
      <c r="E20" s="119" t="s">
        <v>1269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2015-04-27T15:56:51Z</dcterms:modified>
</cp:coreProperties>
</file>